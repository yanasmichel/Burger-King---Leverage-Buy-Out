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esktop/"/>
    </mc:Choice>
  </mc:AlternateContent>
  <xr:revisionPtr revIDLastSave="3374" documentId="13_ncr:1_{6787C66C-3AD3-5748-90D3-1E9A62391663}" xr6:coauthVersionLast="47" xr6:coauthVersionMax="47" xr10:uidLastSave="{F1F2704E-2AA4-4CDC-87C2-60BB01B7A193}"/>
  <bookViews>
    <workbookView xWindow="51200" yWindow="500" windowWidth="51200" windowHeight="28300" firstSheet="1" xr2:uid="{A469845D-959C-4A7C-80E1-18863DB1EFCC}"/>
  </bookViews>
  <sheets>
    <sheet name="Cover" sheetId="1" r:id="rId1"/>
    <sheet name="LBO - YM Final" sheetId="7" r:id="rId2"/>
    <sheet name="DCF - YM" sheetId="8" r:id="rId3"/>
    <sheet name="WACC - YM" sheetId="9" r:id="rId4"/>
    <sheet name="Shares - YM" sheetId="5" r:id="rId5"/>
  </sheets>
  <definedNames>
    <definedName name="CASE" localSheetId="1">'LBO - YM Final'!$E$7</definedName>
    <definedName name="CASE">#REF!</definedName>
    <definedName name="CIRC" localSheetId="1">'LBO - YM Final'!$E$6</definedName>
    <definedName name="CIRC">#REF!</definedName>
    <definedName name="PIK" localSheetId="1">'LBO - YM Final'!$E$8:$E$8</definedName>
    <definedName name="PIK">#REF!</definedName>
  </definedNames>
  <calcPr calcId="191028" calcMode="autoNoTable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J41" i="8"/>
  <c r="F8" i="8"/>
  <c r="G8" i="8"/>
  <c r="G9" i="8" s="1"/>
  <c r="H8" i="8"/>
  <c r="H9" i="8" s="1"/>
  <c r="I8" i="8"/>
  <c r="I9" i="8" s="1"/>
  <c r="J8" i="8"/>
  <c r="J9" i="8" s="1"/>
  <c r="E8" i="8"/>
  <c r="G335" i="7"/>
  <c r="H335" i="7" s="1"/>
  <c r="E335" i="7"/>
  <c r="D335" i="7" s="1"/>
  <c r="C339" i="7"/>
  <c r="C340" i="7" s="1"/>
  <c r="C337" i="7"/>
  <c r="C336" i="7" s="1"/>
  <c r="J324" i="7"/>
  <c r="I326" i="7"/>
  <c r="G328" i="7"/>
  <c r="G321" i="7"/>
  <c r="K321" i="7" s="1"/>
  <c r="G320" i="7"/>
  <c r="K320" i="7" s="1"/>
  <c r="G319" i="7"/>
  <c r="K319" i="7" s="1"/>
  <c r="G315" i="7"/>
  <c r="G314" i="7"/>
  <c r="K314" i="7" s="1"/>
  <c r="G312" i="7"/>
  <c r="K312" i="7" s="1"/>
  <c r="B315" i="7"/>
  <c r="B316" i="7"/>
  <c r="B323" i="7"/>
  <c r="B314" i="7"/>
  <c r="B313" i="7"/>
  <c r="B319" i="7"/>
  <c r="B320" i="7"/>
  <c r="B321" i="7"/>
  <c r="B312" i="7"/>
  <c r="F258" i="7"/>
  <c r="G256" i="7" s="1"/>
  <c r="G257" i="7" s="1" a="1"/>
  <c r="G257" i="7" s="1"/>
  <c r="G258" i="7" s="1"/>
  <c r="B255" i="7"/>
  <c r="B46" i="7"/>
  <c r="E35" i="7"/>
  <c r="I33" i="7"/>
  <c r="K33" i="7" s="1"/>
  <c r="F146" i="7"/>
  <c r="G145" i="7"/>
  <c r="K292" i="7"/>
  <c r="J292" i="7"/>
  <c r="I292" i="7"/>
  <c r="H292" i="7"/>
  <c r="G292" i="7"/>
  <c r="K289" i="7"/>
  <c r="J289" i="7"/>
  <c r="I289" i="7"/>
  <c r="H289" i="7"/>
  <c r="G289" i="7"/>
  <c r="K286" i="7"/>
  <c r="J286" i="7"/>
  <c r="I286" i="7"/>
  <c r="H286" i="7"/>
  <c r="G286" i="7"/>
  <c r="B285" i="7"/>
  <c r="K283" i="7"/>
  <c r="J283" i="7"/>
  <c r="I283" i="7"/>
  <c r="H283" i="7"/>
  <c r="G283" i="7"/>
  <c r="B282" i="7"/>
  <c r="K280" i="7"/>
  <c r="J280" i="7"/>
  <c r="I280" i="7"/>
  <c r="H280" i="7"/>
  <c r="G280" i="7"/>
  <c r="B279" i="7"/>
  <c r="K277" i="7"/>
  <c r="J277" i="7"/>
  <c r="I277" i="7"/>
  <c r="H277" i="7"/>
  <c r="G277" i="7"/>
  <c r="F273" i="7"/>
  <c r="E272" i="7"/>
  <c r="F272" i="7" s="1"/>
  <c r="G272" i="7" s="1"/>
  <c r="H272" i="7" s="1"/>
  <c r="I272" i="7" s="1"/>
  <c r="J272" i="7" s="1"/>
  <c r="K272" i="7" s="1"/>
  <c r="F224" i="7"/>
  <c r="G221" i="7"/>
  <c r="H217" i="7"/>
  <c r="I217" i="7" s="1"/>
  <c r="J217" i="7" s="1"/>
  <c r="K217" i="7" s="1"/>
  <c r="F216" i="7"/>
  <c r="G214" i="7"/>
  <c r="E201" i="7"/>
  <c r="F201" i="7" s="1"/>
  <c r="G201" i="7" s="1"/>
  <c r="H201" i="7" s="1"/>
  <c r="I201" i="7" s="1"/>
  <c r="J201" i="7" s="1"/>
  <c r="K201" i="7" s="1"/>
  <c r="K182" i="7"/>
  <c r="J182" i="7"/>
  <c r="I182" i="7"/>
  <c r="H182" i="7"/>
  <c r="G182" i="7"/>
  <c r="E172" i="7"/>
  <c r="F172" i="7" s="1"/>
  <c r="G172" i="7" s="1"/>
  <c r="H172" i="7" s="1"/>
  <c r="I172" i="7" s="1"/>
  <c r="J172" i="7" s="1"/>
  <c r="K172" i="7" s="1"/>
  <c r="F169" i="7"/>
  <c r="F170" i="7" s="1"/>
  <c r="E169" i="7"/>
  <c r="E170" i="7" s="1"/>
  <c r="D169" i="7"/>
  <c r="D170" i="7" s="1"/>
  <c r="K166" i="7"/>
  <c r="J166" i="7"/>
  <c r="I166" i="7"/>
  <c r="H166" i="7"/>
  <c r="G166" i="7"/>
  <c r="K160" i="7"/>
  <c r="J160" i="7"/>
  <c r="I160" i="7"/>
  <c r="H160" i="7"/>
  <c r="G160" i="7"/>
  <c r="F158" i="7"/>
  <c r="E158" i="7"/>
  <c r="D158" i="7"/>
  <c r="F156" i="7"/>
  <c r="E156" i="7"/>
  <c r="D156" i="7"/>
  <c r="G154" i="7"/>
  <c r="H154" i="7" s="1"/>
  <c r="I154" i="7" s="1"/>
  <c r="J154" i="7" s="1"/>
  <c r="K154" i="7" s="1"/>
  <c r="K151" i="7"/>
  <c r="J151" i="7"/>
  <c r="I151" i="7"/>
  <c r="H151" i="7"/>
  <c r="G151" i="7"/>
  <c r="F151" i="7"/>
  <c r="F152" i="7" s="1"/>
  <c r="E151" i="7"/>
  <c r="E152" i="7" s="1"/>
  <c r="D151" i="7"/>
  <c r="F140" i="7"/>
  <c r="F147" i="7" s="1"/>
  <c r="F145" i="7" s="1"/>
  <c r="E140" i="7"/>
  <c r="D140" i="7"/>
  <c r="F138" i="7"/>
  <c r="E138" i="7"/>
  <c r="D138" i="7"/>
  <c r="G138" i="7" s="1"/>
  <c r="H138" i="7" s="1"/>
  <c r="I138" i="7" s="1"/>
  <c r="J138" i="7" s="1"/>
  <c r="K138" i="7" s="1"/>
  <c r="K137" i="7"/>
  <c r="J22" i="8" s="1"/>
  <c r="J137" i="7"/>
  <c r="I22" i="8" s="1"/>
  <c r="I137" i="7"/>
  <c r="H22" i="8" s="1"/>
  <c r="H137" i="7"/>
  <c r="G22" i="8" s="1"/>
  <c r="G137" i="7"/>
  <c r="F22" i="8" s="1"/>
  <c r="E135" i="7"/>
  <c r="F135" i="7" s="1"/>
  <c r="G135" i="7" s="1"/>
  <c r="H135" i="7" s="1"/>
  <c r="I135" i="7" s="1"/>
  <c r="J135" i="7" s="1"/>
  <c r="K135" i="7" s="1"/>
  <c r="F127" i="7"/>
  <c r="G127" i="7" s="1"/>
  <c r="H127" i="7" s="1"/>
  <c r="I127" i="7" s="1"/>
  <c r="J127" i="7" s="1"/>
  <c r="K127" i="7" s="1"/>
  <c r="E127" i="7"/>
  <c r="D127" i="7"/>
  <c r="K126" i="7"/>
  <c r="J126" i="7"/>
  <c r="I126" i="7"/>
  <c r="H126" i="7"/>
  <c r="G126" i="7"/>
  <c r="F124" i="7"/>
  <c r="E124" i="7"/>
  <c r="D124" i="7"/>
  <c r="G124" i="7" s="1"/>
  <c r="H124" i="7" s="1"/>
  <c r="I124" i="7" s="1"/>
  <c r="J124" i="7" s="1"/>
  <c r="K124" i="7" s="1"/>
  <c r="K123" i="7"/>
  <c r="J123" i="7"/>
  <c r="I123" i="7"/>
  <c r="H123" i="7"/>
  <c r="G123" i="7"/>
  <c r="F121" i="7"/>
  <c r="G121" i="7" s="1"/>
  <c r="H121" i="7" s="1"/>
  <c r="I121" i="7" s="1"/>
  <c r="J121" i="7" s="1"/>
  <c r="K121" i="7" s="1"/>
  <c r="E121" i="7"/>
  <c r="D121" i="7"/>
  <c r="K120" i="7"/>
  <c r="J120" i="7"/>
  <c r="I120" i="7"/>
  <c r="H120" i="7"/>
  <c r="G120" i="7"/>
  <c r="F117" i="7"/>
  <c r="G313" i="7" s="1"/>
  <c r="K313" i="7" s="1"/>
  <c r="E117" i="7"/>
  <c r="D117" i="7"/>
  <c r="F115" i="7"/>
  <c r="E115" i="7"/>
  <c r="D115" i="7"/>
  <c r="G115" i="7" s="1"/>
  <c r="H115" i="7" s="1"/>
  <c r="I115" i="7" s="1"/>
  <c r="J115" i="7" s="1"/>
  <c r="K115" i="7" s="1"/>
  <c r="K114" i="7"/>
  <c r="J114" i="7"/>
  <c r="I114" i="7"/>
  <c r="H114" i="7"/>
  <c r="G114" i="7"/>
  <c r="E112" i="7"/>
  <c r="F112" i="7" s="1"/>
  <c r="G112" i="7" s="1"/>
  <c r="H112" i="7" s="1"/>
  <c r="I112" i="7" s="1"/>
  <c r="J112" i="7" s="1"/>
  <c r="K112" i="7" s="1"/>
  <c r="K110" i="7"/>
  <c r="J110" i="7"/>
  <c r="I110" i="7"/>
  <c r="H110" i="7"/>
  <c r="G110" i="7"/>
  <c r="E99" i="7"/>
  <c r="K82" i="7"/>
  <c r="J82" i="7"/>
  <c r="I82" i="7"/>
  <c r="H82" i="7"/>
  <c r="G82" i="7"/>
  <c r="K73" i="7"/>
  <c r="J73" i="7"/>
  <c r="I73" i="7"/>
  <c r="H73" i="7"/>
  <c r="G73" i="7"/>
  <c r="F73" i="7"/>
  <c r="E73" i="7"/>
  <c r="D73" i="7"/>
  <c r="K72" i="7"/>
  <c r="J72" i="7"/>
  <c r="I72" i="7"/>
  <c r="H72" i="7"/>
  <c r="G72" i="7"/>
  <c r="K70" i="7"/>
  <c r="J70" i="7"/>
  <c r="I70" i="7"/>
  <c r="H70" i="7"/>
  <c r="G70" i="7"/>
  <c r="K69" i="7"/>
  <c r="J69" i="7"/>
  <c r="I69" i="7"/>
  <c r="H69" i="7"/>
  <c r="G69" i="7"/>
  <c r="F69" i="7"/>
  <c r="F75" i="7" s="1"/>
  <c r="E11" i="8" s="1"/>
  <c r="E69" i="7"/>
  <c r="E75" i="7" s="1"/>
  <c r="D69" i="7"/>
  <c r="D75" i="7" s="1"/>
  <c r="F67" i="7"/>
  <c r="E67" i="7"/>
  <c r="D67" i="7"/>
  <c r="K66" i="7"/>
  <c r="K67" i="7" s="1"/>
  <c r="J66" i="7"/>
  <c r="J67" i="7" s="1"/>
  <c r="I66" i="7"/>
  <c r="I67" i="7" s="1"/>
  <c r="H66" i="7"/>
  <c r="H67" i="7" s="1"/>
  <c r="G66" i="7"/>
  <c r="G67" i="7" s="1"/>
  <c r="K64" i="7"/>
  <c r="J64" i="7"/>
  <c r="I64" i="7"/>
  <c r="H64" i="7"/>
  <c r="G64" i="7"/>
  <c r="F64" i="7"/>
  <c r="E64" i="7"/>
  <c r="E61" i="7"/>
  <c r="F61" i="7" s="1"/>
  <c r="G61" i="7" s="1"/>
  <c r="H61" i="7" s="1"/>
  <c r="I61" i="7" s="1"/>
  <c r="J61" i="7" s="1"/>
  <c r="K61" i="7" s="1"/>
  <c r="F58" i="7"/>
  <c r="G58" i="7" s="1"/>
  <c r="H58" i="7" s="1"/>
  <c r="I58" i="7" s="1"/>
  <c r="J58" i="7" s="1"/>
  <c r="K58" i="7" s="1"/>
  <c r="E58" i="7"/>
  <c r="D58" i="7"/>
  <c r="F57" i="7"/>
  <c r="E57" i="7"/>
  <c r="E70" i="7" s="1"/>
  <c r="D57" i="7"/>
  <c r="D70" i="7" s="1"/>
  <c r="K56" i="7"/>
  <c r="J56" i="7"/>
  <c r="I56" i="7"/>
  <c r="H56" i="7"/>
  <c r="G56" i="7"/>
  <c r="F56" i="7"/>
  <c r="E56" i="7"/>
  <c r="E54" i="7"/>
  <c r="F54" i="7" s="1"/>
  <c r="G54" i="7" s="1"/>
  <c r="H54" i="7" s="1"/>
  <c r="I54" i="7" s="1"/>
  <c r="J54" i="7" s="1"/>
  <c r="K54" i="7" s="1"/>
  <c r="B45" i="7"/>
  <c r="D44" i="7"/>
  <c r="B44" i="7"/>
  <c r="D43" i="7"/>
  <c r="B43" i="7"/>
  <c r="D42" i="7"/>
  <c r="B42" i="7"/>
  <c r="D41" i="7"/>
  <c r="I322" i="7" s="1"/>
  <c r="B41" i="7"/>
  <c r="I32" i="7"/>
  <c r="K32" i="7" s="1"/>
  <c r="I31" i="7"/>
  <c r="K31" i="7" s="1"/>
  <c r="I30" i="7"/>
  <c r="K30" i="7" s="1"/>
  <c r="I29" i="7"/>
  <c r="K29" i="7" s="1"/>
  <c r="I28" i="7"/>
  <c r="I35" i="7" s="1"/>
  <c r="E22" i="7"/>
  <c r="J35" i="8" s="1"/>
  <c r="E21" i="7"/>
  <c r="J36" i="8" s="1"/>
  <c r="K20" i="7"/>
  <c r="K19" i="7"/>
  <c r="K14" i="7"/>
  <c r="F8" i="7"/>
  <c r="F7" i="7"/>
  <c r="E21" i="5"/>
  <c r="B22" i="5"/>
  <c r="B24" i="5" s="1"/>
  <c r="B25" i="5" s="1"/>
  <c r="B26" i="5" s="1"/>
  <c r="B27" i="5" s="1"/>
  <c r="B28" i="5" s="1"/>
  <c r="B29" i="5" s="1"/>
  <c r="B30" i="5" s="1"/>
  <c r="B31" i="5" s="1"/>
  <c r="G167" i="7" l="1"/>
  <c r="F19" i="8"/>
  <c r="H167" i="7"/>
  <c r="G19" i="8"/>
  <c r="I167" i="7"/>
  <c r="H19" i="8"/>
  <c r="J167" i="7"/>
  <c r="I19" i="8"/>
  <c r="K167" i="7"/>
  <c r="J19" i="8"/>
  <c r="F20" i="8"/>
  <c r="J20" i="8"/>
  <c r="I20" i="8"/>
  <c r="H20" i="8"/>
  <c r="G20" i="8"/>
  <c r="F23" i="8"/>
  <c r="J23" i="8"/>
  <c r="I23" i="8"/>
  <c r="H23" i="8"/>
  <c r="G23" i="8"/>
  <c r="F12" i="8"/>
  <c r="F9" i="8"/>
  <c r="I324" i="7"/>
  <c r="K326" i="7"/>
  <c r="I42" i="7"/>
  <c r="G322" i="7"/>
  <c r="G158" i="7"/>
  <c r="H158" i="7" s="1"/>
  <c r="I158" i="7" s="1"/>
  <c r="J158" i="7" s="1"/>
  <c r="K158" i="7" s="1"/>
  <c r="G323" i="7"/>
  <c r="K323" i="7" s="1"/>
  <c r="G324" i="7"/>
  <c r="G156" i="7"/>
  <c r="G316" i="7"/>
  <c r="H256" i="7"/>
  <c r="G259" i="7" a="1"/>
  <c r="G259" i="7" s="1"/>
  <c r="G186" i="7" s="1"/>
  <c r="H257" i="7" a="1"/>
  <c r="H257" i="7" s="1"/>
  <c r="H258" i="7"/>
  <c r="F264" i="7"/>
  <c r="G262" i="7" s="1"/>
  <c r="F205" i="7"/>
  <c r="G311" i="7" s="1"/>
  <c r="E23" i="7"/>
  <c r="I44" i="7"/>
  <c r="H315" i="7" s="1"/>
  <c r="K315" i="7" s="1"/>
  <c r="K28" i="7"/>
  <c r="K35" i="7" s="1"/>
  <c r="B220" i="7"/>
  <c r="B193" i="7"/>
  <c r="B229" i="7"/>
  <c r="B194" i="7"/>
  <c r="F233" i="7"/>
  <c r="G230" i="7" s="1"/>
  <c r="B238" i="7"/>
  <c r="F242" i="7"/>
  <c r="G239" i="7" s="1"/>
  <c r="F251" i="7"/>
  <c r="F70" i="7"/>
  <c r="G57" i="7"/>
  <c r="H57" i="7" s="1"/>
  <c r="I57" i="7" s="1"/>
  <c r="J57" i="7" s="1"/>
  <c r="K57" i="7" s="1"/>
  <c r="D97" i="7"/>
  <c r="D100" i="7" s="1"/>
  <c r="D87" i="7"/>
  <c r="D76" i="7"/>
  <c r="E97" i="7"/>
  <c r="E100" i="7" s="1"/>
  <c r="E87" i="7"/>
  <c r="E76" i="7"/>
  <c r="F97" i="7"/>
  <c r="F100" i="7" s="1"/>
  <c r="F87" i="7"/>
  <c r="F76" i="7"/>
  <c r="D129" i="7"/>
  <c r="D130" i="7" s="1"/>
  <c r="D118" i="7"/>
  <c r="E129" i="7"/>
  <c r="E118" i="7"/>
  <c r="F129" i="7"/>
  <c r="F118" i="7"/>
  <c r="G169" i="7"/>
  <c r="G146" i="7"/>
  <c r="H169" i="7"/>
  <c r="H146" i="7"/>
  <c r="I169" i="7"/>
  <c r="I146" i="7"/>
  <c r="J169" i="7"/>
  <c r="J146" i="7"/>
  <c r="K169" i="7"/>
  <c r="K146" i="7"/>
  <c r="D160" i="7"/>
  <c r="D161" i="7" s="1"/>
  <c r="D142" i="7"/>
  <c r="D141" i="7"/>
  <c r="E160" i="7"/>
  <c r="E161" i="7" s="1"/>
  <c r="E142" i="7"/>
  <c r="E141" i="7"/>
  <c r="F160" i="7"/>
  <c r="F161" i="7" s="1"/>
  <c r="F142" i="7"/>
  <c r="F141" i="7"/>
  <c r="G177" i="7"/>
  <c r="H156" i="7"/>
  <c r="G175" i="7"/>
  <c r="G161" i="7"/>
  <c r="H175" i="7"/>
  <c r="H161" i="7"/>
  <c r="I175" i="7"/>
  <c r="I161" i="7"/>
  <c r="J175" i="7"/>
  <c r="J161" i="7"/>
  <c r="K175" i="7"/>
  <c r="K161" i="7"/>
  <c r="F274" i="7"/>
  <c r="G274" i="7" s="1"/>
  <c r="H274" i="7" s="1"/>
  <c r="I274" i="7" s="1"/>
  <c r="J274" i="7" s="1"/>
  <c r="K274" i="7" s="1"/>
  <c r="E31" i="5"/>
  <c r="E30" i="5"/>
  <c r="E29" i="5"/>
  <c r="E28" i="5"/>
  <c r="E27" i="5"/>
  <c r="E26" i="5"/>
  <c r="E25" i="5"/>
  <c r="E24" i="5"/>
  <c r="E22" i="5"/>
  <c r="E32" i="5"/>
  <c r="E8" i="5" s="1"/>
  <c r="E14" i="5"/>
  <c r="E16" i="5" s="1"/>
  <c r="K17" i="7" l="1"/>
  <c r="G317" i="7"/>
  <c r="H322" i="7"/>
  <c r="K322" i="7"/>
  <c r="H324" i="7"/>
  <c r="K324" i="7" s="1"/>
  <c r="I256" i="7"/>
  <c r="H259" i="7" a="1"/>
  <c r="H259" i="7" s="1"/>
  <c r="H186" i="7" s="1"/>
  <c r="I257" i="7" a="1"/>
  <c r="I257" i="7" s="1"/>
  <c r="I258" i="7"/>
  <c r="G248" i="7"/>
  <c r="F269" i="7"/>
  <c r="G263" i="7"/>
  <c r="G264" i="7" s="1"/>
  <c r="H262" i="7" s="1"/>
  <c r="H263" i="7"/>
  <c r="H264" i="7"/>
  <c r="I262" i="7" s="1"/>
  <c r="H177" i="7"/>
  <c r="I156" i="7"/>
  <c r="G141" i="7"/>
  <c r="H141" i="7" s="1"/>
  <c r="I141" i="7" s="1"/>
  <c r="J141" i="7" s="1"/>
  <c r="K141" i="7" s="1"/>
  <c r="G142" i="7"/>
  <c r="K181" i="7"/>
  <c r="K183" i="7" s="1"/>
  <c r="K170" i="7"/>
  <c r="J181" i="7"/>
  <c r="J183" i="7" s="1"/>
  <c r="J170" i="7"/>
  <c r="I181" i="7"/>
  <c r="I183" i="7" s="1"/>
  <c r="I170" i="7"/>
  <c r="H181" i="7"/>
  <c r="H183" i="7" s="1"/>
  <c r="H170" i="7"/>
  <c r="G181" i="7"/>
  <c r="G183" i="7" s="1"/>
  <c r="G170" i="7"/>
  <c r="F132" i="7"/>
  <c r="F133" i="7" s="1"/>
  <c r="F130" i="7"/>
  <c r="E132" i="7"/>
  <c r="E133" i="7" s="1"/>
  <c r="E130" i="7"/>
  <c r="G118" i="7"/>
  <c r="G130" i="7"/>
  <c r="F93" i="7"/>
  <c r="F94" i="7" s="1"/>
  <c r="F88" i="7"/>
  <c r="F59" i="7"/>
  <c r="F103" i="7"/>
  <c r="F101" i="7"/>
  <c r="F104" i="7" s="1"/>
  <c r="E20" i="7"/>
  <c r="E93" i="7"/>
  <c r="E94" i="7" s="1"/>
  <c r="E88" i="7"/>
  <c r="E59" i="7"/>
  <c r="E91" i="7" s="1"/>
  <c r="E103" i="7"/>
  <c r="E101" i="7"/>
  <c r="E104" i="7" s="1"/>
  <c r="D93" i="7"/>
  <c r="D94" i="7" s="1"/>
  <c r="D88" i="7"/>
  <c r="D59" i="7"/>
  <c r="D91" i="7" s="1"/>
  <c r="D103" i="7"/>
  <c r="D101" i="7"/>
  <c r="D104" i="7" s="1"/>
  <c r="G249" i="7"/>
  <c r="G240" i="7"/>
  <c r="J44" i="7"/>
  <c r="K209" i="7"/>
  <c r="J209" i="7"/>
  <c r="I209" i="7"/>
  <c r="H209" i="7"/>
  <c r="G209" i="7"/>
  <c r="G203" i="7"/>
  <c r="D47" i="7"/>
  <c r="K16" i="7" l="1"/>
  <c r="J39" i="8"/>
  <c r="F8" i="9"/>
  <c r="G330" i="7"/>
  <c r="G267" i="7"/>
  <c r="G250" i="7" a="1"/>
  <c r="G250" i="7" s="1"/>
  <c r="G251" i="7" s="1"/>
  <c r="H248" i="7"/>
  <c r="G288" i="7" a="1"/>
  <c r="G288" i="7" s="1"/>
  <c r="J256" i="7"/>
  <c r="I259" i="7" a="1"/>
  <c r="I259" i="7" s="1"/>
  <c r="I186" i="7" s="1"/>
  <c r="J257" i="7" a="1"/>
  <c r="J257" i="7" s="1"/>
  <c r="J258" i="7"/>
  <c r="F33" i="7"/>
  <c r="E46" i="7"/>
  <c r="I263" i="7"/>
  <c r="I264" i="7"/>
  <c r="J262" i="7" s="1"/>
  <c r="E47" i="7"/>
  <c r="G208" i="7"/>
  <c r="G210" i="7" s="1"/>
  <c r="H249" i="7"/>
  <c r="G291" i="7"/>
  <c r="G178" i="7"/>
  <c r="J46" i="7"/>
  <c r="J43" i="7"/>
  <c r="F32" i="7"/>
  <c r="F31" i="7"/>
  <c r="F30" i="7"/>
  <c r="F29" i="7"/>
  <c r="F28" i="7"/>
  <c r="F35" i="7" s="1"/>
  <c r="K23" i="7"/>
  <c r="J42" i="7"/>
  <c r="E41" i="7"/>
  <c r="E42" i="7"/>
  <c r="E43" i="7"/>
  <c r="E44" i="7"/>
  <c r="E45" i="7"/>
  <c r="F91" i="7"/>
  <c r="E15" i="8" s="1"/>
  <c r="E14" i="8" s="1"/>
  <c r="G59" i="7"/>
  <c r="H118" i="7"/>
  <c r="G117" i="7"/>
  <c r="G129" i="7" s="1"/>
  <c r="G132" i="7" s="1"/>
  <c r="F25" i="8" s="1"/>
  <c r="F26" i="8" s="1"/>
  <c r="H142" i="7"/>
  <c r="G140" i="7"/>
  <c r="I177" i="7"/>
  <c r="J156" i="7"/>
  <c r="H327" i="7" l="1"/>
  <c r="J327" i="7"/>
  <c r="I41" i="7"/>
  <c r="K22" i="7"/>
  <c r="K24" i="7" s="1"/>
  <c r="E24" i="7"/>
  <c r="K300" i="7" s="1"/>
  <c r="K256" i="7"/>
  <c r="J259" i="7" a="1"/>
  <c r="J259" i="7" s="1"/>
  <c r="J186" i="7" s="1"/>
  <c r="K257" i="7" a="1"/>
  <c r="K257" i="7" s="1"/>
  <c r="K258" i="7"/>
  <c r="K259" i="7" s="1" a="1"/>
  <c r="K259" i="7" s="1"/>
  <c r="K186" i="7" s="1"/>
  <c r="H250" i="7" a="1"/>
  <c r="H250" i="7" s="1"/>
  <c r="H251" i="7" s="1"/>
  <c r="J263" i="7"/>
  <c r="J264" i="7"/>
  <c r="K262" i="7" s="1"/>
  <c r="J177" i="7"/>
  <c r="K156" i="7"/>
  <c r="K177" i="7" s="1"/>
  <c r="G163" i="7"/>
  <c r="G147" i="7"/>
  <c r="G148" i="7" s="1"/>
  <c r="H145" i="7" s="1"/>
  <c r="I142" i="7"/>
  <c r="H140" i="7"/>
  <c r="G176" i="7"/>
  <c r="G133" i="7"/>
  <c r="I118" i="7"/>
  <c r="H117" i="7"/>
  <c r="H129" i="7" s="1"/>
  <c r="G91" i="7"/>
  <c r="F15" i="8" s="1"/>
  <c r="H59" i="7"/>
  <c r="H291" i="7"/>
  <c r="H178" i="7"/>
  <c r="I50" i="7" l="1"/>
  <c r="D50" i="7" s="1"/>
  <c r="K41" i="7"/>
  <c r="J41" i="7"/>
  <c r="J50" i="7" s="1"/>
  <c r="J316" i="7"/>
  <c r="J328" i="7"/>
  <c r="H328" i="7"/>
  <c r="H311" i="7"/>
  <c r="H317" i="7" s="1"/>
  <c r="H330" i="7" s="1"/>
  <c r="I248" i="7"/>
  <c r="H288" i="7" a="1"/>
  <c r="H288" i="7" s="1"/>
  <c r="K263" i="7"/>
  <c r="K264" i="7"/>
  <c r="H91" i="7"/>
  <c r="G15" i="8" s="1"/>
  <c r="I59" i="7"/>
  <c r="H132" i="7"/>
  <c r="G25" i="8" s="1"/>
  <c r="G26" i="8" s="1"/>
  <c r="H130" i="7"/>
  <c r="J118" i="7"/>
  <c r="I117" i="7"/>
  <c r="I129" i="7" s="1"/>
  <c r="H163" i="7"/>
  <c r="H147" i="7"/>
  <c r="J142" i="7"/>
  <c r="I140" i="7"/>
  <c r="H148" i="7"/>
  <c r="I145" i="7" s="1"/>
  <c r="G164" i="7"/>
  <c r="J317" i="7" l="1"/>
  <c r="J330" i="7" s="1"/>
  <c r="K316" i="7"/>
  <c r="F46" i="7"/>
  <c r="K46" i="7"/>
  <c r="D48" i="7"/>
  <c r="K43" i="7"/>
  <c r="K42" i="7"/>
  <c r="F41" i="7"/>
  <c r="F42" i="7"/>
  <c r="F43" i="7"/>
  <c r="F44" i="7"/>
  <c r="F45" i="7"/>
  <c r="K44" i="7"/>
  <c r="F47" i="7"/>
  <c r="I249" i="7"/>
  <c r="I163" i="7"/>
  <c r="I147" i="7"/>
  <c r="I148" i="7" s="1"/>
  <c r="J145" i="7" s="1"/>
  <c r="K142" i="7"/>
  <c r="K140" i="7" s="1"/>
  <c r="J140" i="7"/>
  <c r="H164" i="7"/>
  <c r="I132" i="7"/>
  <c r="H25" i="8" s="1"/>
  <c r="H26" i="8" s="1"/>
  <c r="I130" i="7"/>
  <c r="K118" i="7"/>
  <c r="K117" i="7" s="1"/>
  <c r="K129" i="7" s="1"/>
  <c r="J117" i="7"/>
  <c r="J129" i="7" s="1"/>
  <c r="H176" i="7"/>
  <c r="H133" i="7"/>
  <c r="I91" i="7"/>
  <c r="H15" i="8" s="1"/>
  <c r="J59" i="7"/>
  <c r="K50" i="7" l="1"/>
  <c r="I327" i="7"/>
  <c r="K327" i="7" s="1"/>
  <c r="K305" i="7"/>
  <c r="F48" i="7"/>
  <c r="F50" i="7" s="1"/>
  <c r="E48" i="7"/>
  <c r="E50" i="7" s="1"/>
  <c r="I250" i="7" a="1"/>
  <c r="I250" i="7" s="1"/>
  <c r="J91" i="7"/>
  <c r="I15" i="8" s="1"/>
  <c r="K59" i="7"/>
  <c r="K91" i="7" s="1"/>
  <c r="J15" i="8" s="1"/>
  <c r="J132" i="7"/>
  <c r="I25" i="8" s="1"/>
  <c r="I26" i="8" s="1"/>
  <c r="J130" i="7"/>
  <c r="K132" i="7"/>
  <c r="J25" i="8" s="1"/>
  <c r="J26" i="8" s="1"/>
  <c r="K130" i="7"/>
  <c r="I176" i="7"/>
  <c r="I133" i="7"/>
  <c r="J163" i="7"/>
  <c r="J147" i="7"/>
  <c r="K163" i="7"/>
  <c r="K147" i="7"/>
  <c r="J148" i="7"/>
  <c r="K145" i="7" s="1"/>
  <c r="K148" i="7" s="1"/>
  <c r="I164" i="7"/>
  <c r="I311" i="7" l="1"/>
  <c r="I328" i="7"/>
  <c r="K328" i="7" s="1"/>
  <c r="I291" i="7"/>
  <c r="I178" i="7"/>
  <c r="I251" i="7"/>
  <c r="K164" i="7"/>
  <c r="J164" i="7"/>
  <c r="K176" i="7"/>
  <c r="K133" i="7"/>
  <c r="J176" i="7"/>
  <c r="J133" i="7"/>
  <c r="I317" i="7" l="1"/>
  <c r="K317" i="7" s="1"/>
  <c r="K311" i="7"/>
  <c r="I330" i="7"/>
  <c r="K330" i="7" s="1"/>
  <c r="J248" i="7"/>
  <c r="J249" i="7" s="1"/>
  <c r="I288" i="7" a="1"/>
  <c r="I288" i="7" s="1"/>
  <c r="J250" i="7" a="1"/>
  <c r="J250" i="7" s="1"/>
  <c r="J291" i="7" l="1"/>
  <c r="J178" i="7"/>
  <c r="J251" i="7"/>
  <c r="K248" i="7" l="1"/>
  <c r="K249" i="7" s="1"/>
  <c r="J288" i="7" a="1"/>
  <c r="J288" i="7" s="1"/>
  <c r="K250" i="7" a="1"/>
  <c r="K250" i="7" s="1"/>
  <c r="K291" i="7" l="1"/>
  <c r="K178" i="7"/>
  <c r="K251" i="7"/>
  <c r="K288" i="7" s="1" a="1"/>
  <c r="K288" i="7" s="1"/>
  <c r="E9" i="5" l="1"/>
  <c r="E10" i="5"/>
  <c r="E11" i="5"/>
  <c r="K103" i="7"/>
  <c r="K299" i="7"/>
  <c r="K301" i="7"/>
  <c r="G75" i="7"/>
  <c r="K75" i="7"/>
  <c r="J75" i="7"/>
  <c r="I75" i="7"/>
  <c r="H75" i="7"/>
  <c r="F11" i="8"/>
  <c r="F14" i="8"/>
  <c r="F17" i="8"/>
  <c r="F28" i="8"/>
  <c r="F29" i="8"/>
  <c r="G11" i="8"/>
  <c r="G14" i="8"/>
  <c r="G17" i="8"/>
  <c r="G28" i="8"/>
  <c r="G29" i="8"/>
  <c r="H11" i="8"/>
  <c r="H14" i="8"/>
  <c r="H17" i="8"/>
  <c r="H28" i="8"/>
  <c r="H29" i="8"/>
  <c r="I11" i="8"/>
  <c r="I14" i="8"/>
  <c r="I17" i="8"/>
  <c r="I28" i="8"/>
  <c r="I29" i="8"/>
  <c r="J11" i="8"/>
  <c r="J14" i="8"/>
  <c r="J17" i="8"/>
  <c r="J28" i="8"/>
  <c r="J29" i="8"/>
  <c r="J31" i="8"/>
  <c r="J32" i="8"/>
  <c r="J34" i="8"/>
  <c r="J37" i="8"/>
  <c r="J40" i="8"/>
  <c r="J42" i="8"/>
  <c r="J12" i="8"/>
  <c r="I12" i="8"/>
  <c r="H12" i="8"/>
  <c r="G12" i="8"/>
  <c r="G76" i="7"/>
  <c r="H76" i="7"/>
  <c r="I76" i="7"/>
  <c r="J76" i="7"/>
  <c r="K76" i="7"/>
  <c r="K104" i="7"/>
  <c r="J103" i="7"/>
  <c r="J104" i="7"/>
  <c r="I103" i="7"/>
  <c r="I104" i="7"/>
  <c r="H103" i="7"/>
  <c r="H104" i="7"/>
  <c r="G103" i="7"/>
  <c r="G104" i="7"/>
  <c r="K6" i="7"/>
  <c r="K7" i="7"/>
  <c r="G78" i="7"/>
  <c r="H78" i="7"/>
  <c r="I78" i="7"/>
  <c r="J78" i="7"/>
  <c r="K78" i="7"/>
  <c r="G79" i="7"/>
  <c r="H79" i="7"/>
  <c r="I79" i="7"/>
  <c r="J79" i="7"/>
  <c r="K79" i="7"/>
  <c r="G84" i="7"/>
  <c r="H84" i="7"/>
  <c r="I84" i="7"/>
  <c r="J84" i="7"/>
  <c r="K84" i="7"/>
  <c r="G85" i="7"/>
  <c r="H85" i="7"/>
  <c r="I85" i="7"/>
  <c r="J85" i="7"/>
  <c r="K85" i="7"/>
  <c r="G87" i="7"/>
  <c r="H87" i="7"/>
  <c r="I87" i="7"/>
  <c r="J87" i="7"/>
  <c r="K87" i="7"/>
  <c r="G88" i="7"/>
  <c r="H88" i="7"/>
  <c r="I88" i="7"/>
  <c r="J88" i="7"/>
  <c r="K88" i="7"/>
  <c r="G90" i="7"/>
  <c r="H90" i="7"/>
  <c r="I90" i="7"/>
  <c r="J90" i="7"/>
  <c r="K90" i="7"/>
  <c r="G93" i="7"/>
  <c r="H93" i="7"/>
  <c r="I93" i="7"/>
  <c r="J93" i="7"/>
  <c r="K93" i="7"/>
  <c r="G94" i="7"/>
  <c r="H94" i="7"/>
  <c r="I94" i="7"/>
  <c r="J94" i="7"/>
  <c r="K94" i="7"/>
  <c r="G106" i="7"/>
  <c r="H106" i="7"/>
  <c r="I106" i="7"/>
  <c r="J106" i="7"/>
  <c r="K106" i="7"/>
  <c r="G107" i="7"/>
  <c r="H107" i="7"/>
  <c r="I107" i="7"/>
  <c r="J107" i="7"/>
  <c r="K107" i="7"/>
  <c r="G174" i="7"/>
  <c r="H174" i="7"/>
  <c r="I174" i="7"/>
  <c r="J174" i="7"/>
  <c r="K174" i="7"/>
  <c r="G179" i="7"/>
  <c r="H179" i="7"/>
  <c r="I179" i="7"/>
  <c r="J179" i="7"/>
  <c r="K179" i="7"/>
  <c r="G185" i="7"/>
  <c r="H185" i="7"/>
  <c r="I185" i="7"/>
  <c r="J185" i="7"/>
  <c r="K185" i="7"/>
  <c r="G187" i="7"/>
  <c r="H187" i="7"/>
  <c r="I187" i="7"/>
  <c r="J187" i="7"/>
  <c r="K187" i="7"/>
  <c r="G189" i="7"/>
  <c r="H189" i="7"/>
  <c r="I189" i="7"/>
  <c r="J189" i="7"/>
  <c r="K189" i="7"/>
  <c r="G190" i="7"/>
  <c r="H190" i="7"/>
  <c r="I190" i="7"/>
  <c r="J190" i="7"/>
  <c r="K190" i="7"/>
  <c r="G193" i="7"/>
  <c r="H193" i="7"/>
  <c r="I193" i="7"/>
  <c r="J193" i="7"/>
  <c r="K193" i="7"/>
  <c r="G194" i="7"/>
  <c r="H194" i="7"/>
  <c r="I194" i="7"/>
  <c r="J194" i="7"/>
  <c r="K194" i="7"/>
  <c r="G195" i="7"/>
  <c r="H195" i="7"/>
  <c r="I195" i="7"/>
  <c r="J195" i="7"/>
  <c r="K195" i="7"/>
  <c r="G197" i="7"/>
  <c r="H197" i="7"/>
  <c r="I197" i="7"/>
  <c r="J197" i="7"/>
  <c r="K197" i="7"/>
  <c r="H203" i="7"/>
  <c r="I203" i="7"/>
  <c r="J203" i="7"/>
  <c r="K203" i="7"/>
  <c r="G204" i="7"/>
  <c r="H204" i="7"/>
  <c r="I204" i="7"/>
  <c r="J204" i="7"/>
  <c r="K204" i="7"/>
  <c r="G205" i="7"/>
  <c r="H205" i="7"/>
  <c r="I205" i="7"/>
  <c r="J205" i="7"/>
  <c r="K205" i="7"/>
  <c r="H208" i="7"/>
  <c r="I208" i="7"/>
  <c r="J208" i="7"/>
  <c r="K208" i="7"/>
  <c r="H210" i="7"/>
  <c r="I210" i="7"/>
  <c r="J210" i="7"/>
  <c r="K210" i="7"/>
  <c r="G211" i="7"/>
  <c r="H211" i="7"/>
  <c r="I211" i="7"/>
  <c r="J211" i="7"/>
  <c r="K211" i="7"/>
  <c r="G212" i="7"/>
  <c r="H212" i="7"/>
  <c r="I212" i="7"/>
  <c r="J212" i="7"/>
  <c r="K212" i="7"/>
  <c r="H214" i="7"/>
  <c r="I214" i="7"/>
  <c r="J214" i="7"/>
  <c r="K214" i="7"/>
  <c r="G215" i="7"/>
  <c r="H215" i="7"/>
  <c r="I215" i="7"/>
  <c r="J215" i="7"/>
  <c r="K215" i="7"/>
  <c r="G216" i="7"/>
  <c r="H216" i="7"/>
  <c r="I216" i="7"/>
  <c r="J216" i="7"/>
  <c r="K216" i="7"/>
  <c r="G218" i="7"/>
  <c r="H218" i="7"/>
  <c r="I218" i="7"/>
  <c r="J218" i="7"/>
  <c r="K218" i="7"/>
  <c r="H221" i="7"/>
  <c r="I221" i="7"/>
  <c r="J221" i="7"/>
  <c r="K221" i="7"/>
  <c r="G222" i="7"/>
  <c r="H222" i="7"/>
  <c r="I222" i="7"/>
  <c r="J222" i="7"/>
  <c r="K222" i="7"/>
  <c r="G223" i="7"/>
  <c r="H223" i="7"/>
  <c r="I223" i="7"/>
  <c r="J223" i="7"/>
  <c r="K223" i="7"/>
  <c r="G224" i="7"/>
  <c r="H224" i="7"/>
  <c r="I224" i="7"/>
  <c r="J224" i="7"/>
  <c r="K224" i="7"/>
  <c r="G227" i="7"/>
  <c r="H227" i="7"/>
  <c r="I227" i="7"/>
  <c r="J227" i="7"/>
  <c r="K227" i="7"/>
  <c r="H230" i="7"/>
  <c r="I230" i="7"/>
  <c r="J230" i="7"/>
  <c r="K230" i="7"/>
  <c r="G231" i="7"/>
  <c r="H231" i="7"/>
  <c r="I231" i="7"/>
  <c r="J231" i="7"/>
  <c r="K231" i="7"/>
  <c r="G232" i="7"/>
  <c r="H232" i="7"/>
  <c r="I232" i="7"/>
  <c r="J232" i="7"/>
  <c r="K232" i="7"/>
  <c r="G233" i="7"/>
  <c r="H233" i="7"/>
  <c r="I233" i="7"/>
  <c r="J233" i="7"/>
  <c r="K233" i="7"/>
  <c r="G236" i="7"/>
  <c r="H236" i="7"/>
  <c r="I236" i="7"/>
  <c r="J236" i="7"/>
  <c r="K236" i="7"/>
  <c r="H239" i="7"/>
  <c r="I239" i="7"/>
  <c r="J239" i="7"/>
  <c r="K239" i="7"/>
  <c r="H240" i="7"/>
  <c r="I240" i="7"/>
  <c r="J240" i="7"/>
  <c r="K240" i="7"/>
  <c r="G241" i="7"/>
  <c r="H241" i="7"/>
  <c r="I241" i="7"/>
  <c r="J241" i="7"/>
  <c r="K241" i="7"/>
  <c r="G242" i="7"/>
  <c r="H242" i="7"/>
  <c r="I242" i="7"/>
  <c r="J242" i="7"/>
  <c r="K242" i="7"/>
  <c r="G245" i="7"/>
  <c r="H245" i="7"/>
  <c r="I245" i="7"/>
  <c r="J245" i="7"/>
  <c r="K245" i="7"/>
  <c r="H267" i="7"/>
  <c r="I267" i="7"/>
  <c r="J267" i="7"/>
  <c r="K267" i="7"/>
  <c r="G268" i="7"/>
  <c r="H268" i="7"/>
  <c r="I268" i="7"/>
  <c r="J268" i="7"/>
  <c r="K268" i="7"/>
  <c r="G269" i="7"/>
  <c r="H269" i="7"/>
  <c r="I269" i="7"/>
  <c r="J269" i="7"/>
  <c r="K269" i="7"/>
  <c r="G270" i="7"/>
  <c r="H270" i="7"/>
  <c r="I270" i="7"/>
  <c r="J270" i="7"/>
  <c r="K270" i="7"/>
  <c r="G273" i="7"/>
  <c r="H273" i="7"/>
  <c r="I273" i="7"/>
  <c r="J273" i="7"/>
  <c r="K273" i="7"/>
  <c r="G276" i="7"/>
  <c r="H276" i="7"/>
  <c r="I276" i="7"/>
  <c r="J276" i="7"/>
  <c r="K276" i="7"/>
  <c r="G279" i="7"/>
  <c r="H279" i="7"/>
  <c r="I279" i="7"/>
  <c r="J279" i="7"/>
  <c r="K279" i="7"/>
  <c r="G282" i="7"/>
  <c r="H282" i="7"/>
  <c r="I282" i="7"/>
  <c r="J282" i="7"/>
  <c r="K282" i="7"/>
  <c r="G285" i="7"/>
  <c r="H285" i="7"/>
  <c r="I285" i="7"/>
  <c r="J285" i="7"/>
  <c r="K285" i="7"/>
  <c r="G294" i="7"/>
  <c r="H294" i="7"/>
  <c r="I294" i="7"/>
  <c r="J294" i="7"/>
  <c r="K294" i="7"/>
  <c r="G295" i="7"/>
  <c r="H295" i="7"/>
  <c r="I295" i="7"/>
  <c r="J295" i="7"/>
  <c r="K295" i="7"/>
  <c r="K302" i="7"/>
  <c r="K303" i="7"/>
  <c r="K307" i="7"/>
  <c r="K30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Yana Michel</author>
    <author>Ben Chon</author>
  </authors>
  <commentList>
    <comment ref="E15" authorId="0" shapeId="0" xr:uid="{2F3ACAD2-AED2-4263-B436-07D938E57D21}">
      <text>
        <r>
          <rPr>
            <sz val="11"/>
            <color theme="1"/>
            <rFont val="Calibri"/>
            <family val="2"/>
            <scheme val="minor"/>
          </rPr>
          <t>Yana Michel:
https://www.bamsec.com/filing/134100410001510?cik=1352801</t>
        </r>
      </text>
    </comment>
    <comment ref="E21" authorId="0" shapeId="0" xr:uid="{107F0978-7FE7-48EE-AC9F-7AF731C53BC1}">
      <text>
        <r>
          <rPr>
            <sz val="11"/>
            <color theme="1"/>
            <rFont val="Calibri"/>
            <family val="2"/>
            <scheme val="minor"/>
          </rPr>
          <t xml:space="preserve">Yana Michel:
10K pg 72 - debt
10K pg 101 - current portion of capital lease
https://www.bamsec.com/filing/95012310081065?cik=1352801
</t>
        </r>
      </text>
    </comment>
    <comment ref="E22" authorId="1" shapeId="0" xr:uid="{C3EF62AF-23A2-44E2-93E4-592946FD77CA}">
      <text>
        <r>
          <rPr>
            <b/>
            <sz val="9"/>
            <color indexed="81"/>
            <rFont val="Tahoma"/>
            <family val="2"/>
          </rPr>
          <t>Ben Chon:</t>
        </r>
        <r>
          <rPr>
            <sz val="9"/>
            <color indexed="81"/>
            <rFont val="Tahoma"/>
            <family val="2"/>
          </rPr>
          <t xml:space="preserve">
10K pg 72
https://www.bamsec.com/filing/95012310081065?cik=1352801</t>
        </r>
      </text>
    </comment>
    <comment ref="E23" authorId="0" shapeId="0" xr:uid="{11AB6A6F-34B1-400E-89E2-19768E79CF2E}">
      <text>
        <r>
          <rPr>
            <sz val="11"/>
            <color theme="1"/>
            <rFont val="Calibri"/>
            <family val="2"/>
            <scheme val="minor"/>
          </rPr>
          <t>Yana Michel:
2011 10K pg 87
https://www.bamsec.com/filing/95012311027965?cik=1352801</t>
        </r>
      </text>
    </comment>
    <comment ref="E28" authorId="0" shapeId="0" xr:uid="{36CC890A-FFA0-4EF9-A2F6-89E0732DB026}">
      <text>
        <r>
          <rPr>
            <sz val="11"/>
            <color theme="1"/>
            <rFont val="Calibri"/>
            <family val="2"/>
            <scheme val="minor"/>
          </rPr>
          <t>Yana Michel:
In 2011 10KT pg 105
Can draw up to $150M
https://www.bamsec.com/filing/95012311027965?cik=1352801</t>
        </r>
      </text>
    </comment>
    <comment ref="G28" authorId="0" shapeId="0" xr:uid="{0AA67DA3-AFF8-4B3F-B1BD-4CBD7B5D9265}">
      <text>
        <r>
          <rPr>
            <sz val="11"/>
            <color theme="1"/>
            <rFont val="Calibri"/>
            <family val="2"/>
            <scheme val="minor"/>
          </rPr>
          <t>Yana Michel:
2011 10KT P 106</t>
        </r>
      </text>
    </comment>
    <comment ref="E29" authorId="0" shapeId="0" xr:uid="{AF0319E0-AE70-4DB3-BEFB-A7857423C04C}">
      <text>
        <r>
          <rPr>
            <sz val="11"/>
            <color theme="1"/>
            <rFont val="Calibri"/>
            <family val="2"/>
            <scheme val="minor"/>
          </rPr>
          <t>Yana Michel:
2011 10KT pg 105
https://www.bamsec.com/filing/95012311027965?cik=1352801</t>
        </r>
      </text>
    </comment>
    <comment ref="E30" authorId="0" shapeId="0" xr:uid="{AF8258F0-5A01-4D64-A8B3-1F9ECFF589ED}">
      <text>
        <r>
          <rPr>
            <sz val="11"/>
            <color theme="1"/>
            <rFont val="Calibri"/>
            <family val="2"/>
            <scheme val="minor"/>
          </rPr>
          <t>Yana Michel:
2011 10KT pg 105
https://www.bamsec.com/filing/95012311027965?cik=1352801</t>
        </r>
      </text>
    </comment>
    <comment ref="E31" authorId="0" shapeId="0" xr:uid="{C51389E9-1DC3-4879-84DD-0B9314E579D9}">
      <text>
        <r>
          <rPr>
            <sz val="11"/>
            <color theme="1"/>
            <rFont val="Calibri"/>
            <family val="2"/>
            <scheme val="minor"/>
          </rPr>
          <t>Yana Michel:
2011 10KT pg 105
https://www.bamsec.com/filing/95012311027965?cik=1352801</t>
        </r>
      </text>
    </comment>
    <comment ref="E32" authorId="0" shapeId="0" xr:uid="{4E69DA12-FCB6-4679-9AF9-A4877A320661}">
      <text>
        <r>
          <rPr>
            <sz val="11"/>
            <color theme="1"/>
            <rFont val="Calibri"/>
            <family val="2"/>
            <scheme val="minor"/>
          </rPr>
          <t>Yana Michel:
Illustrative</t>
        </r>
      </text>
    </comment>
    <comment ref="G32" authorId="0" shapeId="0" xr:uid="{880B9A4F-D2CF-49DA-A2BF-F534B8EE77B9}">
      <text>
        <r>
          <rPr>
            <sz val="11"/>
            <color theme="1"/>
            <rFont val="Calibri"/>
            <family val="2"/>
            <scheme val="minor"/>
          </rPr>
          <t>Yana Michel:
Illustrative</t>
        </r>
      </text>
    </comment>
    <comment ref="E33" authorId="0" shapeId="0" xr:uid="{B836F201-FF75-4B20-84D9-0C9C578793AC}">
      <text>
        <r>
          <rPr>
            <sz val="11"/>
            <color theme="1"/>
            <rFont val="Calibri"/>
            <family val="2"/>
            <scheme val="minor"/>
          </rPr>
          <t>Yana Michel:
Illustrative</t>
        </r>
      </text>
    </comment>
    <comment ref="G33" authorId="0" shapeId="0" xr:uid="{DCE966AC-2941-4A72-ADC2-8CAC88F063EC}">
      <text>
        <r>
          <rPr>
            <sz val="11"/>
            <color theme="1"/>
            <rFont val="Calibri"/>
            <family val="2"/>
            <scheme val="minor"/>
          </rPr>
          <t>Yana Michel:
Illustrative</t>
        </r>
      </text>
    </comment>
    <comment ref="I43" authorId="0" shapeId="0" xr:uid="{122AAB18-71A4-4F23-9912-BFD03177A349}">
      <text>
        <r>
          <rPr>
            <sz val="11"/>
            <color theme="1"/>
            <rFont val="Calibri"/>
            <family val="2"/>
            <scheme val="minor"/>
          </rPr>
          <t>Yana Michel:
2011 10K pg 87</t>
        </r>
      </text>
    </comment>
    <comment ref="I46" authorId="0" shapeId="0" xr:uid="{47B2DF9B-240C-4E19-B9A3-27ED5B726195}">
      <text>
        <r>
          <rPr>
            <sz val="11"/>
            <color theme="1"/>
            <rFont val="Calibri"/>
            <family val="2"/>
            <scheme val="minor"/>
          </rPr>
          <t>Yana Michel:
To get to $1.56BN in sponsor equity, adding this extra line item
2011 10K pg 87</t>
        </r>
      </text>
    </comment>
    <comment ref="G63" authorId="0" shapeId="0" xr:uid="{213892CD-F50D-4102-8059-A45176D52C95}">
      <text>
        <r>
          <rPr>
            <sz val="11"/>
            <color theme="1"/>
            <rFont val="Calibri"/>
            <family val="2"/>
            <scheme val="minor"/>
          </rPr>
          <t>Yana Michel:
PREM 14A pg 60</t>
        </r>
      </text>
    </comment>
    <comment ref="G81" authorId="0" shapeId="0" xr:uid="{7E504614-99D9-487F-A01E-069DA749741F}">
      <text>
        <r>
          <rPr>
            <sz val="11"/>
            <color theme="1"/>
            <rFont val="Calibri"/>
            <family val="2"/>
            <scheme val="minor"/>
          </rPr>
          <t>Yana Michel:
PREM 14A pg 60</t>
        </r>
      </text>
    </comment>
    <comment ref="E98" authorId="0" shapeId="0" xr:uid="{39D30A81-C6A2-4C04-99CF-3FE4CDB7F400}">
      <text>
        <r>
          <rPr>
            <sz val="11"/>
            <color theme="1"/>
            <rFont val="Calibri"/>
            <family val="2"/>
            <scheme val="minor"/>
          </rPr>
          <t>Yana Michel:
EX-99</t>
        </r>
      </text>
    </comment>
    <comment ref="E99" authorId="0" shapeId="0" xr:uid="{8B9C3614-7E48-4081-8C69-ABEE852D8A5F}">
      <text>
        <r>
          <rPr>
            <sz val="11"/>
            <color theme="1"/>
            <rFont val="Calibri"/>
            <family val="2"/>
            <scheme val="minor"/>
          </rPr>
          <t>Yana Michel:
https://www.bamsec.com/filing/115752310005220?cik=1352801</t>
        </r>
      </text>
    </comment>
    <comment ref="G109" authorId="0" shapeId="0" xr:uid="{11B659FE-5AFE-4765-BCEC-8B10E4373908}">
      <text>
        <r>
          <rPr>
            <sz val="11"/>
            <color theme="1"/>
            <rFont val="Calibri"/>
            <family val="2"/>
            <scheme val="minor"/>
          </rPr>
          <t>Yana Michel:
PREM14A pg 60</t>
        </r>
      </text>
    </comment>
    <comment ref="D114" authorId="0" shapeId="0" xr:uid="{789DB71A-12BF-40C7-BEEF-7FF22AFD82E8}">
      <text>
        <r>
          <rPr>
            <sz val="11"/>
            <color theme="1"/>
            <rFont val="Calibri"/>
            <family val="2"/>
            <scheme val="minor"/>
          </rPr>
          <t>Yana Michel:
2009 10K pg 73
https://www.bamsec.com/filing/95012309038762?cik=1352801</t>
        </r>
      </text>
    </comment>
    <comment ref="E114" authorId="0" shapeId="0" xr:uid="{252F3485-1B16-4C5E-B18B-2513E89ABB15}">
      <text>
        <r>
          <rPr>
            <sz val="11"/>
            <color theme="1"/>
            <rFont val="Calibri"/>
            <family val="2"/>
            <scheme val="minor"/>
          </rPr>
          <t>Yana Michel:
2009 10K pg 73
https://www.bamsec.com/filing/95012309038762?cik=1352801</t>
        </r>
      </text>
    </comment>
    <comment ref="F114" authorId="0" shapeId="0" xr:uid="{8B461F86-1BC3-40ED-B87E-D24D7392B43B}">
      <text>
        <r>
          <rPr>
            <sz val="11"/>
            <color theme="1"/>
            <rFont val="Calibri"/>
            <family val="2"/>
            <scheme val="minor"/>
          </rPr>
          <t>Yana Michel:
2009 10K pg 72
https://www.bamsec.com/filing/95012309038762?cik=1352801</t>
        </r>
      </text>
    </comment>
    <comment ref="G121" authorId="0" shapeId="0" xr:uid="{94ACE931-6191-4D53-AF5B-F3E970B2F45E}">
      <text>
        <r>
          <rPr>
            <sz val="11"/>
            <color theme="1"/>
            <rFont val="Calibri"/>
            <family val="2"/>
            <scheme val="minor"/>
          </rPr>
          <t>Yana Michel:
Given downward trend, used last year as projection</t>
        </r>
      </text>
    </comment>
    <comment ref="G127" authorId="0" shapeId="0" xr:uid="{DBBFFB3D-E327-4A99-BDD2-CBCDAA41CD50}">
      <text>
        <r>
          <rPr>
            <sz val="11"/>
            <color theme="1"/>
            <rFont val="Calibri"/>
            <family val="2"/>
            <scheme val="minor"/>
          </rPr>
          <t>Yana Michel:
Given downward trend, used last year as projection</t>
        </r>
      </text>
    </comment>
    <comment ref="D137" authorId="0" shapeId="0" xr:uid="{9441E9FE-DAA1-4C46-8BBF-CA6819497FA0}">
      <text>
        <r>
          <rPr>
            <sz val="11"/>
            <color theme="1"/>
            <rFont val="Calibri"/>
            <family val="2"/>
            <scheme val="minor"/>
          </rPr>
          <t>Yana Michel:
2010 10K pg 75</t>
        </r>
      </text>
    </comment>
    <comment ref="E137" authorId="0" shapeId="0" xr:uid="{D3F90875-F75A-4600-96B8-38A15033C1AB}">
      <text>
        <r>
          <rPr>
            <sz val="11"/>
            <color theme="1"/>
            <rFont val="Calibri"/>
            <family val="2"/>
            <scheme val="minor"/>
          </rPr>
          <t>Yana Michel:
2010 10K pg 75</t>
        </r>
      </text>
    </comment>
    <comment ref="F137" authorId="0" shapeId="0" xr:uid="{2A72AE61-F91F-4FF6-A153-3AA1B3169A1C}">
      <text>
        <r>
          <rPr>
            <sz val="11"/>
            <color theme="1"/>
            <rFont val="Calibri"/>
            <family val="2"/>
            <scheme val="minor"/>
          </rPr>
          <t>Yana Michel:
2010 10K pg 75</t>
        </r>
      </text>
    </comment>
    <comment ref="D140" authorId="0" shapeId="0" xr:uid="{5AF7F29A-6ACE-42B6-B67F-F0FB9D3A2F6D}">
      <text>
        <r>
          <rPr>
            <sz val="11"/>
            <color theme="1"/>
            <rFont val="Calibri"/>
            <family val="2"/>
            <scheme val="minor"/>
          </rPr>
          <t>Yana Michel:
2010 10 K pg 75
Backing into this number in order to tie with D&amp;A on cash flow statement</t>
        </r>
      </text>
    </comment>
    <comment ref="E140" authorId="0" shapeId="0" xr:uid="{41A33E80-8D60-43FD-A873-2F2AD4A16979}">
      <text>
        <r>
          <rPr>
            <sz val="11"/>
            <color theme="1"/>
            <rFont val="Calibri"/>
            <family val="2"/>
            <scheme val="minor"/>
          </rPr>
          <t>Yana Michel:
2010 10 K pg 75
Backing into this number in order to tie with D&amp;A on cash flow statement</t>
        </r>
      </text>
    </comment>
    <comment ref="F140" authorId="0" shapeId="0" xr:uid="{4F18711A-8E8A-4531-BA3C-4B5D090B4A7A}">
      <text>
        <r>
          <rPr>
            <sz val="11"/>
            <color theme="1"/>
            <rFont val="Calibri"/>
            <family val="2"/>
            <scheme val="minor"/>
          </rPr>
          <t>Yana Michel:
2010 10 K pg 75
Backing into this number in order to tie with D&amp;A on cash flow statement</t>
        </r>
      </text>
    </comment>
    <comment ref="F146" authorId="0" shapeId="0" xr:uid="{524DDDAE-8DD1-43EC-B5CE-86B60DD45F24}">
      <text>
        <r>
          <rPr>
            <sz val="11"/>
            <color theme="1"/>
            <rFont val="Calibri"/>
            <family val="2"/>
            <scheme val="minor"/>
          </rPr>
          <t>Yana Michel:
Does not tie to ending balance but included as reference</t>
        </r>
      </text>
    </comment>
    <comment ref="F147" authorId="0" shapeId="0" xr:uid="{7C5F55BF-9795-40E2-A709-05CE8BF09F06}">
      <text>
        <r>
          <rPr>
            <sz val="11"/>
            <color theme="1"/>
            <rFont val="Calibri"/>
            <family val="2"/>
            <scheme val="minor"/>
          </rPr>
          <t>Yana Michel:
Does not tie to ending balance but included as reference</t>
        </r>
      </text>
    </comment>
    <comment ref="F148" authorId="0" shapeId="0" xr:uid="{33D9806E-3D42-497C-BC52-B00B0FBFDE4B}">
      <text>
        <r>
          <rPr>
            <sz val="11"/>
            <color theme="1"/>
            <rFont val="Calibri"/>
            <family val="2"/>
            <scheme val="minor"/>
          </rPr>
          <t>Yana Michel:
2010 10K pg 72</t>
        </r>
      </text>
    </comment>
    <comment ref="D154" authorId="0" shapeId="0" xr:uid="{3B7C3537-6DD2-47AE-BBBD-3D400CB7A25A}">
      <text>
        <r>
          <rPr>
            <sz val="11"/>
            <color theme="1"/>
            <rFont val="Calibri"/>
            <family val="2"/>
            <scheme val="minor"/>
          </rPr>
          <t>Yana Michel:
2009 10K pg 73</t>
        </r>
      </text>
    </comment>
    <comment ref="E154" authorId="0" shapeId="0" xr:uid="{3C466FD5-2ED4-4AEB-9443-8C5991A10292}">
      <text>
        <r>
          <rPr>
            <sz val="11"/>
            <color theme="1"/>
            <rFont val="Calibri"/>
            <family val="2"/>
            <scheme val="minor"/>
          </rPr>
          <t>Yana Michel:
2010 10K pg 72</t>
        </r>
      </text>
    </comment>
    <comment ref="F154" authorId="0" shapeId="0" xr:uid="{0BD0339C-ECDA-4D1C-9C4D-AE277ADBA6FC}">
      <text>
        <r>
          <rPr>
            <sz val="11"/>
            <color theme="1"/>
            <rFont val="Calibri"/>
            <family val="2"/>
            <scheme val="minor"/>
          </rPr>
          <t>Yana Michel:
2010 10K pg 72</t>
        </r>
      </text>
    </comment>
    <comment ref="D156" authorId="0" shapeId="0" xr:uid="{5C10881A-CDEE-4113-85DD-C289FA2FCC9B}">
      <text>
        <r>
          <rPr>
            <sz val="11"/>
            <color theme="1"/>
            <rFont val="Calibri"/>
            <family val="2"/>
            <scheme val="minor"/>
          </rPr>
          <t>Yana Michel:
2009 10K pg 73</t>
        </r>
      </text>
    </comment>
    <comment ref="E156" authorId="0" shapeId="0" xr:uid="{B6500422-F7A4-4392-8BA8-08AD0830A4C4}">
      <text>
        <r>
          <rPr>
            <sz val="11"/>
            <color theme="1"/>
            <rFont val="Calibri"/>
            <family val="2"/>
            <scheme val="minor"/>
          </rPr>
          <t>Yana Michel:
2010 10K pg 72</t>
        </r>
      </text>
    </comment>
    <comment ref="F156" authorId="0" shapeId="0" xr:uid="{65512361-8334-48C2-9407-37165AEE3861}">
      <text>
        <r>
          <rPr>
            <sz val="11"/>
            <color theme="1"/>
            <rFont val="Calibri"/>
            <family val="2"/>
            <scheme val="minor"/>
          </rPr>
          <t>Yana Michel:
2010 10K pg 72</t>
        </r>
      </text>
    </comment>
    <comment ref="G203" authorId="0" shapeId="0" xr:uid="{7D71546A-D27A-41E4-863B-084246B1FC5D}">
      <text>
        <r>
          <rPr>
            <sz val="11"/>
            <color theme="1"/>
            <rFont val="Calibri"/>
            <family val="2"/>
            <scheme val="minor"/>
          </rPr>
          <t>Yana Michel:
Minimum Cash Balance</t>
        </r>
      </text>
    </comment>
    <comment ref="G323" authorId="0" shapeId="0" xr:uid="{224AA025-E4B4-4A33-8D7D-5621C4AB8AFF}">
      <text>
        <r>
          <rPr>
            <sz val="11"/>
            <color theme="1"/>
            <rFont val="Calibri"/>
            <family val="2"/>
            <scheme val="minor"/>
          </rPr>
          <t xml:space="preserve">Yana Michel:
Adding 5.6 Capital lease current portion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Yana Michel</author>
  </authors>
  <commentList>
    <comment ref="E7" authorId="0" shapeId="0" xr:uid="{419B5CF3-0BA3-4EBF-8F56-30ADBAD6EED7}">
      <text>
        <r>
          <rPr>
            <sz val="11"/>
            <color theme="1"/>
            <rFont val="Calibri"/>
            <family val="2"/>
            <scheme val="minor"/>
          </rPr>
          <t>Yana Michel:
2011 10K pg 88</t>
        </r>
      </text>
    </comment>
    <comment ref="E12" authorId="0" shapeId="0" xr:uid="{6498271D-1BC5-41CB-826D-484E7F017600}">
      <text>
        <r>
          <rPr>
            <sz val="11"/>
            <color theme="1"/>
            <rFont val="Calibri"/>
            <family val="2"/>
            <scheme val="minor"/>
          </rPr>
          <t>Yana Michel:
2011 10K pg 100</t>
        </r>
      </text>
    </comment>
    <comment ref="E14" authorId="0" shapeId="0" xr:uid="{0CD75E4D-193D-4FAD-87BF-BA90DD261119}">
      <text>
        <r>
          <rPr>
            <sz val="11"/>
            <color theme="1"/>
            <rFont val="Calibri"/>
            <family val="2"/>
            <scheme val="minor"/>
          </rPr>
          <t>Yana Michel:
2011 10K pg 88</t>
        </r>
      </text>
    </comment>
    <comment ref="C21" authorId="0" shapeId="0" xr:uid="{A416F195-F220-45AC-8F63-E55EC1BCDEF6}">
      <text>
        <r>
          <rPr>
            <sz val="11"/>
            <color theme="1"/>
            <rFont val="Calibri"/>
            <family val="2"/>
            <scheme val="minor"/>
          </rPr>
          <t>Yana Michel:
2011 10K pg 99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<sst xmlns="http://schemas.openxmlformats.org/spreadsheetml/2006/main" count="393" uniqueCount="248">
  <si>
    <t>Cover</t>
  </si>
  <si>
    <t>x</t>
  </si>
  <si>
    <t>Creating the Burger King LBO Model Processes</t>
  </si>
  <si>
    <t>- Assumptions Provided</t>
  </si>
  <si>
    <t>- Forecasting Cash Flow Statement</t>
  </si>
  <si>
    <t>- Sources and Uses Table</t>
  </si>
  <si>
    <t>- Forecasting Balance Sheet</t>
  </si>
  <si>
    <t>- Building the Operating Model</t>
  </si>
  <si>
    <t>- USD &amp; EUR Debt Tranches (e.g. revolver)</t>
  </si>
  <si>
    <t>- Building the Debt Schedule</t>
  </si>
  <si>
    <t>- Mandatory Debt Repayments</t>
  </si>
  <si>
    <t>- IRR Calculations</t>
  </si>
  <si>
    <t>- PIK</t>
  </si>
  <si>
    <t>- Obtain Assumptions Based on Real Tax Figures</t>
  </si>
  <si>
    <t>- Cash Sweep</t>
  </si>
  <si>
    <t>- LIBOR</t>
  </si>
  <si>
    <t>- Operating Model With Two Scenarios</t>
  </si>
  <si>
    <t>- Amortization of Financing Fees</t>
  </si>
  <si>
    <t>- Debt Schedule With Circuit Breaker</t>
  </si>
  <si>
    <t>- Sensitivity Table</t>
  </si>
  <si>
    <t>- Revenue Cases</t>
  </si>
  <si>
    <t>- Adding a DCF</t>
  </si>
  <si>
    <t>LBO</t>
  </si>
  <si>
    <t>Switches</t>
  </si>
  <si>
    <t>Circuit Breaker</t>
  </si>
  <si>
    <t>OFF</t>
  </si>
  <si>
    <t>IRR (for reference)</t>
  </si>
  <si>
    <t>Case</t>
  </si>
  <si>
    <t>Revolver Check</t>
  </si>
  <si>
    <t>PIK Toggle</t>
  </si>
  <si>
    <t>Assumptions</t>
  </si>
  <si>
    <t>Transaction Background</t>
  </si>
  <si>
    <t>Valuation at Entry</t>
  </si>
  <si>
    <t>Company name</t>
  </si>
  <si>
    <t>Burger King</t>
  </si>
  <si>
    <t>Offer value / share</t>
  </si>
  <si>
    <t>Ticker</t>
  </si>
  <si>
    <t>BKC</t>
  </si>
  <si>
    <t>% Premium / Discount</t>
  </si>
  <si>
    <t>Latest closing share price</t>
  </si>
  <si>
    <t>Latest closing share price date</t>
  </si>
  <si>
    <t>Offer value (Equity value)</t>
  </si>
  <si>
    <t>Diluted Shares Outstanding</t>
  </si>
  <si>
    <t>Transaction Financials and Assumptions</t>
  </si>
  <si>
    <t>Debt</t>
  </si>
  <si>
    <t>LTM EBITDA</t>
  </si>
  <si>
    <t>Cash</t>
  </si>
  <si>
    <t>Enterprise Value</t>
  </si>
  <si>
    <t>Minimum Cash</t>
  </si>
  <si>
    <t>Exit Multiple</t>
  </si>
  <si>
    <t>Entry Multiple</t>
  </si>
  <si>
    <t>Capital Structure</t>
  </si>
  <si>
    <t>Amount</t>
  </si>
  <si>
    <t>xEBITDA</t>
  </si>
  <si>
    <t>Interest (%)</t>
  </si>
  <si>
    <t>Fees (%)</t>
  </si>
  <si>
    <t>Fee ($)</t>
  </si>
  <si>
    <t>Term</t>
  </si>
  <si>
    <t>Amortization</t>
  </si>
  <si>
    <t>Revolver</t>
  </si>
  <si>
    <t>Secured Term Loan - USD Tranche</t>
  </si>
  <si>
    <t>Secured Term Loan - EUR Tranche</t>
  </si>
  <si>
    <t>Senior Notes</t>
  </si>
  <si>
    <t>PIK</t>
  </si>
  <si>
    <t>Subordinated Notes</t>
  </si>
  <si>
    <t>Preferred Equity</t>
  </si>
  <si>
    <t>Total</t>
  </si>
  <si>
    <t>Sources and Uses</t>
  </si>
  <si>
    <t>Sources</t>
  </si>
  <si>
    <t>Uses</t>
  </si>
  <si>
    <t>% Capital</t>
  </si>
  <si>
    <t>Equity Payment</t>
  </si>
  <si>
    <t>Debt Refinanciang</t>
  </si>
  <si>
    <t>Transaction Fees</t>
  </si>
  <si>
    <t>Financiang Fees</t>
  </si>
  <si>
    <t>Other</t>
  </si>
  <si>
    <t>Cash on hand</t>
  </si>
  <si>
    <t>Sponsor Equity</t>
  </si>
  <si>
    <t>Financials (6/30 FYE)</t>
  </si>
  <si>
    <t>Step</t>
  </si>
  <si>
    <t>Revenue Growth</t>
  </si>
  <si>
    <t>--</t>
  </si>
  <si>
    <t>Gross Margin</t>
  </si>
  <si>
    <t>OpEx Margin</t>
  </si>
  <si>
    <t>Tax Rate</t>
  </si>
  <si>
    <t>Operating Model</t>
  </si>
  <si>
    <t>Revenue</t>
  </si>
  <si>
    <t>% growth</t>
  </si>
  <si>
    <t>COGS</t>
  </si>
  <si>
    <t>% of sales</t>
  </si>
  <si>
    <t>Gross Profit</t>
  </si>
  <si>
    <t>OpEx</t>
  </si>
  <si>
    <t>EBIT</t>
  </si>
  <si>
    <t>EBIT - Conservative</t>
  </si>
  <si>
    <t>EBIT - Management</t>
  </si>
  <si>
    <t>Interest Expense</t>
  </si>
  <si>
    <t>Interest Income</t>
  </si>
  <si>
    <t>EBT</t>
  </si>
  <si>
    <t>Taxes</t>
  </si>
  <si>
    <t>% tax rate</t>
  </si>
  <si>
    <t>Net Income</t>
  </si>
  <si>
    <t>EBITDA Reconciliation</t>
  </si>
  <si>
    <t>D&amp;A</t>
  </si>
  <si>
    <t>Adjustments</t>
  </si>
  <si>
    <t>EBITDA</t>
  </si>
  <si>
    <t>EBITDA - Conservative</t>
  </si>
  <si>
    <t>EBITDA - Management</t>
  </si>
  <si>
    <t>Working Capital</t>
  </si>
  <si>
    <t>Accounts Receivable</t>
  </si>
  <si>
    <t>Prepaids and Other Current Assets</t>
  </si>
  <si>
    <t>Accounts Payable</t>
  </si>
  <si>
    <t>Note</t>
  </si>
  <si>
    <t>Accrued Advertising</t>
  </si>
  <si>
    <t>Negative on cfs for assets = outflow of cash</t>
  </si>
  <si>
    <t>Positive on cfs for assets = inflow of cash</t>
  </si>
  <si>
    <t>Negative on cfs for liabilities = inflow of cash</t>
  </si>
  <si>
    <t>Other Accrued Liabilities</t>
  </si>
  <si>
    <t>Positive on cfs for liabilities = outflow of cash</t>
  </si>
  <si>
    <t>Net Working Capital</t>
  </si>
  <si>
    <t>Change in Net Working Capital</t>
  </si>
  <si>
    <t>Long Lived Assets</t>
  </si>
  <si>
    <t>CapEx</t>
  </si>
  <si>
    <t>Depriciation of PP&amp;E</t>
  </si>
  <si>
    <t>% of CapEx</t>
  </si>
  <si>
    <t>PP&amp;E</t>
  </si>
  <si>
    <t>Beginning Balance</t>
  </si>
  <si>
    <t>Capital Expenditures</t>
  </si>
  <si>
    <t>Depreciation</t>
  </si>
  <si>
    <t>Ending Balance</t>
  </si>
  <si>
    <t>Intangible Assets</t>
  </si>
  <si>
    <t>Purchases / (Impaiment)</t>
  </si>
  <si>
    <t>Goodwill and Other Assets</t>
  </si>
  <si>
    <t>Other Liabilities</t>
  </si>
  <si>
    <t>D&amp;A - Conservative</t>
  </si>
  <si>
    <t>D&amp;A - Management</t>
  </si>
  <si>
    <t>Cash Flow Statement</t>
  </si>
  <si>
    <t>Changes in Net Working  Capital</t>
  </si>
  <si>
    <t>Other Long-Term Assets and Liabilities</t>
  </si>
  <si>
    <t>PIK Interest</t>
  </si>
  <si>
    <t>Cash Flow From Operating</t>
  </si>
  <si>
    <t>Purchases of Intagible Assets</t>
  </si>
  <si>
    <t>Cash Flow From Investing</t>
  </si>
  <si>
    <t>Mandatory Debt Repayments</t>
  </si>
  <si>
    <t>Dividends</t>
  </si>
  <si>
    <t>Pre-Revolver Cash Flow (Levered Free Cash Flow)</t>
  </si>
  <si>
    <t>Post-Revolver Cash Flow</t>
  </si>
  <si>
    <t>Discretionary Payments</t>
  </si>
  <si>
    <t>Cash from Investing</t>
  </si>
  <si>
    <t>Net Change in Cash</t>
  </si>
  <si>
    <t>Debt Schedule</t>
  </si>
  <si>
    <t>Debt Paydown</t>
  </si>
  <si>
    <t>Inflow / (Outflow)</t>
  </si>
  <si>
    <t>Beginning Cash Balance</t>
  </si>
  <si>
    <t xml:space="preserve">Minimum Cash Balance </t>
  </si>
  <si>
    <t>Begining Exess Cash</t>
  </si>
  <si>
    <t>Free Cash Flow</t>
  </si>
  <si>
    <t>Cash Available to Pay Down / (Draw From) Revolver</t>
  </si>
  <si>
    <t>Increase / (Decrease)</t>
  </si>
  <si>
    <t>Maximum Availability</t>
  </si>
  <si>
    <t>CHECK</t>
  </si>
  <si>
    <t>Mandatory Paydown</t>
  </si>
  <si>
    <t>Paydown From Excess Cash Flow</t>
  </si>
  <si>
    <t>Mandatory Paydown (% of Initial Amount)</t>
  </si>
  <si>
    <t>Cash Sweep</t>
  </si>
  <si>
    <t>% of Available</t>
  </si>
  <si>
    <t>PIK Accrual</t>
  </si>
  <si>
    <t>Dividend (Cash)</t>
  </si>
  <si>
    <t>Capitalized Financing Fees</t>
  </si>
  <si>
    <t>Total Debt</t>
  </si>
  <si>
    <t>Paydown</t>
  </si>
  <si>
    <t>Interest</t>
  </si>
  <si>
    <t>Interest Income Rate</t>
  </si>
  <si>
    <t>Interest Rate</t>
  </si>
  <si>
    <t>*</t>
  </si>
  <si>
    <t>Cash Interest Rate</t>
  </si>
  <si>
    <t>PIK Interest Rate</t>
  </si>
  <si>
    <t>Total Interest Expense</t>
  </si>
  <si>
    <t>Blended Interest Rate</t>
  </si>
  <si>
    <t xml:space="preserve">IRR </t>
  </si>
  <si>
    <t>LTM EBITDA at Exit</t>
  </si>
  <si>
    <t>Net Debt</t>
  </si>
  <si>
    <t>Sponsor Equity Value</t>
  </si>
  <si>
    <t>Sponsor Equity at Entry</t>
  </si>
  <si>
    <t>MOIC</t>
  </si>
  <si>
    <t>IRR</t>
  </si>
  <si>
    <t>Pro Forma Balance Sheet</t>
  </si>
  <si>
    <t>Use of Funds</t>
  </si>
  <si>
    <t>Sources of Funds</t>
  </si>
  <si>
    <t>Accounting</t>
  </si>
  <si>
    <t>Pro Forma 2010E</t>
  </si>
  <si>
    <t>Total Assets</t>
  </si>
  <si>
    <t>Total Liabilities</t>
  </si>
  <si>
    <t>Preferred Stock</t>
  </si>
  <si>
    <t>Equity</t>
  </si>
  <si>
    <t>Total Equity</t>
  </si>
  <si>
    <t>Check</t>
  </si>
  <si>
    <t>Sensitivity Table</t>
  </si>
  <si>
    <t>Interest Rate of Loan for Secured Term Loan (US)</t>
  </si>
  <si>
    <t>DCF</t>
  </si>
  <si>
    <t>WACC</t>
  </si>
  <si>
    <t>TGR</t>
  </si>
  <si>
    <t>Year - Discount Period</t>
  </si>
  <si>
    <t>DCF (6/30, USD M)</t>
  </si>
  <si>
    <t>2010A</t>
  </si>
  <si>
    <t>2011E</t>
  </si>
  <si>
    <t>2012E</t>
  </si>
  <si>
    <t>2013E</t>
  </si>
  <si>
    <t>2014E</t>
  </si>
  <si>
    <t>2015E</t>
  </si>
  <si>
    <t>Tax rate</t>
  </si>
  <si>
    <t>EBIAT</t>
  </si>
  <si>
    <t>Change in NWC</t>
  </si>
  <si>
    <t>Unlevered FCF</t>
  </si>
  <si>
    <t>PV of Unlevered FCF</t>
  </si>
  <si>
    <t>Terminal Value</t>
  </si>
  <si>
    <t>PV of Terminal Value</t>
  </si>
  <si>
    <t>Equity Value</t>
  </si>
  <si>
    <t>FDSO</t>
  </si>
  <si>
    <t>Share Price</t>
  </si>
  <si>
    <t>Offer Price (For Reference)</t>
  </si>
  <si>
    <t>Discount / (Premium)</t>
  </si>
  <si>
    <t>WACC = % of equity x cost of equity + % of debt x cost of debt x (1 - Tax Rate)</t>
  </si>
  <si>
    <t>Cost of equity = Risk free rate + Beta x Market Risk Premium</t>
  </si>
  <si>
    <t>Market Cap</t>
  </si>
  <si>
    <t>% of Equity</t>
  </si>
  <si>
    <t>Cost of Equity</t>
  </si>
  <si>
    <t>Risk Free Rate</t>
  </si>
  <si>
    <t>10Y TREASURY YIELD ON 9/1/2010</t>
  </si>
  <si>
    <t>Beta</t>
  </si>
  <si>
    <t>HISTORICAL BETA ON 9/1/2010</t>
  </si>
  <si>
    <t>Market Risk Premium</t>
  </si>
  <si>
    <t>% of Debt</t>
  </si>
  <si>
    <t>Cost of Debt</t>
  </si>
  <si>
    <t>Diluted Share Count Calculation</t>
  </si>
  <si>
    <t>Full Diluted Shares</t>
  </si>
  <si>
    <t>Offer price</t>
  </si>
  <si>
    <t>Basic shares outstanding (latest filing)</t>
  </si>
  <si>
    <t>In-the-money exercisable options</t>
  </si>
  <si>
    <t>Total proceeds ($mm)</t>
  </si>
  <si>
    <t>Total shares repurchased (mm)</t>
  </si>
  <si>
    <t>Net dilutive options</t>
  </si>
  <si>
    <t xml:space="preserve">Dilutive impact of shares from other securities </t>
  </si>
  <si>
    <t>Settled stock based comp</t>
  </si>
  <si>
    <t>Net diluted shares outstanding</t>
  </si>
  <si>
    <t>Options outstanding</t>
  </si>
  <si>
    <t>Outstanding</t>
  </si>
  <si>
    <t>Exercise price</t>
  </si>
  <si>
    <t>Dilutive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</si>
</sst>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m/d/yyyy_)"/>
    <numFmt numFmtId="165" formatCode="#,##0.0_);\(#,##0.0\)"/>
    <numFmt numFmtId="166" formatCode="0.0%"/>
    <numFmt numFmtId="167" formatCode="0\ &quot;yrs&quot;"/>
    <numFmt numFmtId="168" formatCode="#,##0.0_);\(#,##0.0\);@_)"/>
    <numFmt numFmtId="169" formatCode="&quot;Tranche&quot;\ 0"/>
    <numFmt numFmtId="170" formatCode="0&quot;A&quot;"/>
    <numFmt numFmtId="171" formatCode="0&quot;E&quot;"/>
    <numFmt numFmtId="172" formatCode="0.0%_);\(0.0%\);@_)"/>
    <numFmt numFmtId="173" formatCode="0.00%_);\(0.00%\);@_)"/>
    <numFmt numFmtId="174" formatCode="0.0\x_)"/>
    <numFmt numFmtId="175" formatCode="0_);\(0\)"/>
    <numFmt numFmtId="176" formatCode="_(* #,##0_);_(* \(#,##0\);_(* &quot;-&quot;??_);_(@_)"/>
    <numFmt numFmtId="177" formatCode="#,##0.0000_);\(#,##0.0000\)"/>
    <numFmt numFmtId="178" formatCode="0.00000%"/>
    <numFmt numFmtId="179" formatCode="&quot;$&quot;#,##0.0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color rgb="FF000000"/>
      <name val="Times New Roman"/>
      <family val="1"/>
    </font>
    <font>
      <i/>
      <sz val="11"/>
      <name val="Calibri"/>
      <family val="2"/>
      <scheme val="minor"/>
    </font>
    <font>
      <i/>
      <sz val="11"/>
      <color rgb="FF7030A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32">
    <xf numFmtId="0" fontId="0" fillId="0" borderId="0" xfId="0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2" fillId="2" borderId="0" xfId="0" applyFont="1" applyFill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indent="1"/>
    </xf>
    <xf numFmtId="9" fontId="0" fillId="0" borderId="0" xfId="1" applyFont="1"/>
    <xf numFmtId="9" fontId="8" fillId="0" borderId="0" xfId="1" applyFont="1"/>
    <xf numFmtId="39" fontId="9" fillId="3" borderId="2" xfId="0" applyNumberFormat="1" applyFont="1" applyFill="1" applyBorder="1" applyAlignment="1">
      <alignment horizontal="right"/>
    </xf>
    <xf numFmtId="164" fontId="9" fillId="3" borderId="2" xfId="0" applyNumberFormat="1" applyFont="1" applyFill="1" applyBorder="1" applyAlignment="1">
      <alignment horizontal="right"/>
    </xf>
    <xf numFmtId="165" fontId="9" fillId="3" borderId="2" xfId="0" applyNumberFormat="1" applyFont="1" applyFill="1" applyBorder="1" applyAlignment="1">
      <alignment horizontal="right"/>
    </xf>
    <xf numFmtId="37" fontId="9" fillId="3" borderId="2" xfId="0" applyNumberFormat="1" applyFont="1" applyFill="1" applyBorder="1" applyAlignment="1">
      <alignment horizontal="right"/>
    </xf>
    <xf numFmtId="0" fontId="12" fillId="0" borderId="0" xfId="0" applyFont="1" applyAlignment="1">
      <alignment horizontal="right"/>
    </xf>
    <xf numFmtId="37" fontId="9" fillId="0" borderId="0" xfId="0" applyNumberFormat="1" applyFont="1" applyAlignment="1">
      <alignment horizontal="right"/>
    </xf>
    <xf numFmtId="37" fontId="13" fillId="0" borderId="0" xfId="0" applyNumberFormat="1" applyFont="1" applyAlignment="1">
      <alignment horizontal="right"/>
    </xf>
    <xf numFmtId="166" fontId="8" fillId="0" borderId="0" xfId="1" applyNumberFormat="1" applyFont="1"/>
    <xf numFmtId="166" fontId="14" fillId="0" borderId="0" xfId="1" applyNumberFormat="1" applyFont="1"/>
    <xf numFmtId="167" fontId="7" fillId="0" borderId="0" xfId="0" applyNumberFormat="1" applyFont="1"/>
    <xf numFmtId="37" fontId="0" fillId="0" borderId="0" xfId="0" applyNumberFormat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68" fontId="17" fillId="0" borderId="0" xfId="0" applyNumberFormat="1" applyFont="1"/>
    <xf numFmtId="168" fontId="0" fillId="0" borderId="0" xfId="0" applyNumberFormat="1"/>
    <xf numFmtId="168" fontId="7" fillId="0" borderId="0" xfId="0" applyNumberFormat="1" applyFont="1"/>
    <xf numFmtId="0" fontId="3" fillId="0" borderId="0" xfId="0" applyFont="1" applyAlignment="1">
      <alignment horizontal="left"/>
    </xf>
    <xf numFmtId="165" fontId="0" fillId="0" borderId="0" xfId="0" applyNumberFormat="1"/>
    <xf numFmtId="168" fontId="3" fillId="0" borderId="0" xfId="0" applyNumberFormat="1" applyFont="1"/>
    <xf numFmtId="169" fontId="0" fillId="0" borderId="0" xfId="0" applyNumberFormat="1" applyAlignment="1">
      <alignment horizontal="left"/>
    </xf>
    <xf numFmtId="2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169" fontId="0" fillId="0" borderId="1" xfId="0" applyNumberFormat="1" applyBorder="1" applyAlignment="1">
      <alignment horizontal="left"/>
    </xf>
    <xf numFmtId="165" fontId="9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 indent="1"/>
    </xf>
    <xf numFmtId="0" fontId="3" fillId="4" borderId="3" xfId="0" applyFont="1" applyFill="1" applyBorder="1"/>
    <xf numFmtId="0" fontId="3" fillId="4" borderId="4" xfId="0" applyFont="1" applyFill="1" applyBorder="1"/>
    <xf numFmtId="2" fontId="3" fillId="4" borderId="5" xfId="0" applyNumberFormat="1" applyFont="1" applyFill="1" applyBorder="1" applyAlignment="1">
      <alignment horizontal="right" indent="1"/>
    </xf>
    <xf numFmtId="39" fontId="18" fillId="3" borderId="2" xfId="0" applyNumberFormat="1" applyFont="1" applyFill="1" applyBorder="1" applyAlignment="1">
      <alignment horizontal="right"/>
    </xf>
    <xf numFmtId="39" fontId="0" fillId="0" borderId="0" xfId="0" applyNumberFormat="1"/>
    <xf numFmtId="37" fontId="15" fillId="0" borderId="0" xfId="0" applyNumberFormat="1" applyFont="1" applyAlignment="1">
      <alignment horizontal="right"/>
    </xf>
    <xf numFmtId="39" fontId="19" fillId="3" borderId="2" xfId="0" applyNumberFormat="1" applyFont="1" applyFill="1" applyBorder="1" applyAlignment="1">
      <alignment horizontal="right"/>
    </xf>
    <xf numFmtId="37" fontId="17" fillId="0" borderId="0" xfId="0" applyNumberFormat="1" applyFont="1" applyAlignment="1">
      <alignment horizontal="right"/>
    </xf>
    <xf numFmtId="37" fontId="3" fillId="0" borderId="0" xfId="0" applyNumberFormat="1" applyFont="1"/>
    <xf numFmtId="37" fontId="13" fillId="0" borderId="0" xfId="0" applyNumberFormat="1" applyFont="1"/>
    <xf numFmtId="37" fontId="17" fillId="0" borderId="0" xfId="0" applyNumberFormat="1" applyFont="1"/>
    <xf numFmtId="37" fontId="7" fillId="0" borderId="0" xfId="0" applyNumberFormat="1" applyFont="1"/>
    <xf numFmtId="4" fontId="0" fillId="0" borderId="0" xfId="0" applyNumberFormat="1"/>
    <xf numFmtId="0" fontId="20" fillId="5" borderId="0" xfId="0" applyFont="1" applyFill="1" applyAlignment="1">
      <alignment horizontal="left"/>
    </xf>
    <xf numFmtId="0" fontId="20" fillId="5" borderId="0" xfId="0" applyFont="1" applyFill="1" applyAlignment="1">
      <alignment vertical="center" wrapText="1"/>
    </xf>
    <xf numFmtId="172" fontId="21" fillId="3" borderId="2" xfId="1" applyNumberFormat="1" applyFont="1" applyFill="1" applyBorder="1" applyAlignment="1">
      <alignment horizontal="right"/>
    </xf>
    <xf numFmtId="172" fontId="21" fillId="3" borderId="2" xfId="1" quotePrefix="1" applyNumberFormat="1" applyFont="1" applyFill="1" applyBorder="1" applyAlignment="1">
      <alignment horizontal="right"/>
    </xf>
    <xf numFmtId="172" fontId="22" fillId="0" borderId="0" xfId="0" quotePrefix="1" applyNumberFormat="1" applyFont="1" applyAlignment="1">
      <alignment horizontal="right"/>
    </xf>
    <xf numFmtId="0" fontId="20" fillId="0" borderId="0" xfId="0" applyFont="1" applyAlignment="1">
      <alignment horizontal="left"/>
    </xf>
    <xf numFmtId="0" fontId="20" fillId="0" borderId="0" xfId="0" applyFont="1" applyAlignment="1">
      <alignment vertical="center" wrapText="1"/>
    </xf>
    <xf numFmtId="172" fontId="23" fillId="3" borderId="2" xfId="1" applyNumberFormat="1" applyFont="1" applyFill="1" applyBorder="1" applyAlignment="1">
      <alignment horizontal="right"/>
    </xf>
    <xf numFmtId="173" fontId="21" fillId="3" borderId="2" xfId="1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4" borderId="6" xfId="0" applyFont="1" applyFill="1" applyBorder="1"/>
    <xf numFmtId="0" fontId="3" fillId="4" borderId="7" xfId="0" applyFont="1" applyFill="1" applyBorder="1"/>
    <xf numFmtId="37" fontId="24" fillId="4" borderId="7" xfId="0" applyNumberFormat="1" applyFont="1" applyFill="1" applyBorder="1"/>
    <xf numFmtId="37" fontId="3" fillId="4" borderId="7" xfId="0" applyNumberFormat="1" applyFont="1" applyFill="1" applyBorder="1"/>
    <xf numFmtId="0" fontId="3" fillId="4" borderId="9" xfId="0" applyFont="1" applyFill="1" applyBorder="1" applyAlignment="1">
      <alignment horizontal="left" indent="1"/>
    </xf>
    <xf numFmtId="0" fontId="3" fillId="4" borderId="1" xfId="0" applyFont="1" applyFill="1" applyBorder="1"/>
    <xf numFmtId="172" fontId="25" fillId="4" borderId="1" xfId="0" quotePrefix="1" applyNumberFormat="1" applyFont="1" applyFill="1" applyBorder="1" applyAlignment="1">
      <alignment horizontal="right"/>
    </xf>
    <xf numFmtId="0" fontId="8" fillId="0" borderId="0" xfId="0" applyFont="1" applyAlignment="1">
      <alignment horizontal="left" indent="1"/>
    </xf>
    <xf numFmtId="0" fontId="26" fillId="4" borderId="9" xfId="0" applyFont="1" applyFill="1" applyBorder="1" applyAlignment="1">
      <alignment horizontal="left" indent="1"/>
    </xf>
    <xf numFmtId="0" fontId="0" fillId="4" borderId="7" xfId="0" applyFill="1" applyBorder="1"/>
    <xf numFmtId="0" fontId="0" fillId="4" borderId="1" xfId="0" applyFill="1" applyBorder="1"/>
    <xf numFmtId="0" fontId="12" fillId="0" borderId="0" xfId="0" applyFont="1"/>
    <xf numFmtId="37" fontId="7" fillId="0" borderId="1" xfId="0" applyNumberFormat="1" applyFont="1" applyBorder="1"/>
    <xf numFmtId="37" fontId="17" fillId="3" borderId="2" xfId="0" applyNumberFormat="1" applyFont="1" applyFill="1" applyBorder="1" applyAlignment="1">
      <alignment horizontal="right"/>
    </xf>
    <xf numFmtId="174" fontId="0" fillId="0" borderId="0" xfId="0" applyNumberFormat="1"/>
    <xf numFmtId="174" fontId="17" fillId="3" borderId="2" xfId="0" applyNumberFormat="1" applyFont="1" applyFill="1" applyBorder="1" applyAlignment="1">
      <alignment horizontal="right"/>
    </xf>
    <xf numFmtId="37" fontId="3" fillId="4" borderId="4" xfId="0" applyNumberFormat="1" applyFont="1" applyFill="1" applyBorder="1"/>
    <xf numFmtId="174" fontId="3" fillId="4" borderId="4" xfId="0" applyNumberFormat="1" applyFont="1" applyFill="1" applyBorder="1"/>
    <xf numFmtId="37" fontId="15" fillId="4" borderId="4" xfId="0" applyNumberFormat="1" applyFont="1" applyFill="1" applyBorder="1" applyAlignment="1">
      <alignment horizontal="right"/>
    </xf>
    <xf numFmtId="37" fontId="15" fillId="4" borderId="5" xfId="0" applyNumberFormat="1" applyFont="1" applyFill="1" applyBorder="1" applyAlignment="1">
      <alignment horizontal="right"/>
    </xf>
    <xf numFmtId="9" fontId="3" fillId="4" borderId="5" xfId="1" applyFont="1" applyFill="1" applyBorder="1"/>
    <xf numFmtId="37" fontId="27" fillId="0" borderId="0" xfId="0" applyNumberFormat="1" applyFont="1"/>
    <xf numFmtId="172" fontId="22" fillId="0" borderId="0" xfId="0" applyNumberFormat="1" applyFont="1"/>
    <xf numFmtId="172" fontId="26" fillId="4" borderId="1" xfId="0" applyNumberFormat="1" applyFont="1" applyFill="1" applyBorder="1"/>
    <xf numFmtId="172" fontId="28" fillId="4" borderId="1" xfId="0" applyNumberFormat="1" applyFont="1" applyFill="1" applyBorder="1"/>
    <xf numFmtId="37" fontId="27" fillId="4" borderId="7" xfId="0" applyNumberFormat="1" applyFont="1" applyFill="1" applyBorder="1"/>
    <xf numFmtId="37" fontId="15" fillId="0" borderId="0" xfId="0" applyNumberFormat="1" applyFont="1"/>
    <xf numFmtId="37" fontId="15" fillId="4" borderId="7" xfId="0" applyNumberFormat="1" applyFont="1" applyFill="1" applyBorder="1"/>
    <xf numFmtId="0" fontId="3" fillId="0" borderId="0" xfId="0" applyFont="1" applyAlignment="1">
      <alignment horizontal="left" indent="1"/>
    </xf>
    <xf numFmtId="0" fontId="12" fillId="4" borderId="6" xfId="0" applyFont="1" applyFill="1" applyBorder="1"/>
    <xf numFmtId="0" fontId="0" fillId="4" borderId="11" xfId="0" applyFill="1" applyBorder="1" applyAlignment="1">
      <alignment horizontal="left" indent="1"/>
    </xf>
    <xf numFmtId="0" fontId="0" fillId="4" borderId="0" xfId="0" applyFill="1"/>
    <xf numFmtId="37" fontId="0" fillId="4" borderId="0" xfId="0" applyNumberFormat="1" applyFill="1"/>
    <xf numFmtId="37" fontId="3" fillId="4" borderId="1" xfId="0" applyNumberFormat="1" applyFont="1" applyFill="1" applyBorder="1"/>
    <xf numFmtId="0" fontId="23" fillId="0" borderId="0" xfId="0" applyFont="1"/>
    <xf numFmtId="37" fontId="29" fillId="0" borderId="0" xfId="0" applyNumberFormat="1" applyFont="1"/>
    <xf numFmtId="166" fontId="22" fillId="0" borderId="0" xfId="0" applyNumberFormat="1" applyFont="1"/>
    <xf numFmtId="174" fontId="15" fillId="4" borderId="8" xfId="0" applyNumberFormat="1" applyFont="1" applyFill="1" applyBorder="1"/>
    <xf numFmtId="0" fontId="3" fillId="4" borderId="9" xfId="0" applyFont="1" applyFill="1" applyBorder="1"/>
    <xf numFmtId="166" fontId="3" fillId="4" borderId="10" xfId="1" applyNumberFormat="1" applyFont="1" applyFill="1" applyBorder="1"/>
    <xf numFmtId="174" fontId="17" fillId="0" borderId="1" xfId="0" applyNumberFormat="1" applyFont="1" applyBorder="1"/>
    <xf numFmtId="0" fontId="3" fillId="0" borderId="3" xfId="0" applyFont="1" applyBorder="1"/>
    <xf numFmtId="0" fontId="3" fillId="0" borderId="4" xfId="0" applyFont="1" applyBorder="1"/>
    <xf numFmtId="37" fontId="3" fillId="0" borderId="5" xfId="0" applyNumberFormat="1" applyFont="1" applyBorder="1"/>
    <xf numFmtId="166" fontId="3" fillId="0" borderId="0" xfId="0" applyNumberFormat="1" applyFont="1"/>
    <xf numFmtId="0" fontId="2" fillId="6" borderId="0" xfId="0" applyFont="1" applyFill="1"/>
    <xf numFmtId="0" fontId="2" fillId="7" borderId="0" xfId="0" applyFont="1" applyFill="1"/>
    <xf numFmtId="170" fontId="2" fillId="6" borderId="0" xfId="0" applyNumberFormat="1" applyFont="1" applyFill="1"/>
    <xf numFmtId="171" fontId="2" fillId="6" borderId="0" xfId="0" applyNumberFormat="1" applyFont="1" applyFill="1"/>
    <xf numFmtId="171" fontId="2" fillId="6" borderId="0" xfId="0" applyNumberFormat="1" applyFont="1" applyFill="1" applyAlignment="1">
      <alignment horizontal="center"/>
    </xf>
    <xf numFmtId="37" fontId="30" fillId="0" borderId="0" xfId="0" applyNumberFormat="1" applyFont="1" applyAlignment="1">
      <alignment horizontal="right"/>
    </xf>
    <xf numFmtId="172" fontId="22" fillId="0" borderId="0" xfId="1" applyNumberFormat="1" applyFont="1" applyFill="1" applyBorder="1" applyAlignment="1">
      <alignment horizontal="right"/>
    </xf>
    <xf numFmtId="37" fontId="3" fillId="4" borderId="12" xfId="0" applyNumberFormat="1" applyFont="1" applyFill="1" applyBorder="1"/>
    <xf numFmtId="172" fontId="25" fillId="4" borderId="13" xfId="0" quotePrefix="1" applyNumberFormat="1" applyFont="1" applyFill="1" applyBorder="1" applyAlignment="1">
      <alignment horizontal="right"/>
    </xf>
    <xf numFmtId="172" fontId="31" fillId="0" borderId="0" xfId="1" applyNumberFormat="1" applyFont="1" applyFill="1" applyBorder="1" applyAlignment="1">
      <alignment horizontal="right"/>
    </xf>
    <xf numFmtId="1" fontId="0" fillId="0" borderId="0" xfId="0" applyNumberFormat="1"/>
    <xf numFmtId="172" fontId="32" fillId="8" borderId="14" xfId="1" applyNumberFormat="1" applyFont="1" applyFill="1" applyBorder="1" applyAlignment="1">
      <alignment horizontal="right"/>
    </xf>
    <xf numFmtId="37" fontId="24" fillId="8" borderId="15" xfId="0" applyNumberFormat="1" applyFont="1" applyFill="1" applyBorder="1"/>
    <xf numFmtId="172" fontId="32" fillId="8" borderId="16" xfId="1" applyNumberFormat="1" applyFont="1" applyFill="1" applyBorder="1" applyAlignment="1">
      <alignment horizontal="right"/>
    </xf>
    <xf numFmtId="37" fontId="15" fillId="4" borderId="12" xfId="0" applyNumberFormat="1" applyFont="1" applyFill="1" applyBorder="1"/>
    <xf numFmtId="0" fontId="3" fillId="8" borderId="15" xfId="0" applyFont="1" applyFill="1" applyBorder="1"/>
    <xf numFmtId="0" fontId="3" fillId="8" borderId="14" xfId="0" applyFont="1" applyFill="1" applyBorder="1"/>
    <xf numFmtId="37" fontId="0" fillId="4" borderId="7" xfId="0" applyNumberFormat="1" applyFill="1" applyBorder="1"/>
    <xf numFmtId="37" fontId="0" fillId="4" borderId="12" xfId="0" applyNumberFormat="1" applyFill="1" applyBorder="1"/>
    <xf numFmtId="37" fontId="0" fillId="4" borderId="17" xfId="0" applyNumberFormat="1" applyFill="1" applyBorder="1"/>
    <xf numFmtId="37" fontId="3" fillId="4" borderId="13" xfId="0" applyNumberFormat="1" applyFont="1" applyFill="1" applyBorder="1"/>
    <xf numFmtId="166" fontId="22" fillId="0" borderId="0" xfId="1" applyNumberFormat="1" applyFont="1"/>
    <xf numFmtId="172" fontId="32" fillId="8" borderId="14" xfId="1" quotePrefix="1" applyNumberFormat="1" applyFont="1" applyFill="1" applyBorder="1" applyAlignment="1">
      <alignment horizontal="right"/>
    </xf>
    <xf numFmtId="37" fontId="3" fillId="4" borderId="7" xfId="0" quotePrefix="1" applyNumberFormat="1" applyFont="1" applyFill="1" applyBorder="1" applyAlignment="1">
      <alignment horizontal="right"/>
    </xf>
    <xf numFmtId="172" fontId="34" fillId="0" borderId="0" xfId="2" applyNumberFormat="1" applyFont="1" applyFill="1"/>
    <xf numFmtId="172" fontId="31" fillId="0" borderId="0" xfId="2" applyNumberFormat="1" applyFont="1" applyFill="1"/>
    <xf numFmtId="0" fontId="8" fillId="0" borderId="0" xfId="0" applyFont="1"/>
    <xf numFmtId="172" fontId="26" fillId="4" borderId="13" xfId="0" applyNumberFormat="1" applyFont="1" applyFill="1" applyBorder="1"/>
    <xf numFmtId="1" fontId="17" fillId="0" borderId="0" xfId="0" applyNumberFormat="1" applyFont="1"/>
    <xf numFmtId="1" fontId="7" fillId="0" borderId="0" xfId="0" applyNumberFormat="1" applyFont="1"/>
    <xf numFmtId="175" fontId="0" fillId="0" borderId="0" xfId="0" applyNumberFormat="1"/>
    <xf numFmtId="37" fontId="33" fillId="0" borderId="0" xfId="0" applyNumberFormat="1" applyFont="1"/>
    <xf numFmtId="176" fontId="0" fillId="0" borderId="0" xfId="0" applyNumberFormat="1"/>
    <xf numFmtId="172" fontId="22" fillId="0" borderId="0" xfId="2" applyNumberFormat="1" applyFont="1" applyFill="1"/>
    <xf numFmtId="176" fontId="17" fillId="0" borderId="0" xfId="0" applyNumberFormat="1" applyFont="1"/>
    <xf numFmtId="1" fontId="24" fillId="0" borderId="0" xfId="0" applyNumberFormat="1" applyFont="1"/>
    <xf numFmtId="1" fontId="27" fillId="0" borderId="0" xfId="0" applyNumberFormat="1" applyFont="1"/>
    <xf numFmtId="1" fontId="27" fillId="8" borderId="15" xfId="0" applyNumberFormat="1" applyFont="1" applyFill="1" applyBorder="1"/>
    <xf numFmtId="1" fontId="27" fillId="8" borderId="18" xfId="0" applyNumberFormat="1" applyFont="1" applyFill="1" applyBorder="1"/>
    <xf numFmtId="0" fontId="0" fillId="0" borderId="14" xfId="0" applyBorder="1"/>
    <xf numFmtId="1" fontId="17" fillId="0" borderId="14" xfId="0" applyNumberFormat="1" applyFont="1" applyBorder="1"/>
    <xf numFmtId="0" fontId="17" fillId="0" borderId="0" xfId="0" applyFont="1"/>
    <xf numFmtId="1" fontId="7" fillId="0" borderId="0" xfId="1" applyNumberFormat="1" applyFont="1"/>
    <xf numFmtId="37" fontId="16" fillId="0" borderId="0" xfId="0" applyNumberFormat="1" applyFont="1"/>
    <xf numFmtId="37" fontId="35" fillId="0" borderId="0" xfId="0" applyNumberFormat="1" applyFont="1"/>
    <xf numFmtId="175" fontId="17" fillId="0" borderId="0" xfId="0" applyNumberFormat="1" applyFont="1"/>
    <xf numFmtId="0" fontId="7" fillId="0" borderId="0" xfId="0" applyFont="1"/>
    <xf numFmtId="0" fontId="3" fillId="0" borderId="0" xfId="0" applyFont="1" applyAlignment="1">
      <alignment horizontal="right"/>
    </xf>
    <xf numFmtId="0" fontId="36" fillId="0" borderId="0" xfId="0" applyFont="1"/>
    <xf numFmtId="0" fontId="36" fillId="0" borderId="0" xfId="0" applyFont="1" applyAlignment="1">
      <alignment horizontal="right"/>
    </xf>
    <xf numFmtId="172" fontId="14" fillId="3" borderId="2" xfId="1" applyNumberFormat="1" applyFont="1" applyFill="1" applyBorder="1" applyAlignment="1">
      <alignment horizontal="right"/>
    </xf>
    <xf numFmtId="37" fontId="3" fillId="0" borderId="0" xfId="0" applyNumberFormat="1" applyFont="1" applyAlignment="1">
      <alignment horizontal="right"/>
    </xf>
    <xf numFmtId="37" fontId="17" fillId="0" borderId="0" xfId="0" applyNumberFormat="1" applyFont="1" applyAlignment="1">
      <alignment horizontal="left" indent="1"/>
    </xf>
    <xf numFmtId="0" fontId="3" fillId="4" borderId="19" xfId="0" applyFont="1" applyFill="1" applyBorder="1"/>
    <xf numFmtId="0" fontId="3" fillId="4" borderId="15" xfId="0" applyFont="1" applyFill="1" applyBorder="1"/>
    <xf numFmtId="37" fontId="3" fillId="4" borderId="15" xfId="0" applyNumberFormat="1" applyFont="1" applyFill="1" applyBorder="1"/>
    <xf numFmtId="37" fontId="3" fillId="4" borderId="18" xfId="0" applyNumberFormat="1" applyFont="1" applyFill="1" applyBorder="1"/>
    <xf numFmtId="0" fontId="26" fillId="4" borderId="20" xfId="0" applyFont="1" applyFill="1" applyBorder="1" applyAlignment="1">
      <alignment horizontal="left" indent="1"/>
    </xf>
    <xf numFmtId="0" fontId="3" fillId="4" borderId="14" xfId="0" applyFont="1" applyFill="1" applyBorder="1"/>
    <xf numFmtId="9" fontId="26" fillId="4" borderId="14" xfId="1" applyFont="1" applyFill="1" applyBorder="1"/>
    <xf numFmtId="9" fontId="26" fillId="4" borderId="16" xfId="1" applyFont="1" applyFill="1" applyBorder="1"/>
    <xf numFmtId="0" fontId="3" fillId="4" borderId="21" xfId="0" applyFont="1" applyFill="1" applyBorder="1"/>
    <xf numFmtId="37" fontId="3" fillId="4" borderId="22" xfId="0" applyNumberFormat="1" applyFont="1" applyFill="1" applyBorder="1"/>
    <xf numFmtId="0" fontId="3" fillId="4" borderId="22" xfId="0" applyFont="1" applyFill="1" applyBorder="1"/>
    <xf numFmtId="37" fontId="24" fillId="0" borderId="0" xfId="0" applyNumberFormat="1" applyFont="1"/>
    <xf numFmtId="176" fontId="3" fillId="0" borderId="0" xfId="0" applyNumberFormat="1" applyFont="1"/>
    <xf numFmtId="166" fontId="14" fillId="0" borderId="0" xfId="1" applyNumberFormat="1" applyFont="1" applyAlignment="1">
      <alignment horizontal="right"/>
    </xf>
    <xf numFmtId="37" fontId="27" fillId="0" borderId="0" xfId="0" applyNumberFormat="1" applyFont="1" applyAlignment="1">
      <alignment horizontal="right" indent="1"/>
    </xf>
    <xf numFmtId="37" fontId="3" fillId="4" borderId="23" xfId="0" applyNumberFormat="1" applyFont="1" applyFill="1" applyBorder="1"/>
    <xf numFmtId="170" fontId="2" fillId="6" borderId="0" xfId="0" applyNumberFormat="1" applyFont="1" applyFill="1" applyAlignment="1">
      <alignment horizontal="center"/>
    </xf>
    <xf numFmtId="1" fontId="17" fillId="0" borderId="0" xfId="0" applyNumberFormat="1" applyFont="1" applyAlignment="1">
      <alignment horizontal="right"/>
    </xf>
    <xf numFmtId="1" fontId="3" fillId="0" borderId="0" xfId="0" applyNumberFormat="1" applyFont="1"/>
    <xf numFmtId="177" fontId="36" fillId="0" borderId="0" xfId="0" applyNumberFormat="1" applyFont="1"/>
    <xf numFmtId="177" fontId="34" fillId="0" borderId="0" xfId="0" applyNumberFormat="1" applyFont="1" applyAlignment="1">
      <alignment horizontal="right"/>
    </xf>
    <xf numFmtId="1" fontId="7" fillId="0" borderId="14" xfId="0" applyNumberFormat="1" applyFont="1" applyBorder="1"/>
    <xf numFmtId="37" fontId="0" fillId="0" borderId="14" xfId="0" applyNumberFormat="1" applyBorder="1"/>
    <xf numFmtId="37" fontId="17" fillId="0" borderId="14" xfId="0" applyNumberFormat="1" applyFont="1" applyBorder="1"/>
    <xf numFmtId="1" fontId="17" fillId="0" borderId="14" xfId="0" applyNumberFormat="1" applyFont="1" applyBorder="1" applyAlignment="1">
      <alignment horizontal="right"/>
    </xf>
    <xf numFmtId="0" fontId="0" fillId="9" borderId="0" xfId="0" applyFill="1"/>
    <xf numFmtId="0" fontId="0" fillId="9" borderId="24" xfId="0" applyFill="1" applyBorder="1"/>
    <xf numFmtId="174" fontId="0" fillId="9" borderId="14" xfId="0" applyNumberFormat="1" applyFill="1" applyBorder="1"/>
    <xf numFmtId="174" fontId="0" fillId="9" borderId="17" xfId="0" applyNumberFormat="1" applyFill="1" applyBorder="1"/>
    <xf numFmtId="174" fontId="0" fillId="9" borderId="16" xfId="0" applyNumberFormat="1" applyFill="1" applyBorder="1"/>
    <xf numFmtId="171" fontId="2" fillId="0" borderId="0" xfId="0" applyNumberFormat="1" applyFont="1" applyAlignment="1">
      <alignment horizontal="center"/>
    </xf>
    <xf numFmtId="166" fontId="0" fillId="0" borderId="0" xfId="0" applyNumberFormat="1"/>
    <xf numFmtId="166" fontId="0" fillId="0" borderId="17" xfId="0" applyNumberFormat="1" applyBorder="1"/>
    <xf numFmtId="166" fontId="0" fillId="0" borderId="14" xfId="0" applyNumberFormat="1" applyBorder="1"/>
    <xf numFmtId="166" fontId="0" fillId="0" borderId="16" xfId="0" applyNumberFormat="1" applyBorder="1"/>
    <xf numFmtId="170" fontId="2" fillId="0" borderId="0" xfId="0" applyNumberFormat="1" applyFont="1"/>
    <xf numFmtId="170" fontId="2" fillId="0" borderId="0" xfId="0" applyNumberFormat="1" applyFont="1" applyAlignment="1">
      <alignment horizontal="center"/>
    </xf>
    <xf numFmtId="0" fontId="0" fillId="9" borderId="19" xfId="0" applyFill="1" applyBorder="1"/>
    <xf numFmtId="0" fontId="0" fillId="9" borderId="15" xfId="0" applyFill="1" applyBorder="1"/>
    <xf numFmtId="0" fontId="5" fillId="0" borderId="1" xfId="0" applyFont="1" applyBorder="1" applyAlignment="1">
      <alignment horizontal="center"/>
    </xf>
    <xf numFmtId="3" fontId="3" fillId="0" borderId="4" xfId="0" applyNumberFormat="1" applyFont="1" applyBorder="1"/>
    <xf numFmtId="3" fontId="3" fillId="0" borderId="5" xfId="0" applyNumberFormat="1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7" xfId="0" applyFont="1" applyBorder="1"/>
    <xf numFmtId="3" fontId="3" fillId="0" borderId="7" xfId="0" applyNumberFormat="1" applyFont="1" applyBorder="1"/>
    <xf numFmtId="3" fontId="3" fillId="0" borderId="8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3" fontId="3" fillId="0" borderId="10" xfId="0" applyNumberFormat="1" applyFont="1" applyBorder="1"/>
    <xf numFmtId="37" fontId="30" fillId="0" borderId="0" xfId="0" applyNumberFormat="1" applyFont="1"/>
    <xf numFmtId="9" fontId="0" fillId="0" borderId="0" xfId="0" applyNumberFormat="1"/>
    <xf numFmtId="9" fontId="16" fillId="0" borderId="0" xfId="0" applyNumberFormat="1" applyFont="1"/>
    <xf numFmtId="9" fontId="30" fillId="0" borderId="0" xfId="0" applyNumberFormat="1" applyFont="1"/>
    <xf numFmtId="1" fontId="30" fillId="0" borderId="0" xfId="0" applyNumberFormat="1" applyFont="1"/>
    <xf numFmtId="3" fontId="0" fillId="0" borderId="0" xfId="0" applyNumberFormat="1"/>
    <xf numFmtId="166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0" fillId="10" borderId="2" xfId="0" applyNumberFormat="1" applyFill="1" applyBorder="1" applyAlignment="1">
      <alignment horizontal="right"/>
    </xf>
    <xf numFmtId="0" fontId="0" fillId="10" borderId="2" xfId="0" applyFill="1" applyBorder="1" applyAlignment="1">
      <alignment horizontal="right"/>
    </xf>
    <xf numFmtId="178" fontId="0" fillId="0" borderId="0" xfId="0" applyNumberFormat="1"/>
    <xf numFmtId="3" fontId="0" fillId="10" borderId="2" xfId="0" applyNumberFormat="1" applyFill="1" applyBorder="1" applyAlignment="1">
      <alignment horizontal="right"/>
    </xf>
    <xf numFmtId="166" fontId="7" fillId="10" borderId="2" xfId="0" applyNumberFormat="1" applyFont="1" applyFill="1" applyBorder="1" applyAlignment="1">
      <alignment horizontal="right"/>
    </xf>
    <xf numFmtId="179" fontId="0" fillId="0" borderId="0" xfId="0" applyNumberFormat="1"/>
    <xf numFmtId="179" fontId="30" fillId="0" borderId="0" xfId="0" applyNumberFormat="1" applyFont="1"/>
    <xf numFmtId="0" fontId="6" fillId="0" borderId="0" xfId="2" applyFill="1" applyAlignment="1">
      <alignment horizontal="left"/>
    </xf>
    <xf numFmtId="0" fontId="12" fillId="9" borderId="24" xfId="0" applyFont="1" applyFill="1" applyBorder="1" applyAlignment="1">
      <alignment horizontal="center" vertical="center" textRotation="90"/>
    </xf>
    <xf numFmtId="0" fontId="12" fillId="9" borderId="20" xfId="0" applyFont="1" applyFill="1" applyBorder="1" applyAlignment="1">
      <alignment horizontal="center" vertical="center" textRotation="90"/>
    </xf>
    <xf numFmtId="0" fontId="12" fillId="9" borderId="15" xfId="0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0F07-0EC9-40B6-A51F-9605B13E61C3}">
  <dimension ref="A2:K14"/>
  <sheetViews>
    <sheetView showGridLines="0" tabSelected="1" zoomScaleNormal="100" workbookViewId="0">
      <selection activeCell="N10" sqref="N10"/>
    </sheetView>
  </sheetViews>
  <sheetFormatPr defaultColWidth="8.85546875" defaultRowHeight="15"/>
  <cols>
    <col min="1" max="1" width="3.7109375" style="4" customWidth="1"/>
  </cols>
  <sheetData>
    <row r="2" spans="1:11" s="3" customFormat="1" ht="21">
      <c r="A2" s="1"/>
      <c r="B2" s="2" t="s">
        <v>0</v>
      </c>
    </row>
    <row r="4" spans="1:11">
      <c r="A4" s="4" t="s">
        <v>1</v>
      </c>
      <c r="B4" s="5" t="s">
        <v>2</v>
      </c>
      <c r="C4" s="5"/>
      <c r="D4" s="5"/>
      <c r="E4" s="5"/>
      <c r="F4" s="5"/>
      <c r="G4" s="5"/>
      <c r="H4" s="5"/>
      <c r="I4" s="5"/>
      <c r="J4" s="5"/>
      <c r="K4" s="5"/>
    </row>
    <row r="5" spans="1:11">
      <c r="B5" s="6" t="s">
        <v>3</v>
      </c>
      <c r="G5" s="6" t="s">
        <v>4</v>
      </c>
    </row>
    <row r="6" spans="1:11">
      <c r="B6" s="6" t="s">
        <v>5</v>
      </c>
      <c r="G6" s="6" t="s">
        <v>6</v>
      </c>
    </row>
    <row r="7" spans="1:11">
      <c r="B7" s="6" t="s">
        <v>7</v>
      </c>
      <c r="G7" s="6" t="s">
        <v>8</v>
      </c>
    </row>
    <row r="8" spans="1:11">
      <c r="B8" s="6" t="s">
        <v>9</v>
      </c>
      <c r="G8" s="6" t="s">
        <v>10</v>
      </c>
    </row>
    <row r="9" spans="1:11">
      <c r="B9" s="6" t="s">
        <v>11</v>
      </c>
      <c r="G9" s="6" t="s">
        <v>12</v>
      </c>
    </row>
    <row r="10" spans="1:11">
      <c r="B10" s="6" t="s">
        <v>13</v>
      </c>
      <c r="G10" s="6" t="s">
        <v>14</v>
      </c>
    </row>
    <row r="11" spans="1:11">
      <c r="B11" s="6" t="s">
        <v>5</v>
      </c>
      <c r="G11" s="6" t="s">
        <v>15</v>
      </c>
    </row>
    <row r="12" spans="1:11">
      <c r="B12" s="6" t="s">
        <v>16</v>
      </c>
      <c r="G12" s="6" t="s">
        <v>17</v>
      </c>
    </row>
    <row r="13" spans="1:11">
      <c r="B13" s="6" t="s">
        <v>18</v>
      </c>
      <c r="G13" s="6" t="s">
        <v>19</v>
      </c>
    </row>
    <row r="14" spans="1:11">
      <c r="B14" s="6" t="s">
        <v>20</v>
      </c>
      <c r="G14" s="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91EA-B028-4A27-BF00-6BA9046E6DD7}">
  <dimension ref="A2:XFC341"/>
  <sheetViews>
    <sheetView showGridLines="0" zoomScaleNormal="100" workbookViewId="0">
      <selection activeCell="L15" sqref="L15"/>
    </sheetView>
  </sheetViews>
  <sheetFormatPr defaultColWidth="15.7109375" defaultRowHeight="15"/>
  <cols>
    <col min="1" max="1" width="3.7109375" style="4" customWidth="1"/>
    <col min="2" max="2" width="24.85546875" customWidth="1"/>
    <col min="3" max="3" width="5.85546875" customWidth="1"/>
    <col min="4" max="7" width="11.28515625" customWidth="1"/>
    <col min="8" max="8" width="16.5703125" customWidth="1"/>
  </cols>
  <sheetData>
    <row r="2" spans="1:11" s="3" customFormat="1" ht="21">
      <c r="A2" s="1"/>
      <c r="B2" s="2" t="s">
        <v>22</v>
      </c>
    </row>
    <row r="4" spans="1:11">
      <c r="A4" s="4" t="s">
        <v>1</v>
      </c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</row>
    <row r="5" spans="1:11" ht="5.0999999999999996" customHeight="1"/>
    <row r="6" spans="1:11">
      <c r="B6" t="s">
        <v>24</v>
      </c>
      <c r="E6" s="12" t="s">
        <v>25</v>
      </c>
      <c r="I6" s="8" t="s">
        <v>26</v>
      </c>
      <c r="K6" s="108">
        <f ca="1">K308</f>
        <v>0.21241250436940806</v>
      </c>
    </row>
    <row r="7" spans="1:11">
      <c r="B7" t="s">
        <v>27</v>
      </c>
      <c r="E7" s="15">
        <v>2</v>
      </c>
      <c r="F7" s="63" t="str">
        <f>IF(E7=1,"Conservative","Management")</f>
        <v>Management</v>
      </c>
      <c r="I7" s="8" t="s">
        <v>28</v>
      </c>
      <c r="K7" s="156" t="str">
        <f ca="1">G218</f>
        <v>OK</v>
      </c>
    </row>
    <row r="8" spans="1:11">
      <c r="B8" t="s">
        <v>29</v>
      </c>
      <c r="E8" s="15">
        <v>1</v>
      </c>
      <c r="F8" s="63" t="str">
        <f>IF(E8=1,"Cash","PIK")</f>
        <v>Cash</v>
      </c>
      <c r="I8" s="8"/>
      <c r="K8" s="156"/>
    </row>
    <row r="10" spans="1:11">
      <c r="A10" s="4" t="s">
        <v>1</v>
      </c>
      <c r="B10" s="110" t="s">
        <v>30</v>
      </c>
      <c r="C10" s="110"/>
      <c r="D10" s="110"/>
      <c r="E10" s="110"/>
      <c r="F10" s="110"/>
      <c r="G10" s="110"/>
      <c r="H10" s="110"/>
      <c r="I10" s="110"/>
      <c r="J10" s="110"/>
      <c r="K10" s="110"/>
    </row>
    <row r="11" spans="1:11" ht="5.0999999999999996" customHeight="1"/>
    <row r="12" spans="1:11">
      <c r="B12" s="109" t="s">
        <v>31</v>
      </c>
      <c r="C12" s="109"/>
      <c r="D12" s="109"/>
      <c r="E12" s="109"/>
      <c r="H12" s="109" t="s">
        <v>32</v>
      </c>
      <c r="I12" s="109"/>
      <c r="J12" s="109"/>
      <c r="K12" s="109"/>
    </row>
    <row r="13" spans="1:11">
      <c r="B13" t="s">
        <v>33</v>
      </c>
      <c r="E13" s="12" t="s">
        <v>34</v>
      </c>
      <c r="H13" s="8" t="s">
        <v>35</v>
      </c>
      <c r="K13" s="47">
        <v>24</v>
      </c>
    </row>
    <row r="14" spans="1:11">
      <c r="B14" t="s">
        <v>36</v>
      </c>
      <c r="E14" s="12" t="s">
        <v>37</v>
      </c>
      <c r="H14" s="9" t="s">
        <v>38</v>
      </c>
      <c r="K14" s="11">
        <f>K13/E15-1</f>
        <v>0.27253446447507956</v>
      </c>
    </row>
    <row r="15" spans="1:11">
      <c r="B15" t="s">
        <v>39</v>
      </c>
      <c r="E15" s="12">
        <v>18.86</v>
      </c>
    </row>
    <row r="16" spans="1:11">
      <c r="B16" t="s">
        <v>40</v>
      </c>
      <c r="E16" s="13">
        <v>40422</v>
      </c>
      <c r="H16" s="8" t="s">
        <v>41</v>
      </c>
      <c r="K16" s="46">
        <f>K13*K17</f>
        <v>3325.4354080000003</v>
      </c>
    </row>
    <row r="17" spans="2:12">
      <c r="H17" t="s">
        <v>42</v>
      </c>
      <c r="K17" s="114">
        <f>'Shares - YM'!E16</f>
        <v>138.55980866666667</v>
      </c>
    </row>
    <row r="19" spans="2:12">
      <c r="B19" s="109" t="s">
        <v>43</v>
      </c>
      <c r="C19" s="109"/>
      <c r="D19" s="109"/>
      <c r="E19" s="109"/>
      <c r="H19" s="9" t="s">
        <v>44</v>
      </c>
      <c r="K19" s="48">
        <f>E21</f>
        <v>755.4</v>
      </c>
    </row>
    <row r="20" spans="2:12">
      <c r="B20" t="s">
        <v>45</v>
      </c>
      <c r="E20" s="77">
        <f>F100</f>
        <v>444.59999999999962</v>
      </c>
      <c r="H20" s="9" t="s">
        <v>46</v>
      </c>
      <c r="K20" s="48">
        <f>E22</f>
        <v>187.6</v>
      </c>
    </row>
    <row r="21" spans="2:12">
      <c r="B21" t="s">
        <v>44</v>
      </c>
      <c r="E21" s="15">
        <f>93.3+667.7-5.6</f>
        <v>755.4</v>
      </c>
    </row>
    <row r="22" spans="2:12">
      <c r="B22" t="s">
        <v>46</v>
      </c>
      <c r="E22" s="15">
        <f>187.6</f>
        <v>187.6</v>
      </c>
      <c r="H22" s="8" t="s">
        <v>47</v>
      </c>
      <c r="K22" s="49">
        <f>K16+K19-K20</f>
        <v>3893.2354080000005</v>
      </c>
    </row>
    <row r="23" spans="2:12">
      <c r="B23" t="s">
        <v>48</v>
      </c>
      <c r="E23" s="15">
        <f>E22-69.4</f>
        <v>118.19999999999999</v>
      </c>
      <c r="H23" t="s">
        <v>45</v>
      </c>
      <c r="K23" s="48">
        <f>E20</f>
        <v>444.59999999999962</v>
      </c>
    </row>
    <row r="24" spans="2:12">
      <c r="B24" t="s">
        <v>49</v>
      </c>
      <c r="E24" s="79">
        <f>K24</f>
        <v>8.7567148178137728</v>
      </c>
      <c r="H24" s="8" t="s">
        <v>50</v>
      </c>
      <c r="K24" s="78">
        <f>K22/K23</f>
        <v>8.7567148178137728</v>
      </c>
    </row>
    <row r="26" spans="2:12">
      <c r="B26" s="109" t="s">
        <v>51</v>
      </c>
      <c r="C26" s="109"/>
      <c r="D26" s="109"/>
      <c r="E26" s="109"/>
      <c r="F26" s="109"/>
      <c r="G26" s="109"/>
      <c r="H26" s="109"/>
      <c r="I26" s="109"/>
      <c r="J26" s="109"/>
      <c r="K26" s="109"/>
    </row>
    <row r="27" spans="2:12">
      <c r="E27" s="16" t="s">
        <v>52</v>
      </c>
      <c r="F27" s="16" t="s">
        <v>53</v>
      </c>
      <c r="G27" s="16" t="s">
        <v>54</v>
      </c>
      <c r="H27" s="16" t="s">
        <v>55</v>
      </c>
      <c r="I27" s="16" t="s">
        <v>56</v>
      </c>
      <c r="J27" s="16" t="s">
        <v>57</v>
      </c>
      <c r="K27" s="16" t="s">
        <v>58</v>
      </c>
    </row>
    <row r="28" spans="2:12">
      <c r="B28" t="s">
        <v>59</v>
      </c>
      <c r="E28" s="17">
        <v>0</v>
      </c>
      <c r="F28" s="78">
        <f>E28/E$20</f>
        <v>0</v>
      </c>
      <c r="G28" s="20">
        <v>4.4999999999999998E-2</v>
      </c>
      <c r="H28" s="20">
        <v>0</v>
      </c>
      <c r="I28" s="18">
        <f>E28*H28</f>
        <v>0</v>
      </c>
      <c r="J28" s="21">
        <v>5</v>
      </c>
      <c r="K28" s="18">
        <f>I28/J28</f>
        <v>0</v>
      </c>
    </row>
    <row r="29" spans="2:12">
      <c r="B29" t="s">
        <v>60</v>
      </c>
      <c r="E29" s="17">
        <v>1510</v>
      </c>
      <c r="F29" s="78">
        <f>E29/E$20</f>
        <v>3.3963112910481361</v>
      </c>
      <c r="G29" s="20">
        <v>6.8199999999999997E-2</v>
      </c>
      <c r="H29" s="20">
        <v>2.7E-2</v>
      </c>
      <c r="I29" s="18">
        <f>E29*H29</f>
        <v>40.769999999999996</v>
      </c>
      <c r="J29" s="21">
        <v>6</v>
      </c>
      <c r="K29" s="18">
        <f>I29/J29</f>
        <v>6.794999999999999</v>
      </c>
    </row>
    <row r="30" spans="2:12">
      <c r="B30" t="s">
        <v>61</v>
      </c>
      <c r="E30" s="17">
        <v>334.2</v>
      </c>
      <c r="F30" s="78">
        <f t="shared" ref="F30:F31" si="0">E30/E$20</f>
        <v>0.75168690958164708</v>
      </c>
      <c r="G30" s="20">
        <v>7.1099999999999997E-2</v>
      </c>
      <c r="H30" s="20">
        <v>2.5100000000000001E-2</v>
      </c>
      <c r="I30" s="18">
        <f t="shared" ref="I30:I31" si="1">E30*H30</f>
        <v>8.38842</v>
      </c>
      <c r="J30" s="21">
        <v>6</v>
      </c>
      <c r="K30" s="18">
        <f t="shared" ref="K30:K31" si="2">I30/J30</f>
        <v>1.3980699999999999</v>
      </c>
    </row>
    <row r="31" spans="2:12">
      <c r="B31" t="s">
        <v>62</v>
      </c>
      <c r="E31" s="17">
        <v>800</v>
      </c>
      <c r="F31" s="78">
        <f t="shared" si="0"/>
        <v>1.7993702204228534</v>
      </c>
      <c r="G31" s="20">
        <v>0.1019</v>
      </c>
      <c r="H31" s="20">
        <v>2.5100000000000001E-2</v>
      </c>
      <c r="I31" s="18">
        <f t="shared" si="1"/>
        <v>20.080000000000002</v>
      </c>
      <c r="J31" s="21">
        <v>8</v>
      </c>
      <c r="K31" s="18">
        <f t="shared" si="2"/>
        <v>2.5100000000000002</v>
      </c>
      <c r="L31" s="16" t="s">
        <v>63</v>
      </c>
    </row>
    <row r="32" spans="2:12">
      <c r="B32" t="s">
        <v>64</v>
      </c>
      <c r="E32" s="17">
        <v>0</v>
      </c>
      <c r="F32" s="78">
        <f>E32/E$20</f>
        <v>0</v>
      </c>
      <c r="G32" s="20">
        <v>0.1</v>
      </c>
      <c r="H32" s="20">
        <v>0</v>
      </c>
      <c r="I32" s="18">
        <f>E32*H32</f>
        <v>0</v>
      </c>
      <c r="J32" s="21">
        <v>5</v>
      </c>
      <c r="K32" s="18">
        <f>I32/J32</f>
        <v>0</v>
      </c>
      <c r="L32" s="175">
        <v>0.05</v>
      </c>
    </row>
    <row r="33" spans="1:12">
      <c r="B33" t="s">
        <v>65</v>
      </c>
      <c r="E33" s="17">
        <v>0</v>
      </c>
      <c r="F33" s="78">
        <f>E33/E$20</f>
        <v>0</v>
      </c>
      <c r="G33" s="20">
        <v>0.1</v>
      </c>
      <c r="H33" s="20">
        <v>0</v>
      </c>
      <c r="I33" s="18">
        <f>E33*H33</f>
        <v>0</v>
      </c>
      <c r="J33" s="21">
        <v>5</v>
      </c>
      <c r="K33" s="18">
        <f>I33/J33</f>
        <v>0</v>
      </c>
    </row>
    <row r="34" spans="1:12" ht="5.0999999999999996" customHeight="1">
      <c r="E34" s="17"/>
      <c r="F34" s="50"/>
      <c r="G34" s="20"/>
      <c r="H34" s="20"/>
      <c r="I34" s="18"/>
      <c r="J34" s="21"/>
      <c r="K34" s="18"/>
    </row>
    <row r="35" spans="1:12">
      <c r="B35" s="41" t="s">
        <v>66</v>
      </c>
      <c r="C35" s="42"/>
      <c r="D35" s="42"/>
      <c r="E35" s="80">
        <f>SUM(E28:E33)</f>
        <v>2644.2</v>
      </c>
      <c r="F35" s="81">
        <f>SUM(F28:F33)</f>
        <v>5.9473684210526372</v>
      </c>
      <c r="G35" s="42"/>
      <c r="H35" s="42"/>
      <c r="I35" s="82">
        <f>SUM(I28:I33)</f>
        <v>69.238419999999991</v>
      </c>
      <c r="J35" s="42"/>
      <c r="K35" s="83">
        <f>SUM(K28:K33)</f>
        <v>10.703069999999999</v>
      </c>
    </row>
    <row r="37" spans="1:12">
      <c r="A37" s="4" t="s">
        <v>1</v>
      </c>
      <c r="B37" s="110" t="s">
        <v>67</v>
      </c>
      <c r="C37" s="110"/>
      <c r="D37" s="110"/>
      <c r="E37" s="110"/>
      <c r="F37" s="110"/>
      <c r="G37" s="110"/>
      <c r="H37" s="110"/>
      <c r="I37" s="110"/>
      <c r="J37" s="110"/>
      <c r="K37" s="110"/>
    </row>
    <row r="38" spans="1:12" ht="5.0999999999999996" customHeight="1"/>
    <row r="39" spans="1:12">
      <c r="B39" s="109" t="s">
        <v>68</v>
      </c>
      <c r="C39" s="109"/>
      <c r="D39" s="109"/>
      <c r="E39" s="109"/>
      <c r="F39" s="109"/>
      <c r="H39" s="109" t="s">
        <v>69</v>
      </c>
      <c r="I39" s="109"/>
      <c r="J39" s="109"/>
      <c r="K39" s="109"/>
    </row>
    <row r="40" spans="1:12">
      <c r="D40" s="16" t="s">
        <v>52</v>
      </c>
      <c r="E40" s="16" t="s">
        <v>53</v>
      </c>
      <c r="F40" s="16" t="s">
        <v>70</v>
      </c>
      <c r="I40" s="16" t="s">
        <v>52</v>
      </c>
      <c r="J40" s="16" t="s">
        <v>53</v>
      </c>
      <c r="K40" s="16" t="s">
        <v>70</v>
      </c>
    </row>
    <row r="41" spans="1:12">
      <c r="B41" t="str">
        <f>B28</f>
        <v>Revolver</v>
      </c>
      <c r="D41" s="51">
        <f>E28</f>
        <v>0</v>
      </c>
      <c r="E41" s="78">
        <f>D41/$E$20</f>
        <v>0</v>
      </c>
      <c r="F41" s="10">
        <f>D41/$D$50</f>
        <v>0</v>
      </c>
      <c r="H41" t="s">
        <v>71</v>
      </c>
      <c r="I41" s="51">
        <f>K16</f>
        <v>3325.4354080000003</v>
      </c>
      <c r="J41" s="78">
        <f>I41/$E$20</f>
        <v>7.4796118038686528</v>
      </c>
      <c r="K41" s="10">
        <f>I41/$D$50</f>
        <v>0.7781344552602022</v>
      </c>
    </row>
    <row r="42" spans="1:12">
      <c r="B42" t="str">
        <f>B29</f>
        <v>Secured Term Loan - USD Tranche</v>
      </c>
      <c r="D42" s="51">
        <f>E29</f>
        <v>1510</v>
      </c>
      <c r="E42" s="78">
        <f>D42/$E$20</f>
        <v>3.3963112910481361</v>
      </c>
      <c r="F42" s="10">
        <f>D42/$D$50</f>
        <v>0.35333208536128785</v>
      </c>
      <c r="H42" t="s">
        <v>72</v>
      </c>
      <c r="I42" s="51">
        <f>E21</f>
        <v>755.4</v>
      </c>
      <c r="J42" s="78">
        <f>I42/$E$20</f>
        <v>1.6990553306342795</v>
      </c>
      <c r="K42" s="10">
        <f>I42/$D$50</f>
        <v>0.17675964058405089</v>
      </c>
    </row>
    <row r="43" spans="1:12">
      <c r="B43" t="str">
        <f>B30</f>
        <v>Secured Term Loan - EUR Tranche</v>
      </c>
      <c r="D43" s="51">
        <f>E30</f>
        <v>334.2</v>
      </c>
      <c r="E43" s="78">
        <f t="shared" ref="E43:E47" si="3">D43/$E$20</f>
        <v>0.75168690958164708</v>
      </c>
      <c r="F43" s="10">
        <f t="shared" ref="F43:F48" si="4">D43/$D$50</f>
        <v>7.8201048296518152E-2</v>
      </c>
      <c r="H43" t="s">
        <v>73</v>
      </c>
      <c r="I43" s="52">
        <v>91.2</v>
      </c>
      <c r="J43" s="78">
        <f>I43/$E$20</f>
        <v>0.20512820512820532</v>
      </c>
      <c r="K43" s="10">
        <f>I43/$D$50</f>
        <v>2.1340321976787719E-2</v>
      </c>
    </row>
    <row r="44" spans="1:12">
      <c r="B44" t="str">
        <f>B31</f>
        <v>Senior Notes</v>
      </c>
      <c r="D44" s="51">
        <f>E31</f>
        <v>800</v>
      </c>
      <c r="E44" s="78">
        <f t="shared" si="3"/>
        <v>1.7993702204228534</v>
      </c>
      <c r="F44" s="10">
        <f t="shared" si="4"/>
        <v>0.18719580681392736</v>
      </c>
      <c r="H44" t="s">
        <v>74</v>
      </c>
      <c r="I44" s="51">
        <f>I35</f>
        <v>69.238419999999991</v>
      </c>
      <c r="J44" s="78">
        <f>I44/$E$20</f>
        <v>0.15573193882141262</v>
      </c>
      <c r="K44" s="10">
        <f>I44/$D$50</f>
        <v>1.6201427368026954E-2</v>
      </c>
    </row>
    <row r="45" spans="1:12">
      <c r="A45"/>
      <c r="B45" t="str">
        <f>B32</f>
        <v>Subordinated Notes</v>
      </c>
      <c r="D45" s="51">
        <v>0</v>
      </c>
      <c r="E45" s="78">
        <f t="shared" si="3"/>
        <v>0</v>
      </c>
      <c r="F45" s="10">
        <f t="shared" si="4"/>
        <v>0</v>
      </c>
    </row>
    <row r="46" spans="1:12">
      <c r="A46"/>
      <c r="B46" t="str">
        <f>B33</f>
        <v>Preferred Equity</v>
      </c>
      <c r="D46" s="51">
        <v>0</v>
      </c>
      <c r="E46" s="78">
        <f t="shared" ref="E46" si="5">D46/$E$20</f>
        <v>0</v>
      </c>
      <c r="F46" s="10">
        <f t="shared" ref="F46" si="6">D46/$D$50</f>
        <v>0</v>
      </c>
      <c r="H46" t="s">
        <v>75</v>
      </c>
      <c r="I46" s="151">
        <v>32.326171999999588</v>
      </c>
      <c r="J46" s="78">
        <f>I46/$E$20</f>
        <v>7.2708439046332923E-2</v>
      </c>
      <c r="K46" s="10">
        <f t="shared" ref="K46" si="7">I46/$D$50</f>
        <v>7.5641548109321383E-3</v>
      </c>
    </row>
    <row r="47" spans="1:12">
      <c r="B47" t="s">
        <v>76</v>
      </c>
      <c r="D47" s="22">
        <f>E22-E23</f>
        <v>69.400000000000006</v>
      </c>
      <c r="E47" s="78">
        <f t="shared" si="3"/>
        <v>0.15609536662168255</v>
      </c>
      <c r="F47" s="10">
        <f t="shared" si="4"/>
        <v>1.62392362411082E-2</v>
      </c>
    </row>
    <row r="48" spans="1:12">
      <c r="B48" t="s">
        <v>77</v>
      </c>
      <c r="D48" s="22">
        <f>D50-SUM(D41:D47)</f>
        <v>1560.0000000000005</v>
      </c>
      <c r="E48" s="78">
        <f>D48/$E$20</f>
        <v>3.5087719298245652</v>
      </c>
      <c r="F48" s="10">
        <f t="shared" si="4"/>
        <v>0.36503182328715844</v>
      </c>
      <c r="L48" s="22"/>
    </row>
    <row r="49" spans="1:13" ht="5.0999999999999996" customHeight="1"/>
    <row r="50" spans="1:13">
      <c r="B50" s="41" t="s">
        <v>66</v>
      </c>
      <c r="C50" s="42"/>
      <c r="D50" s="80">
        <f>I50</f>
        <v>4273.6000000000004</v>
      </c>
      <c r="E50" s="81">
        <f>SUM(E41:E48)</f>
        <v>9.6122357174988853</v>
      </c>
      <c r="F50" s="84">
        <f>SUM(F42:F48)</f>
        <v>1</v>
      </c>
      <c r="G50" s="8"/>
      <c r="H50" s="41" t="s">
        <v>66</v>
      </c>
      <c r="I50" s="80">
        <f>SUM(I41:I47)</f>
        <v>4273.6000000000004</v>
      </c>
      <c r="J50" s="81">
        <f>SUM(J41:J47)</f>
        <v>9.6122357174988835</v>
      </c>
      <c r="K50" s="84">
        <f>SUM(K41:K47)</f>
        <v>0.99999999999999989</v>
      </c>
    </row>
    <row r="52" spans="1:13">
      <c r="A52" s="4" t="s">
        <v>1</v>
      </c>
      <c r="B52" s="110" t="s">
        <v>78</v>
      </c>
      <c r="C52" s="110"/>
      <c r="D52" s="110"/>
      <c r="E52" s="110"/>
      <c r="F52" s="110"/>
      <c r="G52" s="110"/>
      <c r="H52" s="110"/>
      <c r="I52" s="110"/>
      <c r="J52" s="110"/>
      <c r="K52" s="110"/>
    </row>
    <row r="53" spans="1:13" ht="5.0999999999999996" customHeight="1"/>
    <row r="54" spans="1:13">
      <c r="B54" s="109" t="s">
        <v>30</v>
      </c>
      <c r="C54" s="109"/>
      <c r="D54" s="111">
        <v>2008</v>
      </c>
      <c r="E54" s="111">
        <f>D54+1</f>
        <v>2009</v>
      </c>
      <c r="F54" s="111">
        <f t="shared" ref="F54:K54" si="8">E54+1</f>
        <v>2010</v>
      </c>
      <c r="G54" s="112">
        <f t="shared" si="8"/>
        <v>2011</v>
      </c>
      <c r="H54" s="112">
        <f t="shared" si="8"/>
        <v>2012</v>
      </c>
      <c r="I54" s="112">
        <f t="shared" si="8"/>
        <v>2013</v>
      </c>
      <c r="J54" s="112">
        <f t="shared" si="8"/>
        <v>2014</v>
      </c>
      <c r="K54" s="112">
        <f t="shared" si="8"/>
        <v>2015</v>
      </c>
      <c r="M54" s="113" t="s">
        <v>79</v>
      </c>
    </row>
    <row r="55" spans="1:13" ht="5.0999999999999996" customHeight="1"/>
    <row r="56" spans="1:13">
      <c r="B56" t="s">
        <v>80</v>
      </c>
      <c r="D56" s="57" t="s">
        <v>81</v>
      </c>
      <c r="E56" s="56">
        <f>E63/D63-1</f>
        <v>3.3690471340693584E-2</v>
      </c>
      <c r="F56" s="56">
        <f>F63/E63-1</f>
        <v>-1.3872467880507666E-2</v>
      </c>
      <c r="G56" s="56">
        <f t="shared" ref="G56:K56" si="9">G63/F63-1</f>
        <v>2.8694748621213462E-2</v>
      </c>
      <c r="H56" s="56">
        <f t="shared" si="9"/>
        <v>-0.18337218337218342</v>
      </c>
      <c r="I56" s="56">
        <f t="shared" si="9"/>
        <v>-0.10371075166508092</v>
      </c>
      <c r="J56" s="56">
        <f t="shared" si="9"/>
        <v>1.3800424628450214E-2</v>
      </c>
      <c r="K56" s="56">
        <f t="shared" si="9"/>
        <v>5.9685863874345602E-2</v>
      </c>
      <c r="M56" s="62">
        <v>0</v>
      </c>
    </row>
    <row r="57" spans="1:13">
      <c r="B57" t="s">
        <v>82</v>
      </c>
      <c r="D57" s="56">
        <f>D69/D63</f>
        <v>0.37344685704974129</v>
      </c>
      <c r="E57" s="56">
        <f t="shared" ref="E57:F57" si="10">E69/E63</f>
        <v>0.35221092456845593</v>
      </c>
      <c r="F57" s="56">
        <f t="shared" si="10"/>
        <v>0.35464790983934136</v>
      </c>
      <c r="G57" s="61">
        <f>F57</f>
        <v>0.35464790983934136</v>
      </c>
      <c r="H57" s="56">
        <f>G57+$M$57</f>
        <v>0.37214790983934137</v>
      </c>
      <c r="I57" s="56">
        <f t="shared" ref="I57:K57" si="11">H57+$M$57</f>
        <v>0.38964790983934139</v>
      </c>
      <c r="J57" s="56">
        <f t="shared" si="11"/>
        <v>0.4071479098393414</v>
      </c>
      <c r="K57" s="56">
        <f t="shared" si="11"/>
        <v>0.42464790983934142</v>
      </c>
      <c r="M57" s="62">
        <v>1.7500000000000002E-2</v>
      </c>
    </row>
    <row r="58" spans="1:13">
      <c r="B58" t="s">
        <v>83</v>
      </c>
      <c r="D58" s="56">
        <f>D72/D63</f>
        <v>0.22915223856275718</v>
      </c>
      <c r="E58" s="56">
        <f t="shared" ref="E58:F58" si="12">E72/E63</f>
        <v>0.2184519586978797</v>
      </c>
      <c r="F58" s="56">
        <f t="shared" si="12"/>
        <v>0.22160498761090253</v>
      </c>
      <c r="G58" s="61">
        <f>F58</f>
        <v>0.22160498761090253</v>
      </c>
      <c r="H58" s="56">
        <f>G58-$M$58</f>
        <v>0.19960498761090253</v>
      </c>
      <c r="I58" s="56">
        <f t="shared" ref="I58:K58" si="13">H58-$M$58</f>
        <v>0.17760498761090254</v>
      </c>
      <c r="J58" s="56">
        <f t="shared" si="13"/>
        <v>0.15560498761090255</v>
      </c>
      <c r="K58" s="56">
        <f t="shared" si="13"/>
        <v>0.13360498761090256</v>
      </c>
      <c r="M58" s="62">
        <v>2.1999999999999999E-2</v>
      </c>
    </row>
    <row r="59" spans="1:13">
      <c r="B59" t="s">
        <v>84</v>
      </c>
      <c r="D59" s="56">
        <f>D90/D87</f>
        <v>0.35290102389078526</v>
      </c>
      <c r="E59" s="56">
        <f t="shared" ref="E59:F59" si="14">E90/E87</f>
        <v>0.29740168539325834</v>
      </c>
      <c r="F59" s="56">
        <f t="shared" si="14"/>
        <v>0.34294759057333851</v>
      </c>
      <c r="G59" s="56">
        <f>F59-$M$59</f>
        <v>0.33794759057333851</v>
      </c>
      <c r="H59" s="56">
        <f>G59-$M$59</f>
        <v>0.3329475905733385</v>
      </c>
      <c r="I59" s="56">
        <f>H59-$M$59</f>
        <v>0.3279475905733385</v>
      </c>
      <c r="J59" s="56">
        <f>I59-$M$59</f>
        <v>0.32294759057333849</v>
      </c>
      <c r="K59" s="56">
        <f>J59-$M$59</f>
        <v>0.31794759057333849</v>
      </c>
      <c r="M59" s="62">
        <v>5.0000000000000001E-3</v>
      </c>
    </row>
    <row r="61" spans="1:13">
      <c r="A61" s="4" t="s">
        <v>1</v>
      </c>
      <c r="B61" s="109" t="s">
        <v>85</v>
      </c>
      <c r="C61" s="109"/>
      <c r="D61" s="111">
        <v>2008</v>
      </c>
      <c r="E61" s="111">
        <f>D61+1</f>
        <v>2009</v>
      </c>
      <c r="F61" s="111">
        <f t="shared" ref="F61:K61" si="15">E61+1</f>
        <v>2010</v>
      </c>
      <c r="G61" s="112">
        <f t="shared" si="15"/>
        <v>2011</v>
      </c>
      <c r="H61" s="112">
        <f t="shared" si="15"/>
        <v>2012</v>
      </c>
      <c r="I61" s="112">
        <f t="shared" si="15"/>
        <v>2013</v>
      </c>
      <c r="J61" s="112">
        <f t="shared" si="15"/>
        <v>2014</v>
      </c>
      <c r="K61" s="112">
        <f t="shared" si="15"/>
        <v>2015</v>
      </c>
    </row>
    <row r="62" spans="1:13" ht="5.0999999999999996" customHeight="1"/>
    <row r="63" spans="1:13">
      <c r="B63" t="s">
        <v>86</v>
      </c>
      <c r="D63" s="52">
        <v>2454.6999999999998</v>
      </c>
      <c r="E63" s="52">
        <v>2537.4</v>
      </c>
      <c r="F63" s="52">
        <v>2502.1999999999998</v>
      </c>
      <c r="G63" s="52">
        <v>2574</v>
      </c>
      <c r="H63" s="52">
        <v>2102</v>
      </c>
      <c r="I63" s="52">
        <v>1884</v>
      </c>
      <c r="J63" s="52">
        <v>1910</v>
      </c>
      <c r="K63" s="52">
        <v>2024</v>
      </c>
    </row>
    <row r="64" spans="1:13">
      <c r="B64" s="71" t="s">
        <v>87</v>
      </c>
      <c r="D64" s="115" t="s">
        <v>81</v>
      </c>
      <c r="E64" s="115">
        <f>E63/D$63-1</f>
        <v>3.3690471340693584E-2</v>
      </c>
      <c r="F64" s="115">
        <f>F63/E$63-1</f>
        <v>-1.3872467880507666E-2</v>
      </c>
      <c r="G64" s="115">
        <f t="shared" ref="G64:K64" si="16">G63/F$63-1</f>
        <v>2.8694748621213462E-2</v>
      </c>
      <c r="H64" s="115">
        <f t="shared" si="16"/>
        <v>-0.18337218337218342</v>
      </c>
      <c r="I64" s="115">
        <f t="shared" si="16"/>
        <v>-0.10371075166508092</v>
      </c>
      <c r="J64" s="115">
        <f t="shared" si="16"/>
        <v>1.3800424628450214E-2</v>
      </c>
      <c r="K64" s="115">
        <f t="shared" si="16"/>
        <v>5.9685863874345602E-2</v>
      </c>
    </row>
    <row r="65" spans="2:11">
      <c r="D65" s="45"/>
      <c r="E65" s="45"/>
      <c r="F65" s="45"/>
    </row>
    <row r="66" spans="2:11">
      <c r="B66" t="s">
        <v>88</v>
      </c>
      <c r="D66" s="52">
        <v>1538</v>
      </c>
      <c r="E66" s="52">
        <v>1643.7</v>
      </c>
      <c r="F66" s="52">
        <v>1614.8</v>
      </c>
      <c r="G66" s="18" t="str">
        <f>IF(CASE=2,"--",G63-G69)</f>
        <v>--</v>
      </c>
      <c r="H66" s="18" t="str">
        <f>IF(CASE=2,"--",H63-H69)</f>
        <v>--</v>
      </c>
      <c r="I66" s="18" t="str">
        <f>IF(CASE=2,"--",I63-I69)</f>
        <v>--</v>
      </c>
      <c r="J66" s="18" t="str">
        <f>IF(CASE=2,"--",J63-J69)</f>
        <v>--</v>
      </c>
      <c r="K66" s="18" t="str">
        <f>IF(CASE=2,"--",K63-K69)</f>
        <v>--</v>
      </c>
    </row>
    <row r="67" spans="2:11">
      <c r="B67" s="71" t="s">
        <v>89</v>
      </c>
      <c r="D67" s="115">
        <f>D66/D$63</f>
        <v>0.62655314295025877</v>
      </c>
      <c r="E67" s="115">
        <f t="shared" ref="E67:K67" si="17">E66/E$63</f>
        <v>0.64778907543154407</v>
      </c>
      <c r="F67" s="115">
        <f t="shared" si="17"/>
        <v>0.64535209016065864</v>
      </c>
      <c r="G67" s="115" t="str">
        <f>IF(CASE=2,"--",G66/G$63)</f>
        <v>--</v>
      </c>
      <c r="H67" s="115" t="str">
        <f>IF(CASE=2,"--",H66/H$63)</f>
        <v>--</v>
      </c>
      <c r="I67" s="115" t="str">
        <f>IF(CASE=2,"--",I66/I$63)</f>
        <v>--</v>
      </c>
      <c r="J67" s="115" t="str">
        <f>IF(CASE=2,"--",J66/J$63)</f>
        <v>--</v>
      </c>
      <c r="K67" s="115" t="str">
        <f>IF(CASE=2,"--",K66/K$63)</f>
        <v>--</v>
      </c>
    </row>
    <row r="68" spans="2:11">
      <c r="D68" s="45"/>
      <c r="E68" s="45"/>
      <c r="F68" s="45"/>
    </row>
    <row r="69" spans="2:11">
      <c r="B69" t="s">
        <v>90</v>
      </c>
      <c r="D69" s="52">
        <f>D63-D66</f>
        <v>916.69999999999982</v>
      </c>
      <c r="E69" s="52">
        <f t="shared" ref="E69:F69" si="18">E63-E66</f>
        <v>893.7</v>
      </c>
      <c r="F69" s="52">
        <f t="shared" si="18"/>
        <v>887.39999999999986</v>
      </c>
      <c r="G69" s="18" t="str">
        <f>IF(CASE=2,"--",G70*G63)</f>
        <v>--</v>
      </c>
      <c r="H69" s="18" t="str">
        <f>IF(CASE=2,"--",H70*H63)</f>
        <v>--</v>
      </c>
      <c r="I69" s="18" t="str">
        <f>IF(CASE=2,"--",I70*I63)</f>
        <v>--</v>
      </c>
      <c r="J69" s="18" t="str">
        <f>IF(CASE=2,"--",J70*J63)</f>
        <v>--</v>
      </c>
      <c r="K69" s="18" t="str">
        <f>IF(CASE=2,"--",K70*K63)</f>
        <v>--</v>
      </c>
    </row>
    <row r="70" spans="2:11">
      <c r="B70" s="71" t="s">
        <v>89</v>
      </c>
      <c r="D70" s="115">
        <f>D57</f>
        <v>0.37344685704974129</v>
      </c>
      <c r="E70" s="115">
        <f t="shared" ref="E70:K70" si="19">E57</f>
        <v>0.35221092456845593</v>
      </c>
      <c r="F70" s="115">
        <f t="shared" si="19"/>
        <v>0.35464790983934136</v>
      </c>
      <c r="G70" s="115" t="str">
        <f>IF(CASE=2,"--",G57)</f>
        <v>--</v>
      </c>
      <c r="H70" s="115" t="str">
        <f>IF(CASE=2,"--",H57)</f>
        <v>--</v>
      </c>
      <c r="I70" s="115" t="str">
        <f>IF(CASE=2,"--",I57)</f>
        <v>--</v>
      </c>
      <c r="J70" s="115" t="str">
        <f>IF(CASE=2,"--",J57)</f>
        <v>--</v>
      </c>
      <c r="K70" s="115" t="str">
        <f>IF(CASE=2,"--",K57)</f>
        <v>--</v>
      </c>
    </row>
    <row r="71" spans="2:11">
      <c r="D71" s="45"/>
      <c r="E71" s="45"/>
      <c r="F71" s="45"/>
    </row>
    <row r="72" spans="2:11">
      <c r="B72" t="s">
        <v>91</v>
      </c>
      <c r="D72" s="52">
        <v>562.5</v>
      </c>
      <c r="E72" s="52">
        <v>554.29999999999995</v>
      </c>
      <c r="F72" s="52">
        <v>554.50000000000023</v>
      </c>
      <c r="G72" s="18" t="str">
        <f>IF(CASE=2,"--",G73*G63)</f>
        <v>--</v>
      </c>
      <c r="H72" s="18" t="str">
        <f>IF(CASE=2,"--",H73*H63)</f>
        <v>--</v>
      </c>
      <c r="I72" s="18" t="str">
        <f>IF(CASE=2,"--",I73*I63)</f>
        <v>--</v>
      </c>
      <c r="J72" s="18" t="str">
        <f>IF(CASE=2,"--",J73*J63)</f>
        <v>--</v>
      </c>
      <c r="K72" s="18" t="str">
        <f>IF(CASE=2,"--",K73*K63)</f>
        <v>--</v>
      </c>
    </row>
    <row r="73" spans="2:11" ht="14.45" customHeight="1">
      <c r="B73" s="71" t="s">
        <v>89</v>
      </c>
      <c r="D73" s="115">
        <f>D72/D$63</f>
        <v>0.22915223856275718</v>
      </c>
      <c r="E73" s="115">
        <f t="shared" ref="E73" si="20">E72/E$63</f>
        <v>0.2184519586978797</v>
      </c>
      <c r="F73" s="115">
        <f>F72/F$63</f>
        <v>0.22160498761090253</v>
      </c>
      <c r="G73" s="115" t="str">
        <f>IF(CASE=2,"--",G58)</f>
        <v>--</v>
      </c>
      <c r="H73" s="115" t="str">
        <f>IF(CASE=2,"--",H58)</f>
        <v>--</v>
      </c>
      <c r="I73" s="115" t="str">
        <f>IF(CASE=2,"--",I58)</f>
        <v>--</v>
      </c>
      <c r="J73" s="115" t="str">
        <f>IF(CASE=2,"--",J58)</f>
        <v>--</v>
      </c>
      <c r="K73" s="115" t="str">
        <f>IF(CASE=2,"--",K58)</f>
        <v>--</v>
      </c>
    </row>
    <row r="74" spans="2:11">
      <c r="D74" s="53"/>
      <c r="E74" s="53"/>
      <c r="F74" s="53"/>
      <c r="G74" s="22"/>
    </row>
    <row r="75" spans="2:11">
      <c r="B75" s="64" t="s">
        <v>92</v>
      </c>
      <c r="C75" s="65"/>
      <c r="D75" s="66">
        <f>D69-D72</f>
        <v>354.19999999999982</v>
      </c>
      <c r="E75" s="66">
        <f>E69-E72</f>
        <v>339.40000000000009</v>
      </c>
      <c r="F75" s="66">
        <f>F69-F72</f>
        <v>332.89999999999964</v>
      </c>
      <c r="G75" s="67">
        <f>CHOOSE(CASE,G78,G81)</f>
        <v>351</v>
      </c>
      <c r="H75" s="67">
        <f>CHOOSE(CASE,H78,H81)</f>
        <v>426</v>
      </c>
      <c r="I75" s="67">
        <f>CHOOSE(CASE,I78,I81)</f>
        <v>465</v>
      </c>
      <c r="J75" s="67">
        <f>CHOOSE(CASE,J78,J81)</f>
        <v>528</v>
      </c>
      <c r="K75" s="116">
        <f>CHOOSE(CASE,K78,K81)</f>
        <v>589</v>
      </c>
    </row>
    <row r="76" spans="2:11">
      <c r="B76" s="72" t="s">
        <v>89</v>
      </c>
      <c r="C76" s="69"/>
      <c r="D76" s="70">
        <f>D75/D63</f>
        <v>0.14429461848698408</v>
      </c>
      <c r="E76" s="70">
        <f>E75/E63</f>
        <v>0.1337589658705762</v>
      </c>
      <c r="F76" s="70">
        <f>F75/F63</f>
        <v>0.13304292222843883</v>
      </c>
      <c r="G76" s="70">
        <f>G75/G63</f>
        <v>0.13636363636363635</v>
      </c>
      <c r="H76" s="70">
        <f t="shared" ref="H76:L76" si="21">H75/H63</f>
        <v>0.20266412940057088</v>
      </c>
      <c r="I76" s="70">
        <f t="shared" si="21"/>
        <v>0.24681528662420382</v>
      </c>
      <c r="J76" s="70">
        <f t="shared" si="21"/>
        <v>0.27643979057591622</v>
      </c>
      <c r="K76" s="117">
        <f t="shared" si="21"/>
        <v>0.29100790513833991</v>
      </c>
    </row>
    <row r="78" spans="2:11">
      <c r="B78" t="s">
        <v>93</v>
      </c>
      <c r="G78" s="22">
        <f ca="1">IF(CASE=1,G69-G72,G78)</f>
        <v>342.45248181600164</v>
      </c>
      <c r="H78" s="22">
        <f ca="1">IF(CASE=1,H69-H72,H78)</f>
        <v>362.68522252417847</v>
      </c>
      <c r="I78" s="22">
        <f ca="1">IF(CASE=1,I69-I72,I78)</f>
        <v>399.48886547837878</v>
      </c>
      <c r="J78" s="22">
        <f ca="1">IF(CASE=1,J69-J72,J78)</f>
        <v>480.44698145631816</v>
      </c>
      <c r="K78" s="22">
        <f ca="1">IF(CASE=1,K69-K72,K78)</f>
        <v>589.07087459036029</v>
      </c>
    </row>
    <row r="79" spans="2:11">
      <c r="B79" s="71" t="s">
        <v>89</v>
      </c>
      <c r="G79" s="115">
        <f ca="1">G78/G$63</f>
        <v>0.13304292222843886</v>
      </c>
      <c r="H79" s="115">
        <f t="shared" ref="H79:L79" ca="1" si="22">H78/H$63</f>
        <v>0.17254292222843887</v>
      </c>
      <c r="I79" s="115">
        <f t="shared" ca="1" si="22"/>
        <v>0.21204292222843885</v>
      </c>
      <c r="J79" s="115">
        <f t="shared" ca="1" si="22"/>
        <v>0.25154292222843883</v>
      </c>
      <c r="K79" s="115">
        <f t="shared" ca="1" si="22"/>
        <v>0.29104292222843886</v>
      </c>
    </row>
    <row r="81" spans="2:22">
      <c r="B81" t="s">
        <v>94</v>
      </c>
      <c r="G81" s="52">
        <v>351</v>
      </c>
      <c r="H81" s="52">
        <v>426</v>
      </c>
      <c r="I81" s="52">
        <v>465</v>
      </c>
      <c r="J81" s="52">
        <v>528</v>
      </c>
      <c r="K81" s="52">
        <v>589</v>
      </c>
      <c r="L81" s="59"/>
      <c r="M81" s="60"/>
      <c r="N81" s="59"/>
      <c r="P81" s="59"/>
      <c r="Q81" s="60"/>
      <c r="R81" s="59"/>
      <c r="T81" s="59"/>
      <c r="U81" s="60"/>
      <c r="V81" s="59"/>
    </row>
    <row r="82" spans="2:22">
      <c r="B82" s="71" t="s">
        <v>89</v>
      </c>
      <c r="G82" s="115">
        <f>G81/G$63</f>
        <v>0.13636363636363635</v>
      </c>
      <c r="H82" s="115">
        <f t="shared" ref="H82:L82" si="23">H81/H$63</f>
        <v>0.20266412940057088</v>
      </c>
      <c r="I82" s="115">
        <f t="shared" si="23"/>
        <v>0.24681528662420382</v>
      </c>
      <c r="J82" s="115">
        <f t="shared" si="23"/>
        <v>0.27643979057591622</v>
      </c>
      <c r="K82" s="115">
        <f t="shared" si="23"/>
        <v>0.29100790513833991</v>
      </c>
    </row>
    <row r="84" spans="2:22">
      <c r="B84" t="s">
        <v>95</v>
      </c>
      <c r="D84" s="52">
        <v>67.099999999999994</v>
      </c>
      <c r="E84" s="52">
        <v>57.3</v>
      </c>
      <c r="F84" s="52">
        <v>49.6</v>
      </c>
      <c r="G84" s="51">
        <f ca="1">G294</f>
        <v>207.49034058487416</v>
      </c>
      <c r="H84" s="51">
        <f t="shared" ref="H84:K84" ca="1" si="24">H294</f>
        <v>204.80293483096006</v>
      </c>
      <c r="I84" s="51">
        <f ca="1">I294</f>
        <v>198.7018101054968</v>
      </c>
      <c r="J84" s="51">
        <f t="shared" ca="1" si="24"/>
        <v>188.40722133219202</v>
      </c>
      <c r="K84" s="51">
        <f t="shared" ca="1" si="24"/>
        <v>174.33103422231375</v>
      </c>
    </row>
    <row r="85" spans="2:22">
      <c r="B85" t="s">
        <v>96</v>
      </c>
      <c r="D85" s="52">
        <v>5.9</v>
      </c>
      <c r="E85" s="52">
        <v>2.7</v>
      </c>
      <c r="F85" s="52">
        <v>1</v>
      </c>
      <c r="G85" s="51">
        <f ca="1">G273</f>
        <v>0.63006396588486135</v>
      </c>
      <c r="H85" s="51">
        <f t="shared" ref="H85:K85" ca="1" si="25">H273</f>
        <v>0.63006396588485902</v>
      </c>
      <c r="I85" s="51">
        <f t="shared" ca="1" si="25"/>
        <v>0.63006396588354918</v>
      </c>
      <c r="J85" s="51">
        <f t="shared" ca="1" si="25"/>
        <v>0.63006396549392296</v>
      </c>
      <c r="K85" s="51">
        <f t="shared" ca="1" si="25"/>
        <v>0.63006389267199991</v>
      </c>
    </row>
    <row r="87" spans="2:22">
      <c r="B87" t="s">
        <v>97</v>
      </c>
      <c r="D87" s="22">
        <f>D75-D84+D85</f>
        <v>292.99999999999977</v>
      </c>
      <c r="E87" s="22">
        <f t="shared" ref="E87:F87" si="26">E75-E84+E85</f>
        <v>284.80000000000007</v>
      </c>
      <c r="F87" s="22">
        <f>F75-F84+F85</f>
        <v>284.29999999999961</v>
      </c>
      <c r="G87" s="22">
        <f ca="1">G75-G84+G85</f>
        <v>144.1397233810107</v>
      </c>
      <c r="H87" s="22">
        <f t="shared" ref="H87:L87" ca="1" si="27">H75-H84+H85</f>
        <v>221.8271291349248</v>
      </c>
      <c r="I87" s="22">
        <f t="shared" ca="1" si="27"/>
        <v>266.92825386038675</v>
      </c>
      <c r="J87" s="22">
        <f t="shared" ca="1" si="27"/>
        <v>340.22284263330192</v>
      </c>
      <c r="K87" s="22">
        <f t="shared" ca="1" si="27"/>
        <v>415.29902967035827</v>
      </c>
    </row>
    <row r="88" spans="2:22">
      <c r="B88" s="71" t="s">
        <v>89</v>
      </c>
      <c r="D88" s="115">
        <f>D87/D$63</f>
        <v>0.11936285493135609</v>
      </c>
      <c r="E88" s="115">
        <f t="shared" ref="E88" si="28">E87/E$63</f>
        <v>0.11224087648774338</v>
      </c>
      <c r="F88" s="115">
        <f>F87/F$63</f>
        <v>0.113620014387339</v>
      </c>
      <c r="G88" s="115">
        <f ca="1">G87/G$63</f>
        <v>5.5998338531861189E-2</v>
      </c>
      <c r="H88" s="115">
        <f t="shared" ref="H88:L88" ca="1" si="29">H87/H$63</f>
        <v>0.10553146010224776</v>
      </c>
      <c r="I88" s="115">
        <f t="shared" ca="1" si="29"/>
        <v>0.1416816634078486</v>
      </c>
      <c r="J88" s="115">
        <f t="shared" ca="1" si="29"/>
        <v>0.17812714273994865</v>
      </c>
      <c r="K88" s="115">
        <f t="shared" ca="1" si="29"/>
        <v>0.2051872676236948</v>
      </c>
    </row>
    <row r="90" spans="2:22">
      <c r="B90" t="s">
        <v>98</v>
      </c>
      <c r="D90" s="52">
        <v>103.4</v>
      </c>
      <c r="E90" s="52">
        <v>84.7</v>
      </c>
      <c r="F90" s="52">
        <v>97.5</v>
      </c>
      <c r="G90" s="22">
        <f ca="1">G87*G91</f>
        <v>48.711672222520072</v>
      </c>
      <c r="H90" s="22">
        <f t="shared" ref="H90:K90" ca="1" si="30">H87*H91</f>
        <v>73.856808169274032</v>
      </c>
      <c r="I90" s="22">
        <f t="shared" ca="1" si="30"/>
        <v>87.538477709462271</v>
      </c>
      <c r="J90" s="22">
        <f t="shared" ca="1" si="30"/>
        <v>109.87414728643697</v>
      </c>
      <c r="K90" s="22">
        <f t="shared" ca="1" si="30"/>
        <v>132.04332585113582</v>
      </c>
    </row>
    <row r="91" spans="2:22">
      <c r="B91" s="71" t="s">
        <v>99</v>
      </c>
      <c r="D91" s="58">
        <f>D59</f>
        <v>0.35290102389078526</v>
      </c>
      <c r="E91" s="58">
        <f t="shared" ref="E91:G91" si="31">E59</f>
        <v>0.29740168539325834</v>
      </c>
      <c r="F91" s="58">
        <f t="shared" si="31"/>
        <v>0.34294759057333851</v>
      </c>
      <c r="G91" s="58">
        <f>G59</f>
        <v>0.33794759057333851</v>
      </c>
      <c r="H91" s="58">
        <f t="shared" ref="H91:K91" si="32">H59</f>
        <v>0.3329475905733385</v>
      </c>
      <c r="I91" s="58">
        <f t="shared" si="32"/>
        <v>0.3279475905733385</v>
      </c>
      <c r="J91" s="58">
        <f t="shared" si="32"/>
        <v>0.32294759057333849</v>
      </c>
      <c r="K91" s="58">
        <f t="shared" si="32"/>
        <v>0.31794759057333849</v>
      </c>
    </row>
    <row r="93" spans="2:22">
      <c r="B93" s="64" t="s">
        <v>100</v>
      </c>
      <c r="C93" s="65"/>
      <c r="D93" s="67">
        <f>D87-D90</f>
        <v>189.59999999999977</v>
      </c>
      <c r="E93" s="67">
        <f t="shared" ref="E93:F93" si="33">E87-E90</f>
        <v>200.10000000000008</v>
      </c>
      <c r="F93" s="67">
        <f t="shared" si="33"/>
        <v>186.79999999999961</v>
      </c>
      <c r="G93" s="67">
        <f ca="1">G87-G90</f>
        <v>95.428051158490632</v>
      </c>
      <c r="H93" s="67">
        <f t="shared" ref="H93:K93" ca="1" si="34">H87-H90</f>
        <v>147.97032096565079</v>
      </c>
      <c r="I93" s="67">
        <f ca="1">I87-I90</f>
        <v>179.38977615092449</v>
      </c>
      <c r="J93" s="67">
        <f t="shared" ca="1" si="34"/>
        <v>230.34869534686496</v>
      </c>
      <c r="K93" s="116">
        <f t="shared" ca="1" si="34"/>
        <v>283.25570381922245</v>
      </c>
    </row>
    <row r="94" spans="2:22">
      <c r="B94" s="72" t="s">
        <v>89</v>
      </c>
      <c r="C94" s="69"/>
      <c r="D94" s="70">
        <f>D93/D$63</f>
        <v>7.7239581211553263E-2</v>
      </c>
      <c r="E94" s="70">
        <f t="shared" ref="E94:F94" si="35">E93/E$63</f>
        <v>7.8860250650271954E-2</v>
      </c>
      <c r="F94" s="70">
        <f t="shared" si="35"/>
        <v>7.4654304212293035E-2</v>
      </c>
      <c r="G94" s="70">
        <f ca="1">G93/G$63</f>
        <v>3.7073834948908563E-2</v>
      </c>
      <c r="H94" s="70">
        <f t="shared" ref="H94:K94" ca="1" si="36">H93/H$63</f>
        <v>7.0395014731517977E-2</v>
      </c>
      <c r="I94" s="70">
        <f t="shared" ca="1" si="36"/>
        <v>9.5217503264821909E-2</v>
      </c>
      <c r="J94" s="70">
        <f t="shared" ca="1" si="36"/>
        <v>0.12060141117636909</v>
      </c>
      <c r="K94" s="117">
        <f t="shared" ca="1" si="36"/>
        <v>0.13994847026641424</v>
      </c>
    </row>
    <row r="96" spans="2:22">
      <c r="B96" s="75" t="s">
        <v>101</v>
      </c>
    </row>
    <row r="97" spans="1:11">
      <c r="B97" t="s">
        <v>92</v>
      </c>
      <c r="D97" s="51">
        <f>D75</f>
        <v>354.19999999999982</v>
      </c>
      <c r="E97" s="51">
        <f t="shared" ref="E97:F97" si="37">E75</f>
        <v>339.40000000000009</v>
      </c>
      <c r="F97" s="51">
        <f t="shared" si="37"/>
        <v>332.89999999999964</v>
      </c>
    </row>
    <row r="98" spans="1:11">
      <c r="B98" t="s">
        <v>102</v>
      </c>
      <c r="D98" s="51">
        <v>95.6</v>
      </c>
      <c r="E98" s="51">
        <v>98.1</v>
      </c>
      <c r="F98" s="51">
        <v>111.7</v>
      </c>
      <c r="G98" s="54"/>
      <c r="I98" s="54"/>
      <c r="J98" s="55"/>
      <c r="K98" s="54"/>
    </row>
    <row r="99" spans="1:11">
      <c r="B99" s="3" t="s">
        <v>103</v>
      </c>
      <c r="C99" s="3"/>
      <c r="D99" s="76">
        <v>0</v>
      </c>
      <c r="E99" s="76">
        <f>1.5+2</f>
        <v>3.5</v>
      </c>
      <c r="F99" s="76">
        <v>0</v>
      </c>
      <c r="G99" s="3"/>
      <c r="H99" s="3"/>
      <c r="I99" s="3"/>
      <c r="J99" s="3"/>
      <c r="K99" s="3"/>
    </row>
    <row r="100" spans="1:11">
      <c r="B100" s="8" t="s">
        <v>104</v>
      </c>
      <c r="C100" s="8"/>
      <c r="D100" s="49">
        <f>SUM(D97:D99)</f>
        <v>449.79999999999984</v>
      </c>
      <c r="E100" s="49">
        <f t="shared" ref="E100:F100" si="38">SUM(E97:E99)</f>
        <v>441.00000000000011</v>
      </c>
      <c r="F100" s="49">
        <f t="shared" si="38"/>
        <v>444.59999999999962</v>
      </c>
    </row>
    <row r="101" spans="1:11">
      <c r="B101" s="71" t="s">
        <v>89</v>
      </c>
      <c r="D101" s="118">
        <f>D100/D$63</f>
        <v>0.18324031449871669</v>
      </c>
      <c r="E101" s="118">
        <f t="shared" ref="E101" si="39">E100/E$63</f>
        <v>0.1737999527074959</v>
      </c>
      <c r="F101" s="118">
        <f>F100/F$63</f>
        <v>0.17768363839820944</v>
      </c>
    </row>
    <row r="103" spans="1:11">
      <c r="B103" s="64" t="s">
        <v>104</v>
      </c>
      <c r="C103" s="65"/>
      <c r="D103" s="89">
        <f>D100</f>
        <v>449.79999999999984</v>
      </c>
      <c r="E103" s="89">
        <f t="shared" ref="E103:F104" si="40">E100</f>
        <v>441.00000000000011</v>
      </c>
      <c r="F103" s="89">
        <f t="shared" si="40"/>
        <v>444.59999999999962</v>
      </c>
      <c r="G103" s="91">
        <f>CHOOSE(CASE,G106,G109)</f>
        <v>464</v>
      </c>
      <c r="H103" s="91">
        <f>CHOOSE(CASE,H106,H109)</f>
        <v>518</v>
      </c>
      <c r="I103" s="91">
        <f>CHOOSE(CASE,I106,I109)</f>
        <v>563</v>
      </c>
      <c r="J103" s="91">
        <f>CHOOSE(CASE,J106,J109)</f>
        <v>620</v>
      </c>
      <c r="K103" s="123">
        <f>CHOOSE(CASE,K106,K109)</f>
        <v>685</v>
      </c>
    </row>
    <row r="104" spans="1:11">
      <c r="B104" s="72" t="s">
        <v>89</v>
      </c>
      <c r="C104" s="69"/>
      <c r="D104" s="88">
        <f>D101</f>
        <v>0.18324031449871669</v>
      </c>
      <c r="E104" s="88">
        <f t="shared" si="40"/>
        <v>0.1737999527074959</v>
      </c>
      <c r="F104" s="88">
        <f t="shared" si="40"/>
        <v>0.17768363839820944</v>
      </c>
      <c r="G104" s="120">
        <f>G103/G$63</f>
        <v>0.18026418026418026</v>
      </c>
      <c r="H104" s="120">
        <f t="shared" ref="H104:K104" si="41">H103/H$63</f>
        <v>0.24643196955280686</v>
      </c>
      <c r="I104" s="120">
        <f t="shared" si="41"/>
        <v>0.29883227176220806</v>
      </c>
      <c r="J104" s="120">
        <f t="shared" si="41"/>
        <v>0.32460732984293195</v>
      </c>
      <c r="K104" s="122">
        <f t="shared" si="41"/>
        <v>0.3384387351778656</v>
      </c>
    </row>
    <row r="106" spans="1:11">
      <c r="B106" t="s">
        <v>105</v>
      </c>
      <c r="G106" s="51">
        <f ca="1">G163+G78</f>
        <v>450.76559691271132</v>
      </c>
      <c r="H106" s="51">
        <f ca="1">H163+H78</f>
        <v>452.66873764977436</v>
      </c>
      <c r="I106" s="51">
        <f ca="1">I163+I78</f>
        <v>481.05277722748565</v>
      </c>
      <c r="J106" s="51">
        <f ca="1">J163+J78</f>
        <v>562.81506608518976</v>
      </c>
      <c r="K106" s="51">
        <f ca="1">K163+K78</f>
        <v>675.44187107666198</v>
      </c>
    </row>
    <row r="107" spans="1:11">
      <c r="B107" s="71" t="s">
        <v>89</v>
      </c>
      <c r="G107" s="118">
        <f ca="1">G106/G$63</f>
        <v>0.17512260952319786</v>
      </c>
      <c r="H107" s="118">
        <f t="shared" ref="H107:K107" ca="1" si="42">H106/H$63</f>
        <v>0.21535144512358437</v>
      </c>
      <c r="I107" s="118">
        <f t="shared" ca="1" si="42"/>
        <v>0.25533586901671212</v>
      </c>
      <c r="J107" s="118">
        <f t="shared" ca="1" si="42"/>
        <v>0.29466757386659148</v>
      </c>
      <c r="K107" s="118">
        <f t="shared" ca="1" si="42"/>
        <v>0.33371633946475393</v>
      </c>
    </row>
    <row r="109" spans="1:11">
      <c r="B109" t="s">
        <v>106</v>
      </c>
      <c r="G109" s="52">
        <v>464</v>
      </c>
      <c r="H109" s="52">
        <v>518</v>
      </c>
      <c r="I109" s="52">
        <v>563</v>
      </c>
      <c r="J109" s="52">
        <v>620</v>
      </c>
      <c r="K109" s="52">
        <v>685</v>
      </c>
    </row>
    <row r="110" spans="1:11">
      <c r="B110" s="71" t="s">
        <v>89</v>
      </c>
      <c r="G110" s="118">
        <f>G109/G$63</f>
        <v>0.18026418026418026</v>
      </c>
      <c r="H110" s="118">
        <f t="shared" ref="H110:K110" si="43">H109/H$63</f>
        <v>0.24643196955280686</v>
      </c>
      <c r="I110" s="118">
        <f t="shared" si="43"/>
        <v>0.29883227176220806</v>
      </c>
      <c r="J110" s="118">
        <f t="shared" si="43"/>
        <v>0.32460732984293195</v>
      </c>
      <c r="K110" s="118">
        <f t="shared" si="43"/>
        <v>0.3384387351778656</v>
      </c>
    </row>
    <row r="112" spans="1:11">
      <c r="A112" s="4" t="s">
        <v>1</v>
      </c>
      <c r="B112" s="109" t="s">
        <v>107</v>
      </c>
      <c r="C112" s="109"/>
      <c r="D112" s="111">
        <v>2008</v>
      </c>
      <c r="E112" s="111">
        <f>D112+1</f>
        <v>2009</v>
      </c>
      <c r="F112" s="111">
        <f t="shared" ref="F112:K112" si="44">E112+1</f>
        <v>2010</v>
      </c>
      <c r="G112" s="112">
        <f t="shared" si="44"/>
        <v>2011</v>
      </c>
      <c r="H112" s="112">
        <f t="shared" si="44"/>
        <v>2012</v>
      </c>
      <c r="I112" s="112">
        <f t="shared" si="44"/>
        <v>2013</v>
      </c>
      <c r="J112" s="112">
        <f t="shared" si="44"/>
        <v>2014</v>
      </c>
      <c r="K112" s="112">
        <f t="shared" si="44"/>
        <v>2015</v>
      </c>
    </row>
    <row r="113" spans="2:13" ht="5.0999999999999996" customHeight="1"/>
    <row r="114" spans="2:13">
      <c r="B114" t="s">
        <v>108</v>
      </c>
      <c r="D114" s="52">
        <v>139.30000000000001</v>
      </c>
      <c r="E114" s="52">
        <v>130</v>
      </c>
      <c r="F114" s="52">
        <v>142.9</v>
      </c>
      <c r="G114" s="119">
        <f>G115*G$63</f>
        <v>141.64856567644247</v>
      </c>
      <c r="H114" s="119">
        <f t="shared" ref="H114:K114" si="45">H115*H$63</f>
        <v>115.6741589168151</v>
      </c>
      <c r="I114" s="119">
        <f t="shared" si="45"/>
        <v>103.67750494732618</v>
      </c>
      <c r="J114" s="119">
        <f t="shared" si="45"/>
        <v>105.10829854001753</v>
      </c>
      <c r="K114" s="119">
        <f t="shared" si="45"/>
        <v>111.38177813874108</v>
      </c>
    </row>
    <row r="115" spans="2:13">
      <c r="B115" s="71" t="s">
        <v>89</v>
      </c>
      <c r="D115" s="118">
        <f>D114/D$63</f>
        <v>5.6748278812074802E-2</v>
      </c>
      <c r="E115" s="118">
        <f t="shared" ref="E115:F115" si="46">E114/E$63</f>
        <v>5.1233546149601954E-2</v>
      </c>
      <c r="F115" s="118">
        <f t="shared" si="46"/>
        <v>5.7109743425785314E-2</v>
      </c>
      <c r="G115" s="134">
        <f>AVERAGE(D115:F115)</f>
        <v>5.5030522795820692E-2</v>
      </c>
      <c r="H115" s="86">
        <f>G115</f>
        <v>5.5030522795820692E-2</v>
      </c>
      <c r="I115" s="86">
        <f t="shared" ref="I115:K115" si="47">H115</f>
        <v>5.5030522795820692E-2</v>
      </c>
      <c r="J115" s="86">
        <f t="shared" si="47"/>
        <v>5.5030522795820692E-2</v>
      </c>
      <c r="K115" s="86">
        <f t="shared" si="47"/>
        <v>5.5030522795820692E-2</v>
      </c>
    </row>
    <row r="117" spans="2:13">
      <c r="B117" t="s">
        <v>109</v>
      </c>
      <c r="D117" s="52">
        <f>53.5+45.2</f>
        <v>98.7</v>
      </c>
      <c r="E117" s="52">
        <f>86.4+32.5</f>
        <v>118.9</v>
      </c>
      <c r="F117" s="52">
        <f>88.4+15.1</f>
        <v>103.5</v>
      </c>
      <c r="G117" s="119">
        <f>G118*G$63</f>
        <v>110.193943009389</v>
      </c>
      <c r="H117" s="119">
        <f t="shared" ref="H117:K117" si="48">H118*H$63</f>
        <v>89.987439085367399</v>
      </c>
      <c r="I117" s="119">
        <f t="shared" si="48"/>
        <v>80.654774137408268</v>
      </c>
      <c r="J117" s="119">
        <f t="shared" si="48"/>
        <v>81.767844268816233</v>
      </c>
      <c r="K117" s="119">
        <f t="shared" si="48"/>
        <v>86.648228691143487</v>
      </c>
    </row>
    <row r="118" spans="2:13">
      <c r="B118" s="71" t="s">
        <v>89</v>
      </c>
      <c r="D118" s="118">
        <f>D117/D$63</f>
        <v>4.0208579459811794E-2</v>
      </c>
      <c r="E118" s="118">
        <f t="shared" ref="E118:F118" si="49">E117/E$63</f>
        <v>4.6858989516828251E-2</v>
      </c>
      <c r="F118" s="118">
        <f t="shared" si="49"/>
        <v>4.136360003197187E-2</v>
      </c>
      <c r="G118" s="134">
        <f>AVERAGE(D118:F118)</f>
        <v>4.2810389669537298E-2</v>
      </c>
      <c r="H118" s="86">
        <f>G118</f>
        <v>4.2810389669537298E-2</v>
      </c>
      <c r="I118" s="86">
        <f t="shared" ref="I118:K118" si="50">H118</f>
        <v>4.2810389669537298E-2</v>
      </c>
      <c r="J118" s="86">
        <f t="shared" si="50"/>
        <v>4.2810389669537298E-2</v>
      </c>
      <c r="K118" s="86">
        <f t="shared" si="50"/>
        <v>4.2810389669537298E-2</v>
      </c>
    </row>
    <row r="120" spans="2:13">
      <c r="B120" t="s">
        <v>110</v>
      </c>
      <c r="D120" s="52">
        <v>129.5</v>
      </c>
      <c r="E120" s="52">
        <v>127</v>
      </c>
      <c r="F120" s="52">
        <v>106.9</v>
      </c>
      <c r="G120" s="119">
        <f>G121*G$63</f>
        <v>109.96746862760772</v>
      </c>
      <c r="H120" s="119">
        <f t="shared" ref="H120:K120" si="51">H121*H$63</f>
        <v>89.802493805451206</v>
      </c>
      <c r="I120" s="119">
        <f t="shared" si="51"/>
        <v>80.4890096714891</v>
      </c>
      <c r="J120" s="119">
        <f t="shared" si="51"/>
        <v>81.599792182879071</v>
      </c>
      <c r="K120" s="119">
        <f t="shared" si="51"/>
        <v>86.47014627128128</v>
      </c>
    </row>
    <row r="121" spans="2:13">
      <c r="B121" s="71" t="s">
        <v>89</v>
      </c>
      <c r="D121" s="118">
        <f>D120/D$63</f>
        <v>5.2755937589114767E-2</v>
      </c>
      <c r="E121" s="118">
        <f t="shared" ref="E121:F121" si="52">E120/E$63</f>
        <v>5.0051233546149598E-2</v>
      </c>
      <c r="F121" s="118">
        <f t="shared" si="52"/>
        <v>4.2722404284229881E-2</v>
      </c>
      <c r="G121" s="133">
        <f>F121</f>
        <v>4.2722404284229881E-2</v>
      </c>
      <c r="H121" s="86">
        <f>G121</f>
        <v>4.2722404284229881E-2</v>
      </c>
      <c r="I121" s="86">
        <f t="shared" ref="I121:K121" si="53">H121</f>
        <v>4.2722404284229881E-2</v>
      </c>
      <c r="J121" s="86">
        <f t="shared" si="53"/>
        <v>4.2722404284229881E-2</v>
      </c>
      <c r="K121" s="86">
        <f t="shared" si="53"/>
        <v>4.2722404284229881E-2</v>
      </c>
    </row>
    <row r="122" spans="2:13">
      <c r="M122" s="75" t="s">
        <v>111</v>
      </c>
    </row>
    <row r="123" spans="2:13">
      <c r="B123" t="s">
        <v>112</v>
      </c>
      <c r="D123" s="52">
        <v>77.2</v>
      </c>
      <c r="E123" s="52">
        <v>67.8</v>
      </c>
      <c r="F123" s="52">
        <v>71.900000000000006</v>
      </c>
      <c r="G123" s="119">
        <f>G124*G$63</f>
        <v>74.564361269911387</v>
      </c>
      <c r="H123" s="119">
        <f t="shared" ref="H123:K123" si="54">H124*H$63</f>
        <v>60.891331542095465</v>
      </c>
      <c r="I123" s="119">
        <f t="shared" si="54"/>
        <v>54.576245777977093</v>
      </c>
      <c r="J123" s="119">
        <f t="shared" si="54"/>
        <v>55.329421144339832</v>
      </c>
      <c r="K123" s="119">
        <f t="shared" si="54"/>
        <v>58.631805443007238</v>
      </c>
      <c r="M123" t="s">
        <v>113</v>
      </c>
    </row>
    <row r="124" spans="2:13">
      <c r="B124" s="71" t="s">
        <v>89</v>
      </c>
      <c r="D124" s="118">
        <f>D123/D$63</f>
        <v>3.1449871674746409E-2</v>
      </c>
      <c r="E124" s="118">
        <f t="shared" ref="E124:F124" si="55">E123/E$63</f>
        <v>2.6720264838023172E-2</v>
      </c>
      <c r="F124" s="118">
        <f t="shared" si="55"/>
        <v>2.8734713452162101E-2</v>
      </c>
      <c r="G124" s="134">
        <f>AVERAGE(D124:F124)</f>
        <v>2.8968283321643893E-2</v>
      </c>
      <c r="H124" s="86">
        <f>G124</f>
        <v>2.8968283321643893E-2</v>
      </c>
      <c r="I124" s="86">
        <f t="shared" ref="I124:K124" si="56">H124</f>
        <v>2.8968283321643893E-2</v>
      </c>
      <c r="J124" s="86">
        <f t="shared" si="56"/>
        <v>2.8968283321643893E-2</v>
      </c>
      <c r="K124" s="86">
        <f t="shared" si="56"/>
        <v>2.8968283321643893E-2</v>
      </c>
      <c r="M124" t="s">
        <v>114</v>
      </c>
    </row>
    <row r="125" spans="2:13">
      <c r="G125" s="135"/>
      <c r="H125" s="135"/>
      <c r="I125" s="135"/>
      <c r="J125" s="135"/>
      <c r="K125" s="135"/>
      <c r="M125" t="s">
        <v>115</v>
      </c>
    </row>
    <row r="126" spans="2:13">
      <c r="B126" t="s">
        <v>116</v>
      </c>
      <c r="D126" s="52">
        <v>241.9</v>
      </c>
      <c r="E126" s="52">
        <v>220</v>
      </c>
      <c r="F126" s="52">
        <v>200.9</v>
      </c>
      <c r="G126" s="119">
        <f>G127*G$63</f>
        <v>206.66477499800177</v>
      </c>
      <c r="H126" s="119">
        <f t="shared" ref="H126:K126" si="57">H127*H$63</f>
        <v>168.76820398049716</v>
      </c>
      <c r="I126" s="119">
        <f t="shared" si="57"/>
        <v>151.2651266885141</v>
      </c>
      <c r="J126" s="119">
        <f t="shared" si="57"/>
        <v>153.35264966829192</v>
      </c>
      <c r="K126" s="119">
        <f t="shared" si="57"/>
        <v>162.50563504116377</v>
      </c>
      <c r="M126" t="s">
        <v>117</v>
      </c>
    </row>
    <row r="127" spans="2:13">
      <c r="B127" s="71" t="s">
        <v>89</v>
      </c>
      <c r="D127" s="118">
        <f>D126/D$63</f>
        <v>9.8545647125921718E-2</v>
      </c>
      <c r="E127" s="118">
        <f t="shared" ref="E127:F127" si="58">E126/E$63</f>
        <v>8.6702924253172539E-2</v>
      </c>
      <c r="F127" s="118">
        <f t="shared" si="58"/>
        <v>8.0289345376069063E-2</v>
      </c>
      <c r="G127" s="133">
        <f>F127</f>
        <v>8.0289345376069063E-2</v>
      </c>
      <c r="H127" s="86">
        <f>G127</f>
        <v>8.0289345376069063E-2</v>
      </c>
      <c r="I127" s="86">
        <f t="shared" ref="I127:K127" si="59">H127</f>
        <v>8.0289345376069063E-2</v>
      </c>
      <c r="J127" s="86">
        <f t="shared" si="59"/>
        <v>8.0289345376069063E-2</v>
      </c>
      <c r="K127" s="86">
        <f t="shared" si="59"/>
        <v>8.0289345376069063E-2</v>
      </c>
    </row>
    <row r="128" spans="2:13">
      <c r="C128" s="60"/>
      <c r="D128" s="52"/>
      <c r="E128" s="52"/>
      <c r="F128" s="52"/>
      <c r="G128" s="22"/>
    </row>
    <row r="129" spans="1:11">
      <c r="B129" s="64" t="s">
        <v>118</v>
      </c>
      <c r="C129" s="65"/>
      <c r="D129" s="67">
        <f>SUM(D114,D117)-SUM(D120,D123,D126)</f>
        <v>-210.60000000000002</v>
      </c>
      <c r="E129" s="67">
        <f>SUM(E114,E117)-SUM(E120,E123,E126)</f>
        <v>-165.9</v>
      </c>
      <c r="F129" s="67">
        <f>SUM(F114,F117)-SUM(F120,F123,F126)</f>
        <v>-133.30000000000004</v>
      </c>
      <c r="G129" s="67">
        <f>SUM(G114,G117)-SUM(G120,G123,G126)</f>
        <v>-139.35409620968937</v>
      </c>
      <c r="H129" s="67">
        <f>SUM(H114,H117)-SUM(H120,H123,H126)</f>
        <v>-113.80043132586135</v>
      </c>
      <c r="I129" s="67">
        <f>SUM(I114,I117)-SUM(I120,I123,I126)</f>
        <v>-101.99810305324581</v>
      </c>
      <c r="J129" s="67">
        <f>SUM(J114,J117)-SUM(J120,J123,J126)</f>
        <v>-103.40572018667706</v>
      </c>
      <c r="K129" s="116">
        <f>SUM(K114,K117)-SUM(K120,K123,K126)</f>
        <v>-109.57757992556773</v>
      </c>
    </row>
    <row r="130" spans="1:11">
      <c r="B130" s="72" t="s">
        <v>89</v>
      </c>
      <c r="C130" s="69"/>
      <c r="D130" s="120">
        <f>D129/D$63</f>
        <v>-8.579459811789629E-2</v>
      </c>
      <c r="E130" s="120">
        <f t="shared" ref="E130:F130" si="60">E129/E$63</f>
        <v>-6.5381886970915112E-2</v>
      </c>
      <c r="F130" s="120">
        <f t="shared" si="60"/>
        <v>-5.3273119654703882E-2</v>
      </c>
      <c r="G130" s="87">
        <f>AVERAGE(D130:F130)</f>
        <v>-6.8149868247838433E-2</v>
      </c>
      <c r="H130" s="87">
        <f>H129/H$63</f>
        <v>-5.413912051658485E-2</v>
      </c>
      <c r="I130" s="87">
        <f t="shared" ref="I130:K130" si="61">I129/I$63</f>
        <v>-5.4139120516584829E-2</v>
      </c>
      <c r="J130" s="87">
        <f t="shared" si="61"/>
        <v>-5.413912051658485E-2</v>
      </c>
      <c r="K130" s="136">
        <f t="shared" si="61"/>
        <v>-5.413912051658485E-2</v>
      </c>
    </row>
    <row r="132" spans="1:11">
      <c r="B132" s="64" t="s">
        <v>119</v>
      </c>
      <c r="C132" s="65"/>
      <c r="D132" s="132" t="s">
        <v>81</v>
      </c>
      <c r="E132" s="67">
        <f>E129-D129</f>
        <v>44.700000000000017</v>
      </c>
      <c r="F132" s="67">
        <f t="shared" ref="F132:K132" si="62">F129-E129</f>
        <v>32.599999999999966</v>
      </c>
      <c r="G132" s="67">
        <f t="shared" si="62"/>
        <v>-6.0540962096893338</v>
      </c>
      <c r="H132" s="67">
        <f t="shared" si="62"/>
        <v>25.55366488382802</v>
      </c>
      <c r="I132" s="67">
        <f t="shared" si="62"/>
        <v>11.80232827261554</v>
      </c>
      <c r="J132" s="67">
        <f t="shared" si="62"/>
        <v>-1.4076171334312448</v>
      </c>
      <c r="K132" s="116">
        <f t="shared" si="62"/>
        <v>-6.1718597388906744</v>
      </c>
    </row>
    <row r="133" spans="1:11">
      <c r="B133" s="72" t="s">
        <v>89</v>
      </c>
      <c r="C133" s="69"/>
      <c r="D133" s="131" t="s">
        <v>81</v>
      </c>
      <c r="E133" s="120">
        <f>E132/E$63</f>
        <v>1.7616457791440061E-2</v>
      </c>
      <c r="F133" s="120">
        <f t="shared" ref="F133:K133" si="63">F132/F$63</f>
        <v>1.3028534889297406E-2</v>
      </c>
      <c r="G133" s="120">
        <f>G132/G$63</f>
        <v>-2.3520187294830356E-3</v>
      </c>
      <c r="H133" s="120">
        <f t="shared" si="63"/>
        <v>1.2156833912382502E-2</v>
      </c>
      <c r="I133" s="120">
        <f t="shared" si="63"/>
        <v>6.2645054525560188E-3</v>
      </c>
      <c r="J133" s="120">
        <f t="shared" si="63"/>
        <v>-7.3697232116819102E-4</v>
      </c>
      <c r="K133" s="122">
        <f t="shared" si="63"/>
        <v>-3.0493378156574479E-3</v>
      </c>
    </row>
    <row r="135" spans="1:11">
      <c r="A135" s="4" t="s">
        <v>1</v>
      </c>
      <c r="B135" s="109" t="s">
        <v>120</v>
      </c>
      <c r="C135" s="109"/>
      <c r="D135" s="111">
        <v>2008</v>
      </c>
      <c r="E135" s="111">
        <f>D135+1</f>
        <v>2009</v>
      </c>
      <c r="F135" s="111">
        <f t="shared" ref="F135:K135" si="64">E135+1</f>
        <v>2010</v>
      </c>
      <c r="G135" s="112">
        <f t="shared" si="64"/>
        <v>2011</v>
      </c>
      <c r="H135" s="112">
        <f t="shared" si="64"/>
        <v>2012</v>
      </c>
      <c r="I135" s="112">
        <f t="shared" si="64"/>
        <v>2013</v>
      </c>
      <c r="J135" s="112">
        <f t="shared" si="64"/>
        <v>2014</v>
      </c>
      <c r="K135" s="112">
        <f t="shared" si="64"/>
        <v>2015</v>
      </c>
    </row>
    <row r="137" spans="1:11">
      <c r="B137" t="s">
        <v>121</v>
      </c>
      <c r="D137" s="52">
        <v>178.2</v>
      </c>
      <c r="E137" s="52">
        <v>204</v>
      </c>
      <c r="F137" s="52">
        <v>150.30000000000001</v>
      </c>
      <c r="G137" s="119">
        <f>G138*G63</f>
        <v>182.80533167533957</v>
      </c>
      <c r="H137" s="119">
        <f t="shared" ref="H137:K137" si="65">H138*H63</f>
        <v>149.2839188739564</v>
      </c>
      <c r="I137" s="119">
        <f t="shared" si="65"/>
        <v>133.80157143602943</v>
      </c>
      <c r="J137" s="119">
        <f t="shared" si="65"/>
        <v>135.64808993780053</v>
      </c>
      <c r="K137" s="119">
        <f t="shared" si="65"/>
        <v>143.74436336864309</v>
      </c>
    </row>
    <row r="138" spans="1:11">
      <c r="B138" s="71" t="s">
        <v>89</v>
      </c>
      <c r="D138" s="118">
        <f>D137/D$63</f>
        <v>7.2595429176681464E-2</v>
      </c>
      <c r="E138" s="118">
        <f t="shared" ref="E138:F138" si="66">E137/E$63</f>
        <v>8.0397257034759986E-2</v>
      </c>
      <c r="F138" s="118">
        <f t="shared" si="66"/>
        <v>6.0067140915993932E-2</v>
      </c>
      <c r="G138" s="142">
        <f>AVERAGE(D138:F138)</f>
        <v>7.1019942375811801E-2</v>
      </c>
      <c r="H138" s="86">
        <f>G138</f>
        <v>7.1019942375811801E-2</v>
      </c>
      <c r="I138" s="86">
        <f t="shared" ref="I138:K138" si="67">H138</f>
        <v>7.1019942375811801E-2</v>
      </c>
      <c r="J138" s="86">
        <f t="shared" si="67"/>
        <v>7.1019942375811801E-2</v>
      </c>
      <c r="K138" s="86">
        <f t="shared" si="67"/>
        <v>7.1019942375811801E-2</v>
      </c>
    </row>
    <row r="140" spans="1:11">
      <c r="B140" t="s">
        <v>122</v>
      </c>
      <c r="D140" s="52">
        <f>95.6-D153</f>
        <v>90.6</v>
      </c>
      <c r="E140" s="52">
        <f>98.1-E153</f>
        <v>89.3</v>
      </c>
      <c r="F140" s="52">
        <f>111.7-F153</f>
        <v>103</v>
      </c>
      <c r="G140" s="119">
        <f>G142*G137</f>
        <v>99.413115096709689</v>
      </c>
      <c r="H140" s="119">
        <f t="shared" ref="H140:K140" si="68">H142*H137</f>
        <v>81.183515125595861</v>
      </c>
      <c r="I140" s="119">
        <f t="shared" si="68"/>
        <v>72.763911749106867</v>
      </c>
      <c r="J140" s="119">
        <f t="shared" si="68"/>
        <v>73.768084628871605</v>
      </c>
      <c r="K140" s="119">
        <f t="shared" si="68"/>
        <v>78.170996486301647</v>
      </c>
    </row>
    <row r="141" spans="1:11">
      <c r="B141" s="71" t="s">
        <v>89</v>
      </c>
      <c r="D141" s="118">
        <f>D140/D$63</f>
        <v>3.6908787224508084E-2</v>
      </c>
      <c r="E141" s="118">
        <f t="shared" ref="E141:F141" si="69">E140/E$63</f>
        <v>3.5193505162765031E-2</v>
      </c>
      <c r="F141" s="118">
        <f t="shared" si="69"/>
        <v>4.116377587722804E-2</v>
      </c>
      <c r="G141" s="142">
        <f>AVERAGE(D141:F141)</f>
        <v>3.7755356088167054E-2</v>
      </c>
      <c r="H141" s="86">
        <f>G141</f>
        <v>3.7755356088167054E-2</v>
      </c>
      <c r="I141" s="86">
        <f t="shared" ref="I141:K142" si="70">H141</f>
        <v>3.7755356088167054E-2</v>
      </c>
      <c r="J141" s="86">
        <f t="shared" si="70"/>
        <v>3.7755356088167054E-2</v>
      </c>
      <c r="K141" s="86">
        <f t="shared" si="70"/>
        <v>3.7755356088167054E-2</v>
      </c>
    </row>
    <row r="142" spans="1:11">
      <c r="B142" s="71" t="s">
        <v>123</v>
      </c>
      <c r="D142" s="118">
        <f>D140/D137</f>
        <v>0.50841750841750843</v>
      </c>
      <c r="E142" s="118">
        <f t="shared" ref="E142:F142" si="71">E140/E137</f>
        <v>0.43774509803921569</v>
      </c>
      <c r="F142" s="118">
        <f t="shared" si="71"/>
        <v>0.6852960745176313</v>
      </c>
      <c r="G142" s="142">
        <f>AVERAGE(D142:F142)</f>
        <v>0.54381956032478518</v>
      </c>
      <c r="H142" s="86">
        <f>G142</f>
        <v>0.54381956032478518</v>
      </c>
      <c r="I142" s="86">
        <f t="shared" si="70"/>
        <v>0.54381956032478518</v>
      </c>
      <c r="J142" s="86">
        <f t="shared" si="70"/>
        <v>0.54381956032478518</v>
      </c>
      <c r="K142" s="86">
        <f t="shared" si="70"/>
        <v>0.54381956032478518</v>
      </c>
    </row>
    <row r="143" spans="1:11">
      <c r="B143" s="71"/>
    </row>
    <row r="144" spans="1:11">
      <c r="B144" s="75" t="s">
        <v>124</v>
      </c>
    </row>
    <row r="145" spans="2:11">
      <c r="B145" s="9" t="s">
        <v>125</v>
      </c>
      <c r="D145" s="22"/>
      <c r="E145" s="51"/>
      <c r="F145" s="152">
        <f>F148+F147-F146</f>
        <v>966.8</v>
      </c>
      <c r="G145" s="143">
        <f>F148</f>
        <v>1014.1</v>
      </c>
      <c r="H145" s="143">
        <f t="shared" ref="H145:K145" si="72">G148</f>
        <v>1097.49221657863</v>
      </c>
      <c r="I145" s="143">
        <f t="shared" si="72"/>
        <v>1165.5926203269905</v>
      </c>
      <c r="J145" s="143">
        <f t="shared" si="72"/>
        <v>1226.6302800139131</v>
      </c>
      <c r="K145" s="143">
        <f t="shared" si="72"/>
        <v>1288.510285322842</v>
      </c>
    </row>
    <row r="146" spans="2:11">
      <c r="B146" s="9" t="s">
        <v>126</v>
      </c>
      <c r="D146" s="51"/>
      <c r="E146" s="140"/>
      <c r="F146" s="51">
        <f>F137</f>
        <v>150.30000000000001</v>
      </c>
      <c r="G146" s="137">
        <f>G137</f>
        <v>182.80533167533957</v>
      </c>
      <c r="H146" s="137">
        <f t="shared" ref="H146:K146" si="73">H137</f>
        <v>149.2839188739564</v>
      </c>
      <c r="I146" s="137">
        <f t="shared" si="73"/>
        <v>133.80157143602943</v>
      </c>
      <c r="J146" s="137">
        <f t="shared" si="73"/>
        <v>135.64808993780053</v>
      </c>
      <c r="K146" s="137">
        <f t="shared" si="73"/>
        <v>143.74436336864309</v>
      </c>
    </row>
    <row r="147" spans="2:11">
      <c r="B147" s="9" t="s">
        <v>127</v>
      </c>
      <c r="D147" s="51"/>
      <c r="E147" s="140"/>
      <c r="F147" s="51">
        <f>F140</f>
        <v>103</v>
      </c>
      <c r="G147" s="137">
        <f>G140</f>
        <v>99.413115096709689</v>
      </c>
      <c r="H147" s="137">
        <f t="shared" ref="H147:K147" si="74">H140</f>
        <v>81.183515125595861</v>
      </c>
      <c r="I147" s="137">
        <f t="shared" si="74"/>
        <v>72.763911749106867</v>
      </c>
      <c r="J147" s="137">
        <f t="shared" si="74"/>
        <v>73.768084628871605</v>
      </c>
      <c r="K147" s="137">
        <f t="shared" si="74"/>
        <v>78.170996486301647</v>
      </c>
    </row>
    <row r="148" spans="2:11">
      <c r="B148" s="92" t="s">
        <v>128</v>
      </c>
      <c r="D148" s="52"/>
      <c r="F148" s="173">
        <v>1014.1</v>
      </c>
      <c r="G148" s="174">
        <f>G145+G146-G147</f>
        <v>1097.49221657863</v>
      </c>
      <c r="H148" s="174">
        <f t="shared" ref="H148:K148" si="75">H145+H146-H147</f>
        <v>1165.5926203269905</v>
      </c>
      <c r="I148" s="174">
        <f t="shared" si="75"/>
        <v>1226.6302800139131</v>
      </c>
      <c r="J148" s="174">
        <f t="shared" si="75"/>
        <v>1288.510285322842</v>
      </c>
      <c r="K148" s="174">
        <f t="shared" si="75"/>
        <v>1354.0836522051834</v>
      </c>
    </row>
    <row r="149" spans="2:11">
      <c r="E149" s="22"/>
      <c r="F149" s="22"/>
    </row>
    <row r="150" spans="2:11">
      <c r="B150" s="75" t="s">
        <v>129</v>
      </c>
    </row>
    <row r="151" spans="2:11">
      <c r="B151" s="9" t="s">
        <v>125</v>
      </c>
      <c r="D151" s="119">
        <f>D154+D153-D152</f>
        <v>1049.5999999999999</v>
      </c>
      <c r="E151" s="137">
        <f>D154</f>
        <v>1054.5999999999999</v>
      </c>
      <c r="F151" s="137">
        <f>E154</f>
        <v>1062.7</v>
      </c>
      <c r="G151" s="137">
        <f t="shared" ref="G151:K151" si="76">F154</f>
        <v>1025.4000000000001</v>
      </c>
      <c r="H151" s="137">
        <f t="shared" si="76"/>
        <v>1025.4000000000001</v>
      </c>
      <c r="I151" s="137">
        <f t="shared" si="76"/>
        <v>1025.4000000000001</v>
      </c>
      <c r="J151" s="137">
        <f t="shared" si="76"/>
        <v>1025.4000000000001</v>
      </c>
      <c r="K151" s="137">
        <f t="shared" si="76"/>
        <v>1025.4000000000001</v>
      </c>
    </row>
    <row r="152" spans="2:11">
      <c r="B152" s="9" t="s">
        <v>130</v>
      </c>
      <c r="D152" s="138">
        <v>10</v>
      </c>
      <c r="E152" s="119">
        <f>E154+E153-E151</f>
        <v>16.900000000000091</v>
      </c>
      <c r="F152" s="139">
        <f>F154+F153-F151</f>
        <v>-28.599999999999909</v>
      </c>
      <c r="G152" s="139">
        <v>9</v>
      </c>
      <c r="H152" s="139">
        <v>9</v>
      </c>
      <c r="I152" s="139">
        <v>9</v>
      </c>
      <c r="J152" s="139">
        <v>9</v>
      </c>
      <c r="K152" s="139">
        <v>8</v>
      </c>
    </row>
    <row r="153" spans="2:11">
      <c r="B153" s="9" t="s">
        <v>58</v>
      </c>
      <c r="D153" s="138">
        <v>5</v>
      </c>
      <c r="E153" s="138">
        <v>8.8000000000000007</v>
      </c>
      <c r="F153" s="138">
        <v>8.6999999999999993</v>
      </c>
      <c r="G153" s="138">
        <v>8.9</v>
      </c>
      <c r="H153" s="138">
        <v>8.8000000000000007</v>
      </c>
      <c r="I153" s="138">
        <v>8.8000000000000007</v>
      </c>
      <c r="J153" s="138">
        <v>8.6</v>
      </c>
      <c r="K153" s="138">
        <v>8.1999999999999993</v>
      </c>
    </row>
    <row r="154" spans="2:11">
      <c r="B154" s="92" t="s">
        <v>128</v>
      </c>
      <c r="D154" s="138">
        <v>1054.5999999999999</v>
      </c>
      <c r="E154" s="138">
        <v>1062.7</v>
      </c>
      <c r="F154" s="138">
        <v>1025.4000000000001</v>
      </c>
      <c r="G154" s="119">
        <f>F154</f>
        <v>1025.4000000000001</v>
      </c>
      <c r="H154" s="119">
        <f t="shared" ref="H154:K154" si="77">G154</f>
        <v>1025.4000000000001</v>
      </c>
      <c r="I154" s="119">
        <f t="shared" si="77"/>
        <v>1025.4000000000001</v>
      </c>
      <c r="J154" s="119">
        <f t="shared" si="77"/>
        <v>1025.4000000000001</v>
      </c>
      <c r="K154" s="119">
        <f t="shared" si="77"/>
        <v>1025.4000000000001</v>
      </c>
    </row>
    <row r="156" spans="2:11">
      <c r="B156" s="8" t="s">
        <v>131</v>
      </c>
      <c r="C156" s="8"/>
      <c r="D156" s="144">
        <f>26.6+135.4+105.2</f>
        <v>267.2</v>
      </c>
      <c r="E156" s="144">
        <f>26.4+135.3+98.9</f>
        <v>260.60000000000002</v>
      </c>
      <c r="F156" s="144">
        <f>31+138.5+104.2</f>
        <v>273.7</v>
      </c>
      <c r="G156" s="145">
        <f>F156</f>
        <v>273.7</v>
      </c>
      <c r="H156" s="145">
        <f t="shared" ref="H156:K156" si="78">G156</f>
        <v>273.7</v>
      </c>
      <c r="I156" s="145">
        <f t="shared" si="78"/>
        <v>273.7</v>
      </c>
      <c r="J156" s="145">
        <f t="shared" si="78"/>
        <v>273.7</v>
      </c>
      <c r="K156" s="145">
        <f t="shared" si="78"/>
        <v>273.7</v>
      </c>
    </row>
    <row r="157" spans="2:11">
      <c r="D157" s="119"/>
      <c r="E157" s="119"/>
      <c r="F157" s="119"/>
    </row>
    <row r="158" spans="2:11">
      <c r="B158" s="8" t="s">
        <v>132</v>
      </c>
      <c r="C158" s="8"/>
      <c r="D158" s="144">
        <f>71.2+360.4+85.6</f>
        <v>517.19999999999993</v>
      </c>
      <c r="E158" s="144">
        <f>65.8+354.5+74.1</f>
        <v>494.4</v>
      </c>
      <c r="F158" s="144">
        <f>65.3+344.6+68.2</f>
        <v>478.1</v>
      </c>
      <c r="G158" s="145">
        <f>F158</f>
        <v>478.1</v>
      </c>
      <c r="H158" s="145">
        <f t="shared" ref="H158:K158" si="79">G158</f>
        <v>478.1</v>
      </c>
      <c r="I158" s="145">
        <f t="shared" si="79"/>
        <v>478.1</v>
      </c>
      <c r="J158" s="145">
        <f t="shared" si="79"/>
        <v>478.1</v>
      </c>
      <c r="K158" s="145">
        <f t="shared" si="79"/>
        <v>478.1</v>
      </c>
    </row>
    <row r="160" spans="2:11">
      <c r="B160" s="64" t="s">
        <v>102</v>
      </c>
      <c r="C160" s="65"/>
      <c r="D160" s="121">
        <f>D140+D153</f>
        <v>95.6</v>
      </c>
      <c r="E160" s="121">
        <f t="shared" ref="E160:F160" si="80">E140+E153</f>
        <v>98.1</v>
      </c>
      <c r="F160" s="121">
        <f t="shared" si="80"/>
        <v>111.7</v>
      </c>
      <c r="G160" s="67">
        <f>CHOOSE(CASE,G163,G166)</f>
        <v>113</v>
      </c>
      <c r="H160" s="67">
        <f>CHOOSE(CASE,H163,H166)</f>
        <v>92</v>
      </c>
      <c r="I160" s="67">
        <f>CHOOSE(CASE,I163,I166)</f>
        <v>98</v>
      </c>
      <c r="J160" s="67">
        <f>CHOOSE(CASE,J163,J166)</f>
        <v>92</v>
      </c>
      <c r="K160" s="116">
        <f>CHOOSE(CASE,K163,K166)</f>
        <v>96</v>
      </c>
    </row>
    <row r="161" spans="1:11">
      <c r="B161" s="72" t="s">
        <v>89</v>
      </c>
      <c r="C161" s="69"/>
      <c r="D161" s="120">
        <f>D160/D$63</f>
        <v>3.8945696011732596E-2</v>
      </c>
      <c r="E161" s="120">
        <f t="shared" ref="E161:K161" si="81">E160/E$63</f>
        <v>3.8661622132891933E-2</v>
      </c>
      <c r="F161" s="120">
        <f t="shared" si="81"/>
        <v>4.4640716169770604E-2</v>
      </c>
      <c r="G161" s="120">
        <f t="shared" si="81"/>
        <v>4.3900543900543904E-2</v>
      </c>
      <c r="H161" s="120">
        <f t="shared" si="81"/>
        <v>4.3767840152235969E-2</v>
      </c>
      <c r="I161" s="120">
        <f t="shared" si="81"/>
        <v>5.2016985138004249E-2</v>
      </c>
      <c r="J161" s="120">
        <f t="shared" si="81"/>
        <v>4.8167539267015703E-2</v>
      </c>
      <c r="K161" s="122">
        <f t="shared" si="81"/>
        <v>4.7430830039525688E-2</v>
      </c>
    </row>
    <row r="163" spans="1:11">
      <c r="B163" t="s">
        <v>133</v>
      </c>
      <c r="G163" s="22">
        <f>G140+G153</f>
        <v>108.31311509670969</v>
      </c>
      <c r="H163" s="22">
        <f t="shared" ref="H163:K163" si="82">H140+H153</f>
        <v>89.983515125595858</v>
      </c>
      <c r="I163" s="22">
        <f t="shared" si="82"/>
        <v>81.563911749106865</v>
      </c>
      <c r="J163" s="22">
        <f t="shared" si="82"/>
        <v>82.3680846288716</v>
      </c>
      <c r="K163" s="22">
        <f t="shared" si="82"/>
        <v>86.370996486301649</v>
      </c>
    </row>
    <row r="164" spans="1:11">
      <c r="B164" s="71" t="s">
        <v>89</v>
      </c>
      <c r="D164" s="118"/>
      <c r="E164" s="118"/>
      <c r="F164" s="118"/>
      <c r="G164" s="118">
        <f>G163/G$63</f>
        <v>4.2079687294759013E-2</v>
      </c>
      <c r="H164" s="118">
        <f t="shared" ref="H164:L164" si="83">H163/H$63</f>
        <v>4.2808522895145508E-2</v>
      </c>
      <c r="I164" s="118">
        <f t="shared" si="83"/>
        <v>4.3292946788273286E-2</v>
      </c>
      <c r="J164" s="118">
        <f t="shared" si="83"/>
        <v>4.312465163815267E-2</v>
      </c>
      <c r="K164" s="118">
        <f t="shared" si="83"/>
        <v>4.2673417236315042E-2</v>
      </c>
    </row>
    <row r="166" spans="1:11">
      <c r="B166" t="s">
        <v>134</v>
      </c>
      <c r="G166" s="22">
        <f>G109-G81</f>
        <v>113</v>
      </c>
      <c r="H166" s="22">
        <f t="shared" ref="H166:K166" si="84">H109-H81</f>
        <v>92</v>
      </c>
      <c r="I166" s="22">
        <f t="shared" si="84"/>
        <v>98</v>
      </c>
      <c r="J166" s="22">
        <f t="shared" si="84"/>
        <v>92</v>
      </c>
      <c r="K166" s="22">
        <f t="shared" si="84"/>
        <v>96</v>
      </c>
    </row>
    <row r="167" spans="1:11">
      <c r="B167" s="71" t="s">
        <v>89</v>
      </c>
      <c r="D167" s="118"/>
      <c r="E167" s="118"/>
      <c r="F167" s="118"/>
      <c r="G167" s="118">
        <f t="shared" ref="G167:K167" si="85">G166/G$63</f>
        <v>4.3900543900543904E-2</v>
      </c>
      <c r="H167" s="118">
        <f t="shared" si="85"/>
        <v>4.3767840152235969E-2</v>
      </c>
      <c r="I167" s="118">
        <f t="shared" si="85"/>
        <v>5.2016985138004249E-2</v>
      </c>
      <c r="J167" s="118">
        <f t="shared" si="85"/>
        <v>4.8167539267015703E-2</v>
      </c>
      <c r="K167" s="118">
        <f t="shared" si="85"/>
        <v>4.7430830039525688E-2</v>
      </c>
    </row>
    <row r="169" spans="1:11">
      <c r="B169" s="64" t="s">
        <v>121</v>
      </c>
      <c r="C169" s="124"/>
      <c r="D169" s="146">
        <f>D137</f>
        <v>178.2</v>
      </c>
      <c r="E169" s="146">
        <f t="shared" ref="E169:K169" si="86">E137</f>
        <v>204</v>
      </c>
      <c r="F169" s="146">
        <f t="shared" si="86"/>
        <v>150.30000000000001</v>
      </c>
      <c r="G169" s="146">
        <f t="shared" si="86"/>
        <v>182.80533167533957</v>
      </c>
      <c r="H169" s="146">
        <f t="shared" si="86"/>
        <v>149.2839188739564</v>
      </c>
      <c r="I169" s="146">
        <f t="shared" si="86"/>
        <v>133.80157143602943</v>
      </c>
      <c r="J169" s="146">
        <f t="shared" si="86"/>
        <v>135.64808993780053</v>
      </c>
      <c r="K169" s="147">
        <f t="shared" si="86"/>
        <v>143.74436336864309</v>
      </c>
    </row>
    <row r="170" spans="1:11">
      <c r="B170" s="72" t="s">
        <v>89</v>
      </c>
      <c r="C170" s="125"/>
      <c r="D170" s="120">
        <f>D169/D$63</f>
        <v>7.2595429176681464E-2</v>
      </c>
      <c r="E170" s="120">
        <f t="shared" ref="E170:K170" si="87">E169/E$63</f>
        <v>8.0397257034759986E-2</v>
      </c>
      <c r="F170" s="120">
        <f t="shared" si="87"/>
        <v>6.0067140915993932E-2</v>
      </c>
      <c r="G170" s="120">
        <f t="shared" si="87"/>
        <v>7.1019942375811801E-2</v>
      </c>
      <c r="H170" s="120">
        <f t="shared" si="87"/>
        <v>7.1019942375811801E-2</v>
      </c>
      <c r="I170" s="120">
        <f t="shared" si="87"/>
        <v>7.1019942375811801E-2</v>
      </c>
      <c r="J170" s="120">
        <f t="shared" si="87"/>
        <v>7.1019942375811801E-2</v>
      </c>
      <c r="K170" s="122">
        <f t="shared" si="87"/>
        <v>7.1019942375811801E-2</v>
      </c>
    </row>
    <row r="172" spans="1:11">
      <c r="A172" s="4" t="s">
        <v>1</v>
      </c>
      <c r="B172" s="109" t="s">
        <v>135</v>
      </c>
      <c r="C172" s="109"/>
      <c r="D172" s="111">
        <v>2008</v>
      </c>
      <c r="E172" s="111">
        <f>D172+1</f>
        <v>2009</v>
      </c>
      <c r="F172" s="111">
        <f t="shared" ref="F172:K172" si="88">E172+1</f>
        <v>2010</v>
      </c>
      <c r="G172" s="112">
        <f t="shared" si="88"/>
        <v>2011</v>
      </c>
      <c r="H172" s="112">
        <f t="shared" si="88"/>
        <v>2012</v>
      </c>
      <c r="I172" s="112">
        <f t="shared" si="88"/>
        <v>2013</v>
      </c>
      <c r="J172" s="112">
        <f t="shared" si="88"/>
        <v>2014</v>
      </c>
      <c r="K172" s="112">
        <f t="shared" si="88"/>
        <v>2015</v>
      </c>
    </row>
    <row r="173" spans="1:11" ht="5.0999999999999996" customHeight="1"/>
    <row r="174" spans="1:11">
      <c r="B174" t="s">
        <v>100</v>
      </c>
      <c r="G174" s="51">
        <f ca="1">G93</f>
        <v>95.428051158490632</v>
      </c>
      <c r="H174" s="51">
        <f t="shared" ref="H174:K174" ca="1" si="89">H93</f>
        <v>147.97032096565079</v>
      </c>
      <c r="I174" s="51">
        <f t="shared" ca="1" si="89"/>
        <v>179.38977615092449</v>
      </c>
      <c r="J174" s="51">
        <f t="shared" ca="1" si="89"/>
        <v>230.34869534686496</v>
      </c>
      <c r="K174" s="51">
        <f t="shared" ca="1" si="89"/>
        <v>283.25570381922245</v>
      </c>
    </row>
    <row r="175" spans="1:11">
      <c r="B175" t="s">
        <v>102</v>
      </c>
      <c r="G175" s="51">
        <f>G160</f>
        <v>113</v>
      </c>
      <c r="H175" s="51">
        <f t="shared" ref="H175:K175" si="90">H160</f>
        <v>92</v>
      </c>
      <c r="I175" s="51">
        <f t="shared" si="90"/>
        <v>98</v>
      </c>
      <c r="J175" s="51">
        <f t="shared" si="90"/>
        <v>92</v>
      </c>
      <c r="K175" s="51">
        <f t="shared" si="90"/>
        <v>96</v>
      </c>
    </row>
    <row r="176" spans="1:11">
      <c r="B176" t="s">
        <v>136</v>
      </c>
      <c r="G176" s="51">
        <f>G132</f>
        <v>-6.0540962096893338</v>
      </c>
      <c r="H176" s="51">
        <f t="shared" ref="H176:K176" si="91">H132</f>
        <v>25.55366488382802</v>
      </c>
      <c r="I176" s="51">
        <f t="shared" si="91"/>
        <v>11.80232827261554</v>
      </c>
      <c r="J176" s="51">
        <f t="shared" si="91"/>
        <v>-1.4076171334312448</v>
      </c>
      <c r="K176" s="51">
        <f t="shared" si="91"/>
        <v>-6.1718597388906744</v>
      </c>
    </row>
    <row r="177" spans="2:13">
      <c r="B177" t="s">
        <v>137</v>
      </c>
      <c r="G177" s="119">
        <f>(G156-F156)-(F158-G158)</f>
        <v>0</v>
      </c>
      <c r="H177" s="119">
        <f t="shared" ref="H177:K177" si="92">(H156-G156)-(G158-H158)</f>
        <v>0</v>
      </c>
      <c r="I177" s="119">
        <f t="shared" si="92"/>
        <v>0</v>
      </c>
      <c r="J177" s="119">
        <f t="shared" si="92"/>
        <v>0</v>
      </c>
      <c r="K177" s="119">
        <f t="shared" si="92"/>
        <v>0</v>
      </c>
    </row>
    <row r="178" spans="2:13">
      <c r="B178" t="s">
        <v>138</v>
      </c>
      <c r="G178" s="51">
        <f>G250</f>
        <v>0</v>
      </c>
      <c r="H178" s="51">
        <f t="shared" ref="H178:K178" si="93">H250</f>
        <v>0</v>
      </c>
      <c r="I178" s="51">
        <f t="shared" si="93"/>
        <v>0</v>
      </c>
      <c r="J178" s="51">
        <f t="shared" si="93"/>
        <v>0</v>
      </c>
      <c r="K178" s="51">
        <f t="shared" si="93"/>
        <v>0</v>
      </c>
      <c r="M178" s="227"/>
    </row>
    <row r="179" spans="2:13">
      <c r="B179" s="8" t="s">
        <v>139</v>
      </c>
      <c r="G179" s="49">
        <f ca="1">G174+G175-G176-G177+G178</f>
        <v>214.48214736817997</v>
      </c>
      <c r="H179" s="49">
        <f t="shared" ref="H179:K179" ca="1" si="94">H174+H175-H176-H177+H178</f>
        <v>214.41665608182277</v>
      </c>
      <c r="I179" s="49">
        <f t="shared" ca="1" si="94"/>
        <v>265.58744787830892</v>
      </c>
      <c r="J179" s="49">
        <f t="shared" ca="1" si="94"/>
        <v>323.75631248029617</v>
      </c>
      <c r="K179" s="49">
        <f t="shared" ca="1" si="94"/>
        <v>385.42756355811309</v>
      </c>
      <c r="M179" s="9"/>
    </row>
    <row r="181" spans="2:13">
      <c r="B181" t="s">
        <v>126</v>
      </c>
      <c r="G181" s="48">
        <f t="shared" ref="G181:K181" si="95">G169</f>
        <v>182.80533167533957</v>
      </c>
      <c r="H181" s="48">
        <f t="shared" si="95"/>
        <v>149.2839188739564</v>
      </c>
      <c r="I181" s="48">
        <f t="shared" si="95"/>
        <v>133.80157143602943</v>
      </c>
      <c r="J181" s="48">
        <f t="shared" si="95"/>
        <v>135.64808993780053</v>
      </c>
      <c r="K181" s="48">
        <f t="shared" si="95"/>
        <v>143.74436336864309</v>
      </c>
    </row>
    <row r="182" spans="2:13">
      <c r="B182" t="s">
        <v>140</v>
      </c>
      <c r="G182" s="137">
        <f>G152</f>
        <v>9</v>
      </c>
      <c r="H182" s="137">
        <f t="shared" ref="H182:K182" si="96">H152</f>
        <v>9</v>
      </c>
      <c r="I182" s="137">
        <f t="shared" si="96"/>
        <v>9</v>
      </c>
      <c r="J182" s="137">
        <f t="shared" si="96"/>
        <v>9</v>
      </c>
      <c r="K182" s="137">
        <f t="shared" si="96"/>
        <v>8</v>
      </c>
    </row>
    <row r="183" spans="2:13">
      <c r="B183" s="8" t="s">
        <v>141</v>
      </c>
      <c r="G183" s="49">
        <f>G181+G182</f>
        <v>191.80533167533957</v>
      </c>
      <c r="H183" s="49">
        <f t="shared" ref="H183:K183" si="97">H181+H182</f>
        <v>158.2839188739564</v>
      </c>
      <c r="I183" s="49">
        <f t="shared" si="97"/>
        <v>142.80157143602943</v>
      </c>
      <c r="J183" s="49">
        <f t="shared" si="97"/>
        <v>144.64808993780053</v>
      </c>
      <c r="K183" s="49">
        <f>K181+K182</f>
        <v>151.74436336864309</v>
      </c>
    </row>
    <row r="185" spans="2:13">
      <c r="B185" t="s">
        <v>142</v>
      </c>
      <c r="G185" s="152">
        <f ca="1">G222+G231+G240+G249</f>
        <v>0</v>
      </c>
      <c r="H185" s="152">
        <f t="shared" ref="H185:K185" ca="1" si="98">H222+H231+H240+H249</f>
        <v>0</v>
      </c>
      <c r="I185" s="152">
        <f t="shared" ca="1" si="98"/>
        <v>0</v>
      </c>
      <c r="J185" s="152">
        <f t="shared" ca="1" si="98"/>
        <v>0</v>
      </c>
      <c r="K185" s="152">
        <f t="shared" ca="1" si="98"/>
        <v>0</v>
      </c>
    </row>
    <row r="186" spans="2:13">
      <c r="B186" t="s">
        <v>143</v>
      </c>
      <c r="G186" s="51">
        <f>G259</f>
        <v>0</v>
      </c>
      <c r="H186" s="51">
        <f t="shared" ref="H186:K186" si="99">H259</f>
        <v>0</v>
      </c>
      <c r="I186" s="51">
        <f t="shared" si="99"/>
        <v>0</v>
      </c>
      <c r="J186" s="51">
        <f t="shared" si="99"/>
        <v>0</v>
      </c>
      <c r="K186" s="51">
        <f t="shared" si="99"/>
        <v>0</v>
      </c>
    </row>
    <row r="187" spans="2:13">
      <c r="B187" s="8" t="s">
        <v>144</v>
      </c>
      <c r="G187" s="153">
        <f ca="1">G179-G183-G185-G186</f>
        <v>22.676815692840393</v>
      </c>
      <c r="H187" s="153">
        <f t="shared" ref="H187:K187" ca="1" si="100">H179-H183-H185-H186</f>
        <v>56.13273720786637</v>
      </c>
      <c r="I187" s="153">
        <f t="shared" ca="1" si="100"/>
        <v>122.78587644227949</v>
      </c>
      <c r="J187" s="153">
        <f t="shared" ca="1" si="100"/>
        <v>179.10822254249564</v>
      </c>
      <c r="K187" s="153">
        <f t="shared" ca="1" si="100"/>
        <v>233.68320018947</v>
      </c>
    </row>
    <row r="189" spans="2:13">
      <c r="B189" t="s">
        <v>59</v>
      </c>
      <c r="G189" s="51">
        <f ca="1">G215</f>
        <v>0</v>
      </c>
      <c r="H189" s="51">
        <f t="shared" ref="H189:K189" ca="1" si="101">H215</f>
        <v>0</v>
      </c>
      <c r="I189" s="51">
        <f t="shared" ca="1" si="101"/>
        <v>0</v>
      </c>
      <c r="J189" s="51">
        <f t="shared" ca="1" si="101"/>
        <v>0</v>
      </c>
      <c r="K189" s="51">
        <f t="shared" ca="1" si="101"/>
        <v>0</v>
      </c>
    </row>
    <row r="190" spans="2:13">
      <c r="B190" s="8" t="s">
        <v>145</v>
      </c>
      <c r="G190" s="49">
        <f ca="1">G187+G189</f>
        <v>22.676815692840393</v>
      </c>
      <c r="H190" s="49">
        <f t="shared" ref="H190:K190" ca="1" si="102">H187+H189</f>
        <v>56.13273720786637</v>
      </c>
      <c r="I190" s="49">
        <f t="shared" ca="1" si="102"/>
        <v>122.78587644227949</v>
      </c>
      <c r="J190" s="49">
        <f t="shared" ca="1" si="102"/>
        <v>179.10822254249564</v>
      </c>
      <c r="K190" s="49">
        <f t="shared" ca="1" si="102"/>
        <v>233.68320018947</v>
      </c>
    </row>
    <row r="192" spans="2:13">
      <c r="B192" s="75" t="s">
        <v>146</v>
      </c>
    </row>
    <row r="193" spans="1:11">
      <c r="B193" t="str">
        <f>B42</f>
        <v>Secured Term Loan - USD Tranche</v>
      </c>
      <c r="G193" s="51">
        <f ca="1">G223</f>
        <v>22.676815692840393</v>
      </c>
      <c r="H193" s="51">
        <f t="shared" ref="H193:K193" ca="1" si="103">H223</f>
        <v>56.132737207866313</v>
      </c>
      <c r="I193" s="51">
        <f t="shared" ca="1" si="103"/>
        <v>122.78587644224194</v>
      </c>
      <c r="J193" s="51">
        <f t="shared" ca="1" si="103"/>
        <v>179.10822253043455</v>
      </c>
      <c r="K193" s="51">
        <f t="shared" ca="1" si="103"/>
        <v>233.6831977420469</v>
      </c>
    </row>
    <row r="194" spans="1:11">
      <c r="B194" t="str">
        <f>B43</f>
        <v>Secured Term Loan - EUR Tranche</v>
      </c>
      <c r="G194" s="51">
        <f ca="1">G232</f>
        <v>0</v>
      </c>
      <c r="H194" s="51">
        <f t="shared" ref="H194:K194" ca="1" si="104">H232</f>
        <v>-2.2737367544323206E-13</v>
      </c>
      <c r="I194" s="51">
        <f t="shared" ca="1" si="104"/>
        <v>-1.5486989468627144E-10</v>
      </c>
      <c r="J194" s="51">
        <f t="shared" ca="1" si="104"/>
        <v>-4.803811748388398E-8</v>
      </c>
      <c r="K194" s="51">
        <f t="shared" ca="1" si="104"/>
        <v>-9.4161827064453973E-6</v>
      </c>
    </row>
    <row r="195" spans="1:11">
      <c r="B195" t="s">
        <v>147</v>
      </c>
      <c r="G195" s="51">
        <f ca="1">G241</f>
        <v>0</v>
      </c>
      <c r="H195" s="51">
        <f t="shared" ref="H195:K195" ca="1" si="105">H241</f>
        <v>0</v>
      </c>
      <c r="I195" s="51">
        <f t="shared" ca="1" si="105"/>
        <v>0</v>
      </c>
      <c r="J195" s="51">
        <f t="shared" ca="1" si="105"/>
        <v>0</v>
      </c>
      <c r="K195" s="51">
        <f t="shared" ca="1" si="105"/>
        <v>0</v>
      </c>
    </row>
    <row r="197" spans="1:11">
      <c r="B197" s="170" t="s">
        <v>148</v>
      </c>
      <c r="C197" s="172"/>
      <c r="D197" s="172"/>
      <c r="E197" s="172"/>
      <c r="F197" s="172"/>
      <c r="G197" s="171">
        <f ca="1">G190-G193-G194-G195</f>
        <v>0</v>
      </c>
      <c r="H197" s="171">
        <f t="shared" ref="H197:K197" ca="1" si="106">H190-H193-H194-H195</f>
        <v>2.8421709430404007E-13</v>
      </c>
      <c r="I197" s="171">
        <f t="shared" ca="1" si="106"/>
        <v>1.9241497284383513E-10</v>
      </c>
      <c r="J197" s="171">
        <f t="shared" ca="1" si="106"/>
        <v>6.0099210941189085E-8</v>
      </c>
      <c r="K197" s="177">
        <f t="shared" ca="1" si="106"/>
        <v>1.1863605806183841E-5</v>
      </c>
    </row>
    <row r="199" spans="1:11">
      <c r="A199" s="4" t="s">
        <v>1</v>
      </c>
      <c r="B199" s="110" t="s">
        <v>149</v>
      </c>
      <c r="C199" s="110"/>
      <c r="D199" s="110"/>
      <c r="E199" s="110"/>
      <c r="F199" s="110"/>
      <c r="G199" s="110"/>
      <c r="H199" s="110"/>
      <c r="I199" s="110"/>
      <c r="J199" s="110"/>
      <c r="K199" s="110"/>
    </row>
    <row r="200" spans="1:11" ht="5.0999999999999996" customHeight="1"/>
    <row r="201" spans="1:11">
      <c r="B201" s="109" t="s">
        <v>150</v>
      </c>
      <c r="C201" s="109"/>
      <c r="D201" s="111">
        <v>2008</v>
      </c>
      <c r="E201" s="111">
        <f>D201+1</f>
        <v>2009</v>
      </c>
      <c r="F201" s="111">
        <f t="shared" ref="F201:K201" si="107">E201+1</f>
        <v>2010</v>
      </c>
      <c r="G201" s="112">
        <f t="shared" si="107"/>
        <v>2011</v>
      </c>
      <c r="H201" s="112">
        <f t="shared" si="107"/>
        <v>2012</v>
      </c>
      <c r="I201" s="112">
        <f t="shared" si="107"/>
        <v>2013</v>
      </c>
      <c r="J201" s="112">
        <f t="shared" si="107"/>
        <v>2014</v>
      </c>
      <c r="K201" s="112">
        <f t="shared" si="107"/>
        <v>2015</v>
      </c>
    </row>
    <row r="202" spans="1:11">
      <c r="B202" s="75" t="s">
        <v>46</v>
      </c>
    </row>
    <row r="203" spans="1:11">
      <c r="B203" s="9" t="s">
        <v>125</v>
      </c>
      <c r="G203" s="99">
        <f>E23</f>
        <v>118.19999999999999</v>
      </c>
      <c r="H203" s="51">
        <f t="shared" ref="H203:K203" ca="1" si="108">G205</f>
        <v>118.19999999999999</v>
      </c>
      <c r="I203" s="51">
        <f t="shared" ca="1" si="108"/>
        <v>118.19999999999914</v>
      </c>
      <c r="J203" s="51">
        <f t="shared" ca="1" si="108"/>
        <v>118.19999999950534</v>
      </c>
      <c r="K203" s="51">
        <f t="shared" ca="1" si="108"/>
        <v>118.19999985204853</v>
      </c>
    </row>
    <row r="204" spans="1:11">
      <c r="B204" s="9" t="s">
        <v>151</v>
      </c>
      <c r="G204" s="51">
        <f ca="1">G197</f>
        <v>0</v>
      </c>
      <c r="H204" s="51">
        <f t="shared" ref="H204:K204" ca="1" si="109">H197</f>
        <v>2.8421709430404007E-13</v>
      </c>
      <c r="I204" s="51">
        <f t="shared" ca="1" si="109"/>
        <v>1.9241497284383513E-10</v>
      </c>
      <c r="J204" s="51">
        <f t="shared" ca="1" si="109"/>
        <v>6.0099210941189085E-8</v>
      </c>
      <c r="K204" s="51">
        <f t="shared" ca="1" si="109"/>
        <v>1.1863605806183841E-5</v>
      </c>
    </row>
    <row r="205" spans="1:11">
      <c r="B205" s="92" t="s">
        <v>128</v>
      </c>
      <c r="F205" s="85">
        <f>E22</f>
        <v>187.6</v>
      </c>
      <c r="G205" s="49">
        <f ca="1">G203+G204</f>
        <v>118.19999999999999</v>
      </c>
      <c r="H205" s="49">
        <f t="shared" ref="H205:K205" ca="1" si="110">H203+H204</f>
        <v>118.20000000000027</v>
      </c>
      <c r="I205" s="49">
        <f t="shared" ca="1" si="110"/>
        <v>118.20000000019155</v>
      </c>
      <c r="J205" s="49">
        <f t="shared" ca="1" si="110"/>
        <v>118.20000005960455</v>
      </c>
      <c r="K205" s="49">
        <f t="shared" ca="1" si="110"/>
        <v>118.20001171565434</v>
      </c>
    </row>
    <row r="207" spans="1:11">
      <c r="B207" s="75" t="s">
        <v>59</v>
      </c>
    </row>
    <row r="208" spans="1:11">
      <c r="B208" s="9" t="s">
        <v>152</v>
      </c>
      <c r="G208" s="51">
        <f>G203</f>
        <v>118.19999999999999</v>
      </c>
      <c r="H208" s="51">
        <f t="shared" ref="H208:K208" ca="1" si="111">H203</f>
        <v>118.19999999999999</v>
      </c>
      <c r="I208" s="51">
        <f t="shared" ca="1" si="111"/>
        <v>118.19999999999914</v>
      </c>
      <c r="J208" s="51">
        <f t="shared" ca="1" si="111"/>
        <v>118.19999999950534</v>
      </c>
      <c r="K208" s="51">
        <f t="shared" ca="1" si="111"/>
        <v>118.19999985204853</v>
      </c>
    </row>
    <row r="209" spans="2:11">
      <c r="B209" s="9" t="s">
        <v>153</v>
      </c>
      <c r="G209" s="51">
        <f>$E$23</f>
        <v>118.19999999999999</v>
      </c>
      <c r="H209" s="51">
        <f t="shared" ref="H209:K209" si="112">$E$23</f>
        <v>118.19999999999999</v>
      </c>
      <c r="I209" s="51">
        <f t="shared" si="112"/>
        <v>118.19999999999999</v>
      </c>
      <c r="J209" s="51">
        <f t="shared" si="112"/>
        <v>118.19999999999999</v>
      </c>
      <c r="K209" s="51">
        <f t="shared" si="112"/>
        <v>118.19999999999999</v>
      </c>
    </row>
    <row r="210" spans="2:11">
      <c r="B210" t="s">
        <v>154</v>
      </c>
      <c r="G210" s="22">
        <f>G208-G209</f>
        <v>0</v>
      </c>
      <c r="H210" s="22">
        <f t="shared" ref="H210:K210" ca="1" si="113">H208-H209</f>
        <v>0</v>
      </c>
      <c r="I210" s="22">
        <f t="shared" ca="1" si="113"/>
        <v>-8.5265128291212022E-13</v>
      </c>
      <c r="J210" s="22">
        <f t="shared" ca="1" si="113"/>
        <v>-4.9465143092675135E-10</v>
      </c>
      <c r="K210" s="22">
        <f t="shared" ca="1" si="113"/>
        <v>-1.4795145375501306E-7</v>
      </c>
    </row>
    <row r="211" spans="2:11">
      <c r="B211" t="s">
        <v>155</v>
      </c>
      <c r="G211" s="154">
        <f ca="1">G187</f>
        <v>22.676815692840393</v>
      </c>
      <c r="H211" s="154">
        <f t="shared" ref="H211:K211" ca="1" si="114">H187</f>
        <v>56.13273720786637</v>
      </c>
      <c r="I211" s="154">
        <f t="shared" ca="1" si="114"/>
        <v>122.78587644227949</v>
      </c>
      <c r="J211" s="154">
        <f t="shared" ca="1" si="114"/>
        <v>179.10822254249564</v>
      </c>
      <c r="K211" s="154">
        <f ca="1">K187</f>
        <v>233.68320018947</v>
      </c>
    </row>
    <row r="212" spans="2:11">
      <c r="B212" s="92" t="s">
        <v>156</v>
      </c>
      <c r="G212" s="49">
        <f ca="1">G210+G211</f>
        <v>22.676815692840393</v>
      </c>
      <c r="H212" s="49">
        <f t="shared" ref="H212:K212" ca="1" si="115">H210+H211</f>
        <v>56.13273720786637</v>
      </c>
      <c r="I212" s="49">
        <f t="shared" ca="1" si="115"/>
        <v>122.78587644227864</v>
      </c>
      <c r="J212" s="49">
        <f t="shared" ca="1" si="115"/>
        <v>179.10822254200099</v>
      </c>
      <c r="K212" s="49">
        <f ca="1">K210+K211</f>
        <v>233.68320004151855</v>
      </c>
    </row>
    <row r="214" spans="2:11">
      <c r="B214" s="9" t="s">
        <v>125</v>
      </c>
      <c r="G214" s="51">
        <f>F216</f>
        <v>0</v>
      </c>
      <c r="H214" s="51">
        <f t="shared" ref="H214:K214" ca="1" si="116">G216</f>
        <v>0</v>
      </c>
      <c r="I214" s="51">
        <f ca="1">H216</f>
        <v>0</v>
      </c>
      <c r="J214" s="51">
        <f t="shared" ca="1" si="116"/>
        <v>0</v>
      </c>
      <c r="K214" s="51">
        <f t="shared" ca="1" si="116"/>
        <v>0</v>
      </c>
    </row>
    <row r="215" spans="2:11">
      <c r="B215" s="9" t="s">
        <v>157</v>
      </c>
      <c r="G215" s="22">
        <f ca="1">-MIN(G212,G214)</f>
        <v>0</v>
      </c>
      <c r="H215" s="22">
        <f t="shared" ref="H215:K215" ca="1" si="117">-MIN(H212,H214)</f>
        <v>0</v>
      </c>
      <c r="I215" s="22">
        <f t="shared" ca="1" si="117"/>
        <v>0</v>
      </c>
      <c r="J215" s="22">
        <f t="shared" ca="1" si="117"/>
        <v>0</v>
      </c>
      <c r="K215" s="22">
        <f t="shared" ca="1" si="117"/>
        <v>0</v>
      </c>
    </row>
    <row r="216" spans="2:11">
      <c r="B216" s="92" t="s">
        <v>128</v>
      </c>
      <c r="F216" s="85">
        <f>E28</f>
        <v>0</v>
      </c>
      <c r="G216" s="49">
        <f ca="1">G214+G215</f>
        <v>0</v>
      </c>
      <c r="H216" s="49">
        <f ca="1">H214+H215</f>
        <v>0</v>
      </c>
      <c r="I216" s="49">
        <f t="shared" ref="I216:L216" ca="1" si="118">I214+I215</f>
        <v>0</v>
      </c>
      <c r="J216" s="49">
        <f t="shared" ca="1" si="118"/>
        <v>0</v>
      </c>
      <c r="K216" s="49">
        <f t="shared" ca="1" si="118"/>
        <v>0</v>
      </c>
    </row>
    <row r="217" spans="2:11">
      <c r="B217" t="s">
        <v>158</v>
      </c>
      <c r="G217" s="155">
        <v>150</v>
      </c>
      <c r="H217" s="150">
        <f>G217</f>
        <v>150</v>
      </c>
      <c r="I217" s="150">
        <f t="shared" ref="I217:K217" si="119">H217</f>
        <v>150</v>
      </c>
      <c r="J217" s="150">
        <f t="shared" si="119"/>
        <v>150</v>
      </c>
      <c r="K217" s="150">
        <f t="shared" si="119"/>
        <v>150</v>
      </c>
    </row>
    <row r="218" spans="2:11">
      <c r="B218" s="157" t="s">
        <v>159</v>
      </c>
      <c r="C218" s="157"/>
      <c r="D218" s="157"/>
      <c r="E218" s="157"/>
      <c r="F218" s="157"/>
      <c r="G218" s="158" t="str">
        <f ca="1">IF(G216&gt;G217,"OVER DRAWN","OK")</f>
        <v>OK</v>
      </c>
      <c r="H218" s="158" t="str">
        <f t="shared" ref="H218:K218" ca="1" si="120">IF(H216&gt;H217,"OVER DRAWN","OK")</f>
        <v>OK</v>
      </c>
      <c r="I218" s="158" t="str">
        <f t="shared" ca="1" si="120"/>
        <v>OK</v>
      </c>
      <c r="J218" s="158" t="str">
        <f t="shared" ca="1" si="120"/>
        <v>OK</v>
      </c>
      <c r="K218" s="158" t="str">
        <f t="shared" ca="1" si="120"/>
        <v>OK</v>
      </c>
    </row>
    <row r="220" spans="2:11">
      <c r="B220" s="75" t="str">
        <f>B42</f>
        <v>Secured Term Loan - USD Tranche</v>
      </c>
    </row>
    <row r="221" spans="2:11">
      <c r="B221" s="9" t="s">
        <v>125</v>
      </c>
      <c r="G221" s="51">
        <f>F224</f>
        <v>1510</v>
      </c>
      <c r="H221" s="51">
        <f t="shared" ref="H221:K221" ca="1" si="121">G224</f>
        <v>1487.3231843071596</v>
      </c>
      <c r="I221" s="51">
        <f t="shared" ca="1" si="121"/>
        <v>1431.1904470992934</v>
      </c>
      <c r="J221" s="51">
        <f t="shared" ca="1" si="121"/>
        <v>1308.4045706570512</v>
      </c>
      <c r="K221" s="51">
        <f t="shared" ca="1" si="121"/>
        <v>1129.2963481264624</v>
      </c>
    </row>
    <row r="222" spans="2:11">
      <c r="B222" s="9" t="s">
        <v>160</v>
      </c>
      <c r="G222" s="152">
        <f ca="1">MIN(G221*G226,G221,G211+G215)</f>
        <v>0</v>
      </c>
      <c r="H222" s="152">
        <f t="shared" ref="H222:K222" ca="1" si="122">MIN(H221*H226,H221,H211+H215)</f>
        <v>0</v>
      </c>
      <c r="I222" s="152">
        <f t="shared" ca="1" si="122"/>
        <v>0</v>
      </c>
      <c r="J222" s="152">
        <f t="shared" ca="1" si="122"/>
        <v>0</v>
      </c>
      <c r="K222" s="152">
        <f t="shared" ca="1" si="122"/>
        <v>0</v>
      </c>
    </row>
    <row r="223" spans="2:11">
      <c r="B223" s="9" t="s">
        <v>161</v>
      </c>
      <c r="G223" s="22">
        <f ca="1">MIN(G227,G221-G222)</f>
        <v>22.676815692840393</v>
      </c>
      <c r="H223" s="22">
        <f t="shared" ref="H223:K223" ca="1" si="123">MIN(H227,H221-H222)</f>
        <v>56.13273720786637</v>
      </c>
      <c r="I223" s="22">
        <f t="shared" ca="1" si="123"/>
        <v>122.7858764423016</v>
      </c>
      <c r="J223" s="22">
        <f t="shared" ca="1" si="123"/>
        <v>179.10822254973442</v>
      </c>
      <c r="K223" s="22">
        <f t="shared" ca="1" si="123"/>
        <v>233.68320168765956</v>
      </c>
    </row>
    <row r="224" spans="2:11">
      <c r="B224" s="92" t="s">
        <v>128</v>
      </c>
      <c r="F224" s="85">
        <f>E29</f>
        <v>1510</v>
      </c>
      <c r="G224" s="49">
        <f ca="1">G221-G222-G223</f>
        <v>1487.3231843071596</v>
      </c>
      <c r="H224" s="49">
        <f t="shared" ref="H224:K224" ca="1" si="124">H221-H222-H223</f>
        <v>1431.1904470992934</v>
      </c>
      <c r="I224" s="49">
        <f t="shared" ca="1" si="124"/>
        <v>1308.4045706569918</v>
      </c>
      <c r="J224" s="49">
        <f t="shared" ca="1" si="124"/>
        <v>1129.2963481073168</v>
      </c>
      <c r="K224" s="49">
        <f t="shared" ca="1" si="124"/>
        <v>895.6131464388028</v>
      </c>
    </row>
    <row r="225" spans="1:16383">
      <c r="B225" s="8"/>
    </row>
    <row r="226" spans="1:16383" s="9" customFormat="1">
      <c r="A226" s="4"/>
      <c r="B226" s="135" t="s">
        <v>162</v>
      </c>
      <c r="C226" s="4"/>
      <c r="E226" s="4"/>
      <c r="G226" s="159">
        <v>0</v>
      </c>
      <c r="H226" s="159">
        <v>0</v>
      </c>
      <c r="I226" s="159">
        <v>0</v>
      </c>
      <c r="J226" s="159">
        <v>0</v>
      </c>
      <c r="K226" s="159">
        <v>0</v>
      </c>
      <c r="O226" s="4"/>
      <c r="Q226" s="4"/>
      <c r="S226" s="4"/>
      <c r="U226" s="4"/>
      <c r="W226" s="4"/>
      <c r="Y226" s="4"/>
      <c r="AA226" s="4"/>
      <c r="AC226" s="4"/>
      <c r="AE226" s="4"/>
      <c r="AG226" s="4"/>
      <c r="AI226" s="4"/>
      <c r="AK226" s="4"/>
      <c r="AM226" s="4"/>
      <c r="AO226" s="4"/>
      <c r="AQ226" s="4"/>
      <c r="AS226" s="4"/>
      <c r="AU226" s="4"/>
      <c r="AW226" s="4"/>
      <c r="AY226" s="4"/>
      <c r="BA226" s="4"/>
      <c r="BC226" s="4"/>
      <c r="BE226" s="4"/>
      <c r="BG226" s="4"/>
      <c r="BI226" s="4"/>
      <c r="BK226" s="4"/>
      <c r="BM226" s="4"/>
      <c r="BO226" s="4"/>
      <c r="BQ226" s="4"/>
      <c r="BS226" s="4"/>
      <c r="BU226" s="4"/>
      <c r="BW226" s="4"/>
      <c r="BY226" s="4"/>
      <c r="CA226" s="4"/>
      <c r="CC226" s="4"/>
      <c r="CE226" s="4"/>
      <c r="CG226" s="4"/>
      <c r="CI226" s="4"/>
      <c r="CK226" s="4"/>
      <c r="CM226" s="4"/>
      <c r="CO226" s="4"/>
      <c r="CQ226" s="4"/>
      <c r="CS226" s="4"/>
      <c r="CU226" s="4"/>
      <c r="CW226" s="4"/>
      <c r="CY226" s="4"/>
      <c r="DA226" s="4"/>
      <c r="DC226" s="4"/>
      <c r="DE226" s="4"/>
      <c r="DG226" s="4"/>
      <c r="DI226" s="4"/>
      <c r="DK226" s="4"/>
      <c r="DM226" s="4"/>
      <c r="DO226" s="4"/>
      <c r="DQ226" s="4"/>
      <c r="DS226" s="4"/>
      <c r="DU226" s="4"/>
      <c r="DW226" s="4"/>
      <c r="DY226" s="4"/>
      <c r="EA226" s="4"/>
      <c r="EC226" s="4"/>
      <c r="EE226" s="4"/>
      <c r="EG226" s="4"/>
      <c r="EI226" s="4"/>
      <c r="EK226" s="4"/>
      <c r="EM226" s="4"/>
      <c r="EO226" s="4"/>
      <c r="EQ226" s="4"/>
      <c r="ES226" s="4"/>
      <c r="EU226" s="4"/>
      <c r="EW226" s="4"/>
      <c r="EY226" s="4"/>
      <c r="FA226" s="4"/>
      <c r="FC226" s="4"/>
      <c r="FE226" s="4"/>
      <c r="FG226" s="4"/>
      <c r="FI226" s="4"/>
      <c r="FK226" s="4"/>
      <c r="FM226" s="4"/>
      <c r="FO226" s="4"/>
      <c r="FQ226" s="4"/>
      <c r="FS226" s="4"/>
      <c r="FU226" s="4"/>
      <c r="FW226" s="4"/>
      <c r="FY226" s="4"/>
      <c r="GA226" s="4"/>
      <c r="GC226" s="4"/>
      <c r="GE226" s="4"/>
      <c r="GG226" s="4"/>
      <c r="GI226" s="4"/>
      <c r="GK226" s="4"/>
      <c r="GM226" s="4"/>
      <c r="GO226" s="4"/>
      <c r="GQ226" s="4"/>
      <c r="GS226" s="4"/>
      <c r="GU226" s="4"/>
      <c r="GW226" s="4"/>
      <c r="GY226" s="4"/>
      <c r="HA226" s="4"/>
      <c r="HC226" s="4"/>
      <c r="HE226" s="4"/>
      <c r="HG226" s="4"/>
      <c r="HI226" s="4"/>
      <c r="HK226" s="4"/>
      <c r="HM226" s="4"/>
      <c r="HO226" s="4"/>
      <c r="HQ226" s="4"/>
      <c r="HS226" s="4"/>
      <c r="HU226" s="4"/>
      <c r="HW226" s="4"/>
      <c r="HY226" s="4"/>
      <c r="IA226" s="4"/>
      <c r="IC226" s="4"/>
      <c r="IE226" s="4"/>
      <c r="IG226" s="4"/>
      <c r="II226" s="4"/>
      <c r="IK226" s="4"/>
      <c r="IM226" s="4"/>
      <c r="IO226" s="4"/>
      <c r="IQ226" s="4"/>
      <c r="IS226" s="4"/>
      <c r="IU226" s="4"/>
      <c r="IW226" s="4"/>
      <c r="IY226" s="4"/>
      <c r="JA226" s="4"/>
      <c r="JC226" s="4"/>
      <c r="JE226" s="4"/>
      <c r="JG226" s="4"/>
      <c r="JI226" s="4"/>
      <c r="JK226" s="4"/>
      <c r="JM226" s="4"/>
      <c r="JO226" s="4"/>
      <c r="JQ226" s="4"/>
      <c r="JS226" s="4"/>
      <c r="JU226" s="4"/>
      <c r="JW226" s="4"/>
      <c r="JY226" s="4"/>
      <c r="KA226" s="4"/>
      <c r="KC226" s="4"/>
      <c r="KE226" s="4"/>
      <c r="KG226" s="4"/>
      <c r="KI226" s="4"/>
      <c r="KK226" s="4"/>
      <c r="KM226" s="4"/>
      <c r="KO226" s="4"/>
      <c r="KQ226" s="4"/>
      <c r="KS226" s="4"/>
      <c r="KU226" s="4"/>
      <c r="KW226" s="4"/>
      <c r="KY226" s="4"/>
      <c r="LA226" s="4"/>
      <c r="LC226" s="4"/>
      <c r="LE226" s="4"/>
      <c r="LG226" s="4"/>
      <c r="LI226" s="4"/>
      <c r="LK226" s="4"/>
      <c r="LM226" s="4"/>
      <c r="LO226" s="4"/>
      <c r="LQ226" s="4"/>
      <c r="LS226" s="4"/>
      <c r="LU226" s="4"/>
      <c r="LW226" s="4"/>
      <c r="LY226" s="4"/>
      <c r="MA226" s="4"/>
      <c r="MC226" s="4"/>
      <c r="ME226" s="4"/>
      <c r="MG226" s="4"/>
      <c r="MI226" s="4"/>
      <c r="MK226" s="4"/>
      <c r="MM226" s="4"/>
      <c r="MO226" s="4"/>
      <c r="MQ226" s="4"/>
      <c r="MS226" s="4"/>
      <c r="MU226" s="4"/>
      <c r="MW226" s="4"/>
      <c r="MY226" s="4"/>
      <c r="NA226" s="4"/>
      <c r="NC226" s="4"/>
      <c r="NE226" s="4"/>
      <c r="NG226" s="4"/>
      <c r="NI226" s="4"/>
      <c r="NK226" s="4"/>
      <c r="NM226" s="4"/>
      <c r="NO226" s="4"/>
      <c r="NQ226" s="4"/>
      <c r="NS226" s="4"/>
      <c r="NU226" s="4"/>
      <c r="NW226" s="4"/>
      <c r="NY226" s="4"/>
      <c r="OA226" s="4"/>
      <c r="OC226" s="4"/>
      <c r="OE226" s="4"/>
      <c r="OG226" s="4"/>
      <c r="OI226" s="4"/>
      <c r="OK226" s="4"/>
      <c r="OM226" s="4"/>
      <c r="OO226" s="4"/>
      <c r="OQ226" s="4"/>
      <c r="OS226" s="4"/>
      <c r="OU226" s="4"/>
      <c r="OW226" s="4"/>
      <c r="OY226" s="4"/>
      <c r="PA226" s="4"/>
      <c r="PC226" s="4"/>
      <c r="PE226" s="4"/>
      <c r="PG226" s="4"/>
      <c r="PI226" s="4"/>
      <c r="PK226" s="4"/>
      <c r="PM226" s="4"/>
      <c r="PO226" s="4"/>
      <c r="PQ226" s="4"/>
      <c r="PS226" s="4"/>
      <c r="PU226" s="4"/>
      <c r="PW226" s="4"/>
      <c r="PY226" s="4"/>
      <c r="QA226" s="4"/>
      <c r="QC226" s="4"/>
      <c r="QE226" s="4"/>
      <c r="QG226" s="4"/>
      <c r="QI226" s="4"/>
      <c r="QK226" s="4"/>
      <c r="QM226" s="4"/>
      <c r="QO226" s="4"/>
      <c r="QQ226" s="4"/>
      <c r="QS226" s="4"/>
      <c r="QU226" s="4"/>
      <c r="QW226" s="4"/>
      <c r="QY226" s="4"/>
      <c r="RA226" s="4"/>
      <c r="RC226" s="4"/>
      <c r="RE226" s="4"/>
      <c r="RG226" s="4"/>
      <c r="RI226" s="4"/>
      <c r="RK226" s="4"/>
      <c r="RM226" s="4"/>
      <c r="RO226" s="4"/>
      <c r="RQ226" s="4"/>
      <c r="RS226" s="4"/>
      <c r="RU226" s="4"/>
      <c r="RW226" s="4"/>
      <c r="RY226" s="4"/>
      <c r="SA226" s="4"/>
      <c r="SC226" s="4"/>
      <c r="SE226" s="4"/>
      <c r="SG226" s="4"/>
      <c r="SI226" s="4"/>
      <c r="SK226" s="4"/>
      <c r="SM226" s="4"/>
      <c r="SO226" s="4"/>
      <c r="SQ226" s="4"/>
      <c r="SS226" s="4"/>
      <c r="SU226" s="4"/>
      <c r="SW226" s="4"/>
      <c r="SY226" s="4"/>
      <c r="TA226" s="4"/>
      <c r="TC226" s="4"/>
      <c r="TE226" s="4"/>
      <c r="TG226" s="4"/>
      <c r="TI226" s="4"/>
      <c r="TK226" s="4"/>
      <c r="TM226" s="4"/>
      <c r="TO226" s="4"/>
      <c r="TQ226" s="4"/>
      <c r="TS226" s="4"/>
      <c r="TU226" s="4"/>
      <c r="TW226" s="4"/>
      <c r="TY226" s="4"/>
      <c r="UA226" s="4"/>
      <c r="UC226" s="4"/>
      <c r="UE226" s="4"/>
      <c r="UG226" s="4"/>
      <c r="UI226" s="4"/>
      <c r="UK226" s="4"/>
      <c r="UM226" s="4"/>
      <c r="UO226" s="4"/>
      <c r="UQ226" s="4"/>
      <c r="US226" s="4"/>
      <c r="UU226" s="4"/>
      <c r="UW226" s="4"/>
      <c r="UY226" s="4"/>
      <c r="VA226" s="4"/>
      <c r="VC226" s="4"/>
      <c r="VE226" s="4"/>
      <c r="VG226" s="4"/>
      <c r="VI226" s="4"/>
      <c r="VK226" s="4"/>
      <c r="VM226" s="4"/>
      <c r="VO226" s="4"/>
      <c r="VQ226" s="4"/>
      <c r="VS226" s="4"/>
      <c r="VU226" s="4"/>
      <c r="VW226" s="4"/>
      <c r="VY226" s="4"/>
      <c r="WA226" s="4"/>
      <c r="WC226" s="4"/>
      <c r="WE226" s="4"/>
      <c r="WG226" s="4"/>
      <c r="WI226" s="4"/>
      <c r="WK226" s="4"/>
      <c r="WM226" s="4"/>
      <c r="WO226" s="4"/>
      <c r="WQ226" s="4"/>
      <c r="WS226" s="4"/>
      <c r="WU226" s="4"/>
      <c r="WW226" s="4"/>
      <c r="WY226" s="4"/>
      <c r="XA226" s="4"/>
      <c r="XC226" s="4"/>
      <c r="XE226" s="4"/>
      <c r="XG226" s="4"/>
      <c r="XI226" s="4"/>
      <c r="XK226" s="4"/>
      <c r="XM226" s="4"/>
      <c r="XO226" s="4"/>
      <c r="XQ226" s="4"/>
      <c r="XS226" s="4"/>
      <c r="XU226" s="4"/>
      <c r="XW226" s="4"/>
      <c r="XY226" s="4"/>
      <c r="YA226" s="4"/>
      <c r="YC226" s="4"/>
      <c r="YE226" s="4"/>
      <c r="YG226" s="4"/>
      <c r="YI226" s="4"/>
      <c r="YK226" s="4"/>
      <c r="YM226" s="4"/>
      <c r="YO226" s="4"/>
      <c r="YQ226" s="4"/>
      <c r="YS226" s="4"/>
      <c r="YU226" s="4"/>
      <c r="YW226" s="4"/>
      <c r="YY226" s="4"/>
      <c r="ZA226" s="4"/>
      <c r="ZC226" s="4"/>
      <c r="ZE226" s="4"/>
      <c r="ZG226" s="4"/>
      <c r="ZI226" s="4"/>
      <c r="ZK226" s="4"/>
      <c r="ZM226" s="4"/>
      <c r="ZO226" s="4"/>
      <c r="ZQ226" s="4"/>
      <c r="ZS226" s="4"/>
      <c r="ZU226" s="4"/>
      <c r="ZW226" s="4"/>
      <c r="ZY226" s="4"/>
      <c r="AAA226" s="4"/>
      <c r="AAC226" s="4"/>
      <c r="AAE226" s="4"/>
      <c r="AAG226" s="4"/>
      <c r="AAI226" s="4"/>
      <c r="AAK226" s="4"/>
      <c r="AAM226" s="4"/>
      <c r="AAO226" s="4"/>
      <c r="AAQ226" s="4"/>
      <c r="AAS226" s="4"/>
      <c r="AAU226" s="4"/>
      <c r="AAW226" s="4"/>
      <c r="AAY226" s="4"/>
      <c r="ABA226" s="4"/>
      <c r="ABC226" s="4"/>
      <c r="ABE226" s="4"/>
      <c r="ABG226" s="4"/>
      <c r="ABI226" s="4"/>
      <c r="ABK226" s="4"/>
      <c r="ABM226" s="4"/>
      <c r="ABO226" s="4"/>
      <c r="ABQ226" s="4"/>
      <c r="ABS226" s="4"/>
      <c r="ABU226" s="4"/>
      <c r="ABW226" s="4"/>
      <c r="ABY226" s="4"/>
      <c r="ACA226" s="4"/>
      <c r="ACC226" s="4"/>
      <c r="ACE226" s="4"/>
      <c r="ACG226" s="4"/>
      <c r="ACI226" s="4"/>
      <c r="ACK226" s="4"/>
      <c r="ACM226" s="4"/>
      <c r="ACO226" s="4"/>
      <c r="ACQ226" s="4"/>
      <c r="ACS226" s="4"/>
      <c r="ACU226" s="4"/>
      <c r="ACW226" s="4"/>
      <c r="ACY226" s="4"/>
      <c r="ADA226" s="4"/>
      <c r="ADC226" s="4"/>
      <c r="ADE226" s="4"/>
      <c r="ADG226" s="4"/>
      <c r="ADI226" s="4"/>
      <c r="ADK226" s="4"/>
      <c r="ADM226" s="4"/>
      <c r="ADO226" s="4"/>
      <c r="ADQ226" s="4"/>
      <c r="ADS226" s="4"/>
      <c r="ADU226" s="4"/>
      <c r="ADW226" s="4"/>
      <c r="ADY226" s="4"/>
      <c r="AEA226" s="4"/>
      <c r="AEC226" s="4"/>
      <c r="AEE226" s="4"/>
      <c r="AEG226" s="4"/>
      <c r="AEI226" s="4"/>
      <c r="AEK226" s="4"/>
      <c r="AEM226" s="4"/>
      <c r="AEO226" s="4"/>
      <c r="AEQ226" s="4"/>
      <c r="AES226" s="4"/>
      <c r="AEU226" s="4"/>
      <c r="AEW226" s="4"/>
      <c r="AEY226" s="4"/>
      <c r="AFA226" s="4"/>
      <c r="AFC226" s="4"/>
      <c r="AFE226" s="4"/>
      <c r="AFG226" s="4"/>
      <c r="AFI226" s="4"/>
      <c r="AFK226" s="4"/>
      <c r="AFM226" s="4"/>
      <c r="AFO226" s="4"/>
      <c r="AFQ226" s="4"/>
      <c r="AFS226" s="4"/>
      <c r="AFU226" s="4"/>
      <c r="AFW226" s="4"/>
      <c r="AFY226" s="4"/>
      <c r="AGA226" s="4"/>
      <c r="AGC226" s="4"/>
      <c r="AGE226" s="4"/>
      <c r="AGG226" s="4"/>
      <c r="AGI226" s="4"/>
      <c r="AGK226" s="4"/>
      <c r="AGM226" s="4"/>
      <c r="AGO226" s="4"/>
      <c r="AGQ226" s="4"/>
      <c r="AGS226" s="4"/>
      <c r="AGU226" s="4"/>
      <c r="AGW226" s="4"/>
      <c r="AGY226" s="4"/>
      <c r="AHA226" s="4"/>
      <c r="AHC226" s="4"/>
      <c r="AHE226" s="4"/>
      <c r="AHG226" s="4"/>
      <c r="AHI226" s="4"/>
      <c r="AHK226" s="4"/>
      <c r="AHM226" s="4"/>
      <c r="AHO226" s="4"/>
      <c r="AHQ226" s="4"/>
      <c r="AHS226" s="4"/>
      <c r="AHU226" s="4"/>
      <c r="AHW226" s="4"/>
      <c r="AHY226" s="4"/>
      <c r="AIA226" s="4"/>
      <c r="AIC226" s="4"/>
      <c r="AIE226" s="4"/>
      <c r="AIG226" s="4"/>
      <c r="AII226" s="4"/>
      <c r="AIK226" s="4"/>
      <c r="AIM226" s="4"/>
      <c r="AIO226" s="4"/>
      <c r="AIQ226" s="4"/>
      <c r="AIS226" s="4"/>
      <c r="AIU226" s="4"/>
      <c r="AIW226" s="4"/>
      <c r="AIY226" s="4"/>
      <c r="AJA226" s="4"/>
      <c r="AJC226" s="4"/>
      <c r="AJE226" s="4"/>
      <c r="AJG226" s="4"/>
      <c r="AJI226" s="4"/>
      <c r="AJK226" s="4"/>
      <c r="AJM226" s="4"/>
      <c r="AJO226" s="4"/>
      <c r="AJQ226" s="4"/>
      <c r="AJS226" s="4"/>
      <c r="AJU226" s="4"/>
      <c r="AJW226" s="4"/>
      <c r="AJY226" s="4"/>
      <c r="AKA226" s="4"/>
      <c r="AKC226" s="4"/>
      <c r="AKE226" s="4"/>
      <c r="AKG226" s="4"/>
      <c r="AKI226" s="4"/>
      <c r="AKK226" s="4"/>
      <c r="AKM226" s="4"/>
      <c r="AKO226" s="4"/>
      <c r="AKQ226" s="4"/>
      <c r="AKS226" s="4"/>
      <c r="AKU226" s="4"/>
      <c r="AKW226" s="4"/>
      <c r="AKY226" s="4"/>
      <c r="ALA226" s="4"/>
      <c r="ALC226" s="4"/>
      <c r="ALE226" s="4"/>
      <c r="ALG226" s="4"/>
      <c r="ALI226" s="4"/>
      <c r="ALK226" s="4"/>
      <c r="ALM226" s="4"/>
      <c r="ALO226" s="4"/>
      <c r="ALQ226" s="4"/>
      <c r="ALS226" s="4"/>
      <c r="ALU226" s="4"/>
      <c r="ALW226" s="4"/>
      <c r="ALY226" s="4"/>
      <c r="AMA226" s="4"/>
      <c r="AMC226" s="4"/>
      <c r="AME226" s="4"/>
      <c r="AMG226" s="4"/>
      <c r="AMI226" s="4"/>
      <c r="AMK226" s="4"/>
      <c r="AMM226" s="4"/>
      <c r="AMO226" s="4"/>
      <c r="AMQ226" s="4"/>
      <c r="AMS226" s="4"/>
      <c r="AMU226" s="4"/>
      <c r="AMW226" s="4"/>
      <c r="AMY226" s="4"/>
      <c r="ANA226" s="4"/>
      <c r="ANC226" s="4"/>
      <c r="ANE226" s="4"/>
      <c r="ANG226" s="4"/>
      <c r="ANI226" s="4"/>
      <c r="ANK226" s="4"/>
      <c r="ANM226" s="4"/>
      <c r="ANO226" s="4"/>
      <c r="ANQ226" s="4"/>
      <c r="ANS226" s="4"/>
      <c r="ANU226" s="4"/>
      <c r="ANW226" s="4"/>
      <c r="ANY226" s="4"/>
      <c r="AOA226" s="4"/>
      <c r="AOC226" s="4"/>
      <c r="AOE226" s="4"/>
      <c r="AOG226" s="4"/>
      <c r="AOI226" s="4"/>
      <c r="AOK226" s="4"/>
      <c r="AOM226" s="4"/>
      <c r="AOO226" s="4"/>
      <c r="AOQ226" s="4"/>
      <c r="AOS226" s="4"/>
      <c r="AOU226" s="4"/>
      <c r="AOW226" s="4"/>
      <c r="AOY226" s="4"/>
      <c r="APA226" s="4"/>
      <c r="APC226" s="4"/>
      <c r="APE226" s="4"/>
      <c r="APG226" s="4"/>
      <c r="API226" s="4"/>
      <c r="APK226" s="4"/>
      <c r="APM226" s="4"/>
      <c r="APO226" s="4"/>
      <c r="APQ226" s="4"/>
      <c r="APS226" s="4"/>
      <c r="APU226" s="4"/>
      <c r="APW226" s="4"/>
      <c r="APY226" s="4"/>
      <c r="AQA226" s="4"/>
      <c r="AQC226" s="4"/>
      <c r="AQE226" s="4"/>
      <c r="AQG226" s="4"/>
      <c r="AQI226" s="4"/>
      <c r="AQK226" s="4"/>
      <c r="AQM226" s="4"/>
      <c r="AQO226" s="4"/>
      <c r="AQQ226" s="4"/>
      <c r="AQS226" s="4"/>
      <c r="AQU226" s="4"/>
      <c r="AQW226" s="4"/>
      <c r="AQY226" s="4"/>
      <c r="ARA226" s="4"/>
      <c r="ARC226" s="4"/>
      <c r="ARE226" s="4"/>
      <c r="ARG226" s="4"/>
      <c r="ARI226" s="4"/>
      <c r="ARK226" s="4"/>
      <c r="ARM226" s="4"/>
      <c r="ARO226" s="4"/>
      <c r="ARQ226" s="4"/>
      <c r="ARS226" s="4"/>
      <c r="ARU226" s="4"/>
      <c r="ARW226" s="4"/>
      <c r="ARY226" s="4"/>
      <c r="ASA226" s="4"/>
      <c r="ASC226" s="4"/>
      <c r="ASE226" s="4"/>
      <c r="ASG226" s="4"/>
      <c r="ASI226" s="4"/>
      <c r="ASK226" s="4"/>
      <c r="ASM226" s="4"/>
      <c r="ASO226" s="4"/>
      <c r="ASQ226" s="4"/>
      <c r="ASS226" s="4"/>
      <c r="ASU226" s="4"/>
      <c r="ASW226" s="4"/>
      <c r="ASY226" s="4"/>
      <c r="ATA226" s="4"/>
      <c r="ATC226" s="4"/>
      <c r="ATE226" s="4"/>
      <c r="ATG226" s="4"/>
      <c r="ATI226" s="4"/>
      <c r="ATK226" s="4"/>
      <c r="ATM226" s="4"/>
      <c r="ATO226" s="4"/>
      <c r="ATQ226" s="4"/>
      <c r="ATS226" s="4"/>
      <c r="ATU226" s="4"/>
      <c r="ATW226" s="4"/>
      <c r="ATY226" s="4"/>
      <c r="AUA226" s="4"/>
      <c r="AUC226" s="4"/>
      <c r="AUE226" s="4"/>
      <c r="AUG226" s="4"/>
      <c r="AUI226" s="4"/>
      <c r="AUK226" s="4"/>
      <c r="AUM226" s="4"/>
      <c r="AUO226" s="4"/>
      <c r="AUQ226" s="4"/>
      <c r="AUS226" s="4"/>
      <c r="AUU226" s="4"/>
      <c r="AUW226" s="4"/>
      <c r="AUY226" s="4"/>
      <c r="AVA226" s="4"/>
      <c r="AVC226" s="4"/>
      <c r="AVE226" s="4"/>
      <c r="AVG226" s="4"/>
      <c r="AVI226" s="4"/>
      <c r="AVK226" s="4"/>
      <c r="AVM226" s="4"/>
      <c r="AVO226" s="4"/>
      <c r="AVQ226" s="4"/>
      <c r="AVS226" s="4"/>
      <c r="AVU226" s="4"/>
      <c r="AVW226" s="4"/>
      <c r="AVY226" s="4"/>
      <c r="AWA226" s="4"/>
      <c r="AWC226" s="4"/>
      <c r="AWE226" s="4"/>
      <c r="AWG226" s="4"/>
      <c r="AWI226" s="4"/>
      <c r="AWK226" s="4"/>
      <c r="AWM226" s="4"/>
      <c r="AWO226" s="4"/>
      <c r="AWQ226" s="4"/>
      <c r="AWS226" s="4"/>
      <c r="AWU226" s="4"/>
      <c r="AWW226" s="4"/>
      <c r="AWY226" s="4"/>
      <c r="AXA226" s="4"/>
      <c r="AXC226" s="4"/>
      <c r="AXE226" s="4"/>
      <c r="AXG226" s="4"/>
      <c r="AXI226" s="4"/>
      <c r="AXK226" s="4"/>
      <c r="AXM226" s="4"/>
      <c r="AXO226" s="4"/>
      <c r="AXQ226" s="4"/>
      <c r="AXS226" s="4"/>
      <c r="AXU226" s="4"/>
      <c r="AXW226" s="4"/>
      <c r="AXY226" s="4"/>
      <c r="AYA226" s="4"/>
      <c r="AYC226" s="4"/>
      <c r="AYE226" s="4"/>
      <c r="AYG226" s="4"/>
      <c r="AYI226" s="4"/>
      <c r="AYK226" s="4"/>
      <c r="AYM226" s="4"/>
      <c r="AYO226" s="4"/>
      <c r="AYQ226" s="4"/>
      <c r="AYS226" s="4"/>
      <c r="AYU226" s="4"/>
      <c r="AYW226" s="4"/>
      <c r="AYY226" s="4"/>
      <c r="AZA226" s="4"/>
      <c r="AZC226" s="4"/>
      <c r="AZE226" s="4"/>
      <c r="AZG226" s="4"/>
      <c r="AZI226" s="4"/>
      <c r="AZK226" s="4"/>
      <c r="AZM226" s="4"/>
      <c r="AZO226" s="4"/>
      <c r="AZQ226" s="4"/>
      <c r="AZS226" s="4"/>
      <c r="AZU226" s="4"/>
      <c r="AZW226" s="4"/>
      <c r="AZY226" s="4"/>
      <c r="BAA226" s="4"/>
      <c r="BAC226" s="4"/>
      <c r="BAE226" s="4"/>
      <c r="BAG226" s="4"/>
      <c r="BAI226" s="4"/>
      <c r="BAK226" s="4"/>
      <c r="BAM226" s="4"/>
      <c r="BAO226" s="4"/>
      <c r="BAQ226" s="4"/>
      <c r="BAS226" s="4"/>
      <c r="BAU226" s="4"/>
      <c r="BAW226" s="4"/>
      <c r="BAY226" s="4"/>
      <c r="BBA226" s="4"/>
      <c r="BBC226" s="4"/>
      <c r="BBE226" s="4"/>
      <c r="BBG226" s="4"/>
      <c r="BBI226" s="4"/>
      <c r="BBK226" s="4"/>
      <c r="BBM226" s="4"/>
      <c r="BBO226" s="4"/>
      <c r="BBQ226" s="4"/>
      <c r="BBS226" s="4"/>
      <c r="BBU226" s="4"/>
      <c r="BBW226" s="4"/>
      <c r="BBY226" s="4"/>
      <c r="BCA226" s="4"/>
      <c r="BCC226" s="4"/>
      <c r="BCE226" s="4"/>
      <c r="BCG226" s="4"/>
      <c r="BCI226" s="4"/>
      <c r="BCK226" s="4"/>
      <c r="BCM226" s="4"/>
      <c r="BCO226" s="4"/>
      <c r="BCQ226" s="4"/>
      <c r="BCS226" s="4"/>
      <c r="BCU226" s="4"/>
      <c r="BCW226" s="4"/>
      <c r="BCY226" s="4"/>
      <c r="BDA226" s="4"/>
      <c r="BDC226" s="4"/>
      <c r="BDE226" s="4"/>
      <c r="BDG226" s="4"/>
      <c r="BDI226" s="4"/>
      <c r="BDK226" s="4"/>
      <c r="BDM226" s="4"/>
      <c r="BDO226" s="4"/>
      <c r="BDQ226" s="4"/>
      <c r="BDS226" s="4"/>
      <c r="BDU226" s="4"/>
      <c r="BDW226" s="4"/>
      <c r="BDY226" s="4"/>
      <c r="BEA226" s="4"/>
      <c r="BEC226" s="4"/>
      <c r="BEE226" s="4"/>
      <c r="BEG226" s="4"/>
      <c r="BEI226" s="4"/>
      <c r="BEK226" s="4"/>
      <c r="BEM226" s="4"/>
      <c r="BEO226" s="4"/>
      <c r="BEQ226" s="4"/>
      <c r="BES226" s="4"/>
      <c r="BEU226" s="4"/>
      <c r="BEW226" s="4"/>
      <c r="BEY226" s="4"/>
      <c r="BFA226" s="4"/>
      <c r="BFC226" s="4"/>
      <c r="BFE226" s="4"/>
      <c r="BFG226" s="4"/>
      <c r="BFI226" s="4"/>
      <c r="BFK226" s="4"/>
      <c r="BFM226" s="4"/>
      <c r="BFO226" s="4"/>
      <c r="BFQ226" s="4"/>
      <c r="BFS226" s="4"/>
      <c r="BFU226" s="4"/>
      <c r="BFW226" s="4"/>
      <c r="BFY226" s="4"/>
      <c r="BGA226" s="4"/>
      <c r="BGC226" s="4"/>
      <c r="BGE226" s="4"/>
      <c r="BGG226" s="4"/>
      <c r="BGI226" s="4"/>
      <c r="BGK226" s="4"/>
      <c r="BGM226" s="4"/>
      <c r="BGO226" s="4"/>
      <c r="BGQ226" s="4"/>
      <c r="BGS226" s="4"/>
      <c r="BGU226" s="4"/>
      <c r="BGW226" s="4"/>
      <c r="BGY226" s="4"/>
      <c r="BHA226" s="4"/>
      <c r="BHC226" s="4"/>
      <c r="BHE226" s="4"/>
      <c r="BHG226" s="4"/>
      <c r="BHI226" s="4"/>
      <c r="BHK226" s="4"/>
      <c r="BHM226" s="4"/>
      <c r="BHO226" s="4"/>
      <c r="BHQ226" s="4"/>
      <c r="BHS226" s="4"/>
      <c r="BHU226" s="4"/>
      <c r="BHW226" s="4"/>
      <c r="BHY226" s="4"/>
      <c r="BIA226" s="4"/>
      <c r="BIC226" s="4"/>
      <c r="BIE226" s="4"/>
      <c r="BIG226" s="4"/>
      <c r="BII226" s="4"/>
      <c r="BIK226" s="4"/>
      <c r="BIM226" s="4"/>
      <c r="BIO226" s="4"/>
      <c r="BIQ226" s="4"/>
      <c r="BIS226" s="4"/>
      <c r="BIU226" s="4"/>
      <c r="BIW226" s="4"/>
      <c r="BIY226" s="4"/>
      <c r="BJA226" s="4"/>
      <c r="BJC226" s="4"/>
      <c r="BJE226" s="4"/>
      <c r="BJG226" s="4"/>
      <c r="BJI226" s="4"/>
      <c r="BJK226" s="4"/>
      <c r="BJM226" s="4"/>
      <c r="BJO226" s="4"/>
      <c r="BJQ226" s="4"/>
      <c r="BJS226" s="4"/>
      <c r="BJU226" s="4"/>
      <c r="BJW226" s="4"/>
      <c r="BJY226" s="4"/>
      <c r="BKA226" s="4"/>
      <c r="BKC226" s="4"/>
      <c r="BKE226" s="4"/>
      <c r="BKG226" s="4"/>
      <c r="BKI226" s="4"/>
      <c r="BKK226" s="4"/>
      <c r="BKM226" s="4"/>
      <c r="BKO226" s="4"/>
      <c r="BKQ226" s="4"/>
      <c r="BKS226" s="4"/>
      <c r="BKU226" s="4"/>
      <c r="BKW226" s="4"/>
      <c r="BKY226" s="4"/>
      <c r="BLA226" s="4"/>
      <c r="BLC226" s="4"/>
      <c r="BLE226" s="4"/>
      <c r="BLG226" s="4"/>
      <c r="BLI226" s="4"/>
      <c r="BLK226" s="4"/>
      <c r="BLM226" s="4"/>
      <c r="BLO226" s="4"/>
      <c r="BLQ226" s="4"/>
      <c r="BLS226" s="4"/>
      <c r="BLU226" s="4"/>
      <c r="BLW226" s="4"/>
      <c r="BLY226" s="4"/>
      <c r="BMA226" s="4"/>
      <c r="BMC226" s="4"/>
      <c r="BME226" s="4"/>
      <c r="BMG226" s="4"/>
      <c r="BMI226" s="4"/>
      <c r="BMK226" s="4"/>
      <c r="BMM226" s="4"/>
      <c r="BMO226" s="4"/>
      <c r="BMQ226" s="4"/>
      <c r="BMS226" s="4"/>
      <c r="BMU226" s="4"/>
      <c r="BMW226" s="4"/>
      <c r="BMY226" s="4"/>
      <c r="BNA226" s="4"/>
      <c r="BNC226" s="4"/>
      <c r="BNE226" s="4"/>
      <c r="BNG226" s="4"/>
      <c r="BNI226" s="4"/>
      <c r="BNK226" s="4"/>
      <c r="BNM226" s="4"/>
      <c r="BNO226" s="4"/>
      <c r="BNQ226" s="4"/>
      <c r="BNS226" s="4"/>
      <c r="BNU226" s="4"/>
      <c r="BNW226" s="4"/>
      <c r="BNY226" s="4"/>
      <c r="BOA226" s="4"/>
      <c r="BOC226" s="4"/>
      <c r="BOE226" s="4"/>
      <c r="BOG226" s="4"/>
      <c r="BOI226" s="4"/>
      <c r="BOK226" s="4"/>
      <c r="BOM226" s="4"/>
      <c r="BOO226" s="4"/>
      <c r="BOQ226" s="4"/>
      <c r="BOS226" s="4"/>
      <c r="BOU226" s="4"/>
      <c r="BOW226" s="4"/>
      <c r="BOY226" s="4"/>
      <c r="BPA226" s="4"/>
      <c r="BPC226" s="4"/>
      <c r="BPE226" s="4"/>
      <c r="BPG226" s="4"/>
      <c r="BPI226" s="4"/>
      <c r="BPK226" s="4"/>
      <c r="BPM226" s="4"/>
      <c r="BPO226" s="4"/>
      <c r="BPQ226" s="4"/>
      <c r="BPS226" s="4"/>
      <c r="BPU226" s="4"/>
      <c r="BPW226" s="4"/>
      <c r="BPY226" s="4"/>
      <c r="BQA226" s="4"/>
      <c r="BQC226" s="4"/>
      <c r="BQE226" s="4"/>
      <c r="BQG226" s="4"/>
      <c r="BQI226" s="4"/>
      <c r="BQK226" s="4"/>
      <c r="BQM226" s="4"/>
      <c r="BQO226" s="4"/>
      <c r="BQQ226" s="4"/>
      <c r="BQS226" s="4"/>
      <c r="BQU226" s="4"/>
      <c r="BQW226" s="4"/>
      <c r="BQY226" s="4"/>
      <c r="BRA226" s="4"/>
      <c r="BRC226" s="4"/>
      <c r="BRE226" s="4"/>
      <c r="BRG226" s="4"/>
      <c r="BRI226" s="4"/>
      <c r="BRK226" s="4"/>
      <c r="BRM226" s="4"/>
      <c r="BRO226" s="4"/>
      <c r="BRQ226" s="4"/>
      <c r="BRS226" s="4"/>
      <c r="BRU226" s="4"/>
      <c r="BRW226" s="4"/>
      <c r="BRY226" s="4"/>
      <c r="BSA226" s="4"/>
      <c r="BSC226" s="4"/>
      <c r="BSE226" s="4"/>
      <c r="BSG226" s="4"/>
      <c r="BSI226" s="4"/>
      <c r="BSK226" s="4"/>
      <c r="BSM226" s="4"/>
      <c r="BSO226" s="4"/>
      <c r="BSQ226" s="4"/>
      <c r="BSS226" s="4"/>
      <c r="BSU226" s="4"/>
      <c r="BSW226" s="4"/>
      <c r="BSY226" s="4"/>
      <c r="BTA226" s="4"/>
      <c r="BTC226" s="4"/>
      <c r="BTE226" s="4"/>
      <c r="BTG226" s="4"/>
      <c r="BTI226" s="4"/>
      <c r="BTK226" s="4"/>
      <c r="BTM226" s="4"/>
      <c r="BTO226" s="4"/>
      <c r="BTQ226" s="4"/>
      <c r="BTS226" s="4"/>
      <c r="BTU226" s="4"/>
      <c r="BTW226" s="4"/>
      <c r="BTY226" s="4"/>
      <c r="BUA226" s="4"/>
      <c r="BUC226" s="4"/>
      <c r="BUE226" s="4"/>
      <c r="BUG226" s="4"/>
      <c r="BUI226" s="4"/>
      <c r="BUK226" s="4"/>
      <c r="BUM226" s="4"/>
      <c r="BUO226" s="4"/>
      <c r="BUQ226" s="4"/>
      <c r="BUS226" s="4"/>
      <c r="BUU226" s="4"/>
      <c r="BUW226" s="4"/>
      <c r="BUY226" s="4"/>
      <c r="BVA226" s="4"/>
      <c r="BVC226" s="4"/>
      <c r="BVE226" s="4"/>
      <c r="BVG226" s="4"/>
      <c r="BVI226" s="4"/>
      <c r="BVK226" s="4"/>
      <c r="BVM226" s="4"/>
      <c r="BVO226" s="4"/>
      <c r="BVQ226" s="4"/>
      <c r="BVS226" s="4"/>
      <c r="BVU226" s="4"/>
      <c r="BVW226" s="4"/>
      <c r="BVY226" s="4"/>
      <c r="BWA226" s="4"/>
      <c r="BWC226" s="4"/>
      <c r="BWE226" s="4"/>
      <c r="BWG226" s="4"/>
      <c r="BWI226" s="4"/>
      <c r="BWK226" s="4"/>
      <c r="BWM226" s="4"/>
      <c r="BWO226" s="4"/>
      <c r="BWQ226" s="4"/>
      <c r="BWS226" s="4"/>
      <c r="BWU226" s="4"/>
      <c r="BWW226" s="4"/>
      <c r="BWY226" s="4"/>
      <c r="BXA226" s="4"/>
      <c r="BXC226" s="4"/>
      <c r="BXE226" s="4"/>
      <c r="BXG226" s="4"/>
      <c r="BXI226" s="4"/>
      <c r="BXK226" s="4"/>
      <c r="BXM226" s="4"/>
      <c r="BXO226" s="4"/>
      <c r="BXQ226" s="4"/>
      <c r="BXS226" s="4"/>
      <c r="BXU226" s="4"/>
      <c r="BXW226" s="4"/>
      <c r="BXY226" s="4"/>
      <c r="BYA226" s="4"/>
      <c r="BYC226" s="4"/>
      <c r="BYE226" s="4"/>
      <c r="BYG226" s="4"/>
      <c r="BYI226" s="4"/>
      <c r="BYK226" s="4"/>
      <c r="BYM226" s="4"/>
      <c r="BYO226" s="4"/>
      <c r="BYQ226" s="4"/>
      <c r="BYS226" s="4"/>
      <c r="BYU226" s="4"/>
      <c r="BYW226" s="4"/>
      <c r="BYY226" s="4"/>
      <c r="BZA226" s="4"/>
      <c r="BZC226" s="4"/>
      <c r="BZE226" s="4"/>
      <c r="BZG226" s="4"/>
      <c r="BZI226" s="4"/>
      <c r="BZK226" s="4"/>
      <c r="BZM226" s="4"/>
      <c r="BZO226" s="4"/>
      <c r="BZQ226" s="4"/>
      <c r="BZS226" s="4"/>
      <c r="BZU226" s="4"/>
      <c r="BZW226" s="4"/>
      <c r="BZY226" s="4"/>
      <c r="CAA226" s="4"/>
      <c r="CAC226" s="4"/>
      <c r="CAE226" s="4"/>
      <c r="CAG226" s="4"/>
      <c r="CAI226" s="4"/>
      <c r="CAK226" s="4"/>
      <c r="CAM226" s="4"/>
      <c r="CAO226" s="4"/>
      <c r="CAQ226" s="4"/>
      <c r="CAS226" s="4"/>
      <c r="CAU226" s="4"/>
      <c r="CAW226" s="4"/>
      <c r="CAY226" s="4"/>
      <c r="CBA226" s="4"/>
      <c r="CBC226" s="4"/>
      <c r="CBE226" s="4"/>
      <c r="CBG226" s="4"/>
      <c r="CBI226" s="4"/>
      <c r="CBK226" s="4"/>
      <c r="CBM226" s="4"/>
      <c r="CBO226" s="4"/>
      <c r="CBQ226" s="4"/>
      <c r="CBS226" s="4"/>
      <c r="CBU226" s="4"/>
      <c r="CBW226" s="4"/>
      <c r="CBY226" s="4"/>
      <c r="CCA226" s="4"/>
      <c r="CCC226" s="4"/>
      <c r="CCE226" s="4"/>
      <c r="CCG226" s="4"/>
      <c r="CCI226" s="4"/>
      <c r="CCK226" s="4"/>
      <c r="CCM226" s="4"/>
      <c r="CCO226" s="4"/>
      <c r="CCQ226" s="4"/>
      <c r="CCS226" s="4"/>
      <c r="CCU226" s="4"/>
      <c r="CCW226" s="4"/>
      <c r="CCY226" s="4"/>
      <c r="CDA226" s="4"/>
      <c r="CDC226" s="4"/>
      <c r="CDE226" s="4"/>
      <c r="CDG226" s="4"/>
      <c r="CDI226" s="4"/>
      <c r="CDK226" s="4"/>
      <c r="CDM226" s="4"/>
      <c r="CDO226" s="4"/>
      <c r="CDQ226" s="4"/>
      <c r="CDS226" s="4"/>
      <c r="CDU226" s="4"/>
      <c r="CDW226" s="4"/>
      <c r="CDY226" s="4"/>
      <c r="CEA226" s="4"/>
      <c r="CEC226" s="4"/>
      <c r="CEE226" s="4"/>
      <c r="CEG226" s="4"/>
      <c r="CEI226" s="4"/>
      <c r="CEK226" s="4"/>
      <c r="CEM226" s="4"/>
      <c r="CEO226" s="4"/>
      <c r="CEQ226" s="4"/>
      <c r="CES226" s="4"/>
      <c r="CEU226" s="4"/>
      <c r="CEW226" s="4"/>
      <c r="CEY226" s="4"/>
      <c r="CFA226" s="4"/>
      <c r="CFC226" s="4"/>
      <c r="CFE226" s="4"/>
      <c r="CFG226" s="4"/>
      <c r="CFI226" s="4"/>
      <c r="CFK226" s="4"/>
      <c r="CFM226" s="4"/>
      <c r="CFO226" s="4"/>
      <c r="CFQ226" s="4"/>
      <c r="CFS226" s="4"/>
      <c r="CFU226" s="4"/>
      <c r="CFW226" s="4"/>
      <c r="CFY226" s="4"/>
      <c r="CGA226" s="4"/>
      <c r="CGC226" s="4"/>
      <c r="CGE226" s="4"/>
      <c r="CGG226" s="4"/>
      <c r="CGI226" s="4"/>
      <c r="CGK226" s="4"/>
      <c r="CGM226" s="4"/>
      <c r="CGO226" s="4"/>
      <c r="CGQ226" s="4"/>
      <c r="CGS226" s="4"/>
      <c r="CGU226" s="4"/>
      <c r="CGW226" s="4"/>
      <c r="CGY226" s="4"/>
      <c r="CHA226" s="4"/>
      <c r="CHC226" s="4"/>
      <c r="CHE226" s="4"/>
      <c r="CHG226" s="4"/>
      <c r="CHI226" s="4"/>
      <c r="CHK226" s="4"/>
      <c r="CHM226" s="4"/>
      <c r="CHO226" s="4"/>
      <c r="CHQ226" s="4"/>
      <c r="CHS226" s="4"/>
      <c r="CHU226" s="4"/>
      <c r="CHW226" s="4"/>
      <c r="CHY226" s="4"/>
      <c r="CIA226" s="4"/>
      <c r="CIC226" s="4"/>
      <c r="CIE226" s="4"/>
      <c r="CIG226" s="4"/>
      <c r="CII226" s="4"/>
      <c r="CIK226" s="4"/>
      <c r="CIM226" s="4"/>
      <c r="CIO226" s="4"/>
      <c r="CIQ226" s="4"/>
      <c r="CIS226" s="4"/>
      <c r="CIU226" s="4"/>
      <c r="CIW226" s="4"/>
      <c r="CIY226" s="4"/>
      <c r="CJA226" s="4"/>
      <c r="CJC226" s="4"/>
      <c r="CJE226" s="4"/>
      <c r="CJG226" s="4"/>
      <c r="CJI226" s="4"/>
      <c r="CJK226" s="4"/>
      <c r="CJM226" s="4"/>
      <c r="CJO226" s="4"/>
      <c r="CJQ226" s="4"/>
      <c r="CJS226" s="4"/>
      <c r="CJU226" s="4"/>
      <c r="CJW226" s="4"/>
      <c r="CJY226" s="4"/>
      <c r="CKA226" s="4"/>
      <c r="CKC226" s="4"/>
      <c r="CKE226" s="4"/>
      <c r="CKG226" s="4"/>
      <c r="CKI226" s="4"/>
      <c r="CKK226" s="4"/>
      <c r="CKM226" s="4"/>
      <c r="CKO226" s="4"/>
      <c r="CKQ226" s="4"/>
      <c r="CKS226" s="4"/>
      <c r="CKU226" s="4"/>
      <c r="CKW226" s="4"/>
      <c r="CKY226" s="4"/>
      <c r="CLA226" s="4"/>
      <c r="CLC226" s="4"/>
      <c r="CLE226" s="4"/>
      <c r="CLG226" s="4"/>
      <c r="CLI226" s="4"/>
      <c r="CLK226" s="4"/>
      <c r="CLM226" s="4"/>
      <c r="CLO226" s="4"/>
      <c r="CLQ226" s="4"/>
      <c r="CLS226" s="4"/>
      <c r="CLU226" s="4"/>
      <c r="CLW226" s="4"/>
      <c r="CLY226" s="4"/>
      <c r="CMA226" s="4"/>
      <c r="CMC226" s="4"/>
      <c r="CME226" s="4"/>
      <c r="CMG226" s="4"/>
      <c r="CMI226" s="4"/>
      <c r="CMK226" s="4"/>
      <c r="CMM226" s="4"/>
      <c r="CMO226" s="4"/>
      <c r="CMQ226" s="4"/>
      <c r="CMS226" s="4"/>
      <c r="CMU226" s="4"/>
      <c r="CMW226" s="4"/>
      <c r="CMY226" s="4"/>
      <c r="CNA226" s="4"/>
      <c r="CNC226" s="4"/>
      <c r="CNE226" s="4"/>
      <c r="CNG226" s="4"/>
      <c r="CNI226" s="4"/>
      <c r="CNK226" s="4"/>
      <c r="CNM226" s="4"/>
      <c r="CNO226" s="4"/>
      <c r="CNQ226" s="4"/>
      <c r="CNS226" s="4"/>
      <c r="CNU226" s="4"/>
      <c r="CNW226" s="4"/>
      <c r="CNY226" s="4"/>
      <c r="COA226" s="4"/>
      <c r="COC226" s="4"/>
      <c r="COE226" s="4"/>
      <c r="COG226" s="4"/>
      <c r="COI226" s="4"/>
      <c r="COK226" s="4"/>
      <c r="COM226" s="4"/>
      <c r="COO226" s="4"/>
      <c r="COQ226" s="4"/>
      <c r="COS226" s="4"/>
      <c r="COU226" s="4"/>
      <c r="COW226" s="4"/>
      <c r="COY226" s="4"/>
      <c r="CPA226" s="4"/>
      <c r="CPC226" s="4"/>
      <c r="CPE226" s="4"/>
      <c r="CPG226" s="4"/>
      <c r="CPI226" s="4"/>
      <c r="CPK226" s="4"/>
      <c r="CPM226" s="4"/>
      <c r="CPO226" s="4"/>
      <c r="CPQ226" s="4"/>
      <c r="CPS226" s="4"/>
      <c r="CPU226" s="4"/>
      <c r="CPW226" s="4"/>
      <c r="CPY226" s="4"/>
      <c r="CQA226" s="4"/>
      <c r="CQC226" s="4"/>
      <c r="CQE226" s="4"/>
      <c r="CQG226" s="4"/>
      <c r="CQI226" s="4"/>
      <c r="CQK226" s="4"/>
      <c r="CQM226" s="4"/>
      <c r="CQO226" s="4"/>
      <c r="CQQ226" s="4"/>
      <c r="CQS226" s="4"/>
      <c r="CQU226" s="4"/>
      <c r="CQW226" s="4"/>
      <c r="CQY226" s="4"/>
      <c r="CRA226" s="4"/>
      <c r="CRC226" s="4"/>
      <c r="CRE226" s="4"/>
      <c r="CRG226" s="4"/>
      <c r="CRI226" s="4"/>
      <c r="CRK226" s="4"/>
      <c r="CRM226" s="4"/>
      <c r="CRO226" s="4"/>
      <c r="CRQ226" s="4"/>
      <c r="CRS226" s="4"/>
      <c r="CRU226" s="4"/>
      <c r="CRW226" s="4"/>
      <c r="CRY226" s="4"/>
      <c r="CSA226" s="4"/>
      <c r="CSC226" s="4"/>
      <c r="CSE226" s="4"/>
      <c r="CSG226" s="4"/>
      <c r="CSI226" s="4"/>
      <c r="CSK226" s="4"/>
      <c r="CSM226" s="4"/>
      <c r="CSO226" s="4"/>
      <c r="CSQ226" s="4"/>
      <c r="CSS226" s="4"/>
      <c r="CSU226" s="4"/>
      <c r="CSW226" s="4"/>
      <c r="CSY226" s="4"/>
      <c r="CTA226" s="4"/>
      <c r="CTC226" s="4"/>
      <c r="CTE226" s="4"/>
      <c r="CTG226" s="4"/>
      <c r="CTI226" s="4"/>
      <c r="CTK226" s="4"/>
      <c r="CTM226" s="4"/>
      <c r="CTO226" s="4"/>
      <c r="CTQ226" s="4"/>
      <c r="CTS226" s="4"/>
      <c r="CTU226" s="4"/>
      <c r="CTW226" s="4"/>
      <c r="CTY226" s="4"/>
      <c r="CUA226" s="4"/>
      <c r="CUC226" s="4"/>
      <c r="CUE226" s="4"/>
      <c r="CUG226" s="4"/>
      <c r="CUI226" s="4"/>
      <c r="CUK226" s="4"/>
      <c r="CUM226" s="4"/>
      <c r="CUO226" s="4"/>
      <c r="CUQ226" s="4"/>
      <c r="CUS226" s="4"/>
      <c r="CUU226" s="4"/>
      <c r="CUW226" s="4"/>
      <c r="CUY226" s="4"/>
      <c r="CVA226" s="4"/>
      <c r="CVC226" s="4"/>
      <c r="CVE226" s="4"/>
      <c r="CVG226" s="4"/>
      <c r="CVI226" s="4"/>
      <c r="CVK226" s="4"/>
      <c r="CVM226" s="4"/>
      <c r="CVO226" s="4"/>
      <c r="CVQ226" s="4"/>
      <c r="CVS226" s="4"/>
      <c r="CVU226" s="4"/>
      <c r="CVW226" s="4"/>
      <c r="CVY226" s="4"/>
      <c r="CWA226" s="4"/>
      <c r="CWC226" s="4"/>
      <c r="CWE226" s="4"/>
      <c r="CWG226" s="4"/>
      <c r="CWI226" s="4"/>
      <c r="CWK226" s="4"/>
      <c r="CWM226" s="4"/>
      <c r="CWO226" s="4"/>
      <c r="CWQ226" s="4"/>
      <c r="CWS226" s="4"/>
      <c r="CWU226" s="4"/>
      <c r="CWW226" s="4"/>
      <c r="CWY226" s="4"/>
      <c r="CXA226" s="4"/>
      <c r="CXC226" s="4"/>
      <c r="CXE226" s="4"/>
      <c r="CXG226" s="4"/>
      <c r="CXI226" s="4"/>
      <c r="CXK226" s="4"/>
      <c r="CXM226" s="4"/>
      <c r="CXO226" s="4"/>
      <c r="CXQ226" s="4"/>
      <c r="CXS226" s="4"/>
      <c r="CXU226" s="4"/>
      <c r="CXW226" s="4"/>
      <c r="CXY226" s="4"/>
      <c r="CYA226" s="4"/>
      <c r="CYC226" s="4"/>
      <c r="CYE226" s="4"/>
      <c r="CYG226" s="4"/>
      <c r="CYI226" s="4"/>
      <c r="CYK226" s="4"/>
      <c r="CYM226" s="4"/>
      <c r="CYO226" s="4"/>
      <c r="CYQ226" s="4"/>
      <c r="CYS226" s="4"/>
      <c r="CYU226" s="4"/>
      <c r="CYW226" s="4"/>
      <c r="CYY226" s="4"/>
      <c r="CZA226" s="4"/>
      <c r="CZC226" s="4"/>
      <c r="CZE226" s="4"/>
      <c r="CZG226" s="4"/>
      <c r="CZI226" s="4"/>
      <c r="CZK226" s="4"/>
      <c r="CZM226" s="4"/>
      <c r="CZO226" s="4"/>
      <c r="CZQ226" s="4"/>
      <c r="CZS226" s="4"/>
      <c r="CZU226" s="4"/>
      <c r="CZW226" s="4"/>
      <c r="CZY226" s="4"/>
      <c r="DAA226" s="4"/>
      <c r="DAC226" s="4"/>
      <c r="DAE226" s="4"/>
      <c r="DAG226" s="4"/>
      <c r="DAI226" s="4"/>
      <c r="DAK226" s="4"/>
      <c r="DAM226" s="4"/>
      <c r="DAO226" s="4"/>
      <c r="DAQ226" s="4"/>
      <c r="DAS226" s="4"/>
      <c r="DAU226" s="4"/>
      <c r="DAW226" s="4"/>
      <c r="DAY226" s="4"/>
      <c r="DBA226" s="4"/>
      <c r="DBC226" s="4"/>
      <c r="DBE226" s="4"/>
      <c r="DBG226" s="4"/>
      <c r="DBI226" s="4"/>
      <c r="DBK226" s="4"/>
      <c r="DBM226" s="4"/>
      <c r="DBO226" s="4"/>
      <c r="DBQ226" s="4"/>
      <c r="DBS226" s="4"/>
      <c r="DBU226" s="4"/>
      <c r="DBW226" s="4"/>
      <c r="DBY226" s="4"/>
      <c r="DCA226" s="4"/>
      <c r="DCC226" s="4"/>
      <c r="DCE226" s="4"/>
      <c r="DCG226" s="4"/>
      <c r="DCI226" s="4"/>
      <c r="DCK226" s="4"/>
      <c r="DCM226" s="4"/>
      <c r="DCO226" s="4"/>
      <c r="DCQ226" s="4"/>
      <c r="DCS226" s="4"/>
      <c r="DCU226" s="4"/>
      <c r="DCW226" s="4"/>
      <c r="DCY226" s="4"/>
      <c r="DDA226" s="4"/>
      <c r="DDC226" s="4"/>
      <c r="DDE226" s="4"/>
      <c r="DDG226" s="4"/>
      <c r="DDI226" s="4"/>
      <c r="DDK226" s="4"/>
      <c r="DDM226" s="4"/>
      <c r="DDO226" s="4"/>
      <c r="DDQ226" s="4"/>
      <c r="DDS226" s="4"/>
      <c r="DDU226" s="4"/>
      <c r="DDW226" s="4"/>
      <c r="DDY226" s="4"/>
      <c r="DEA226" s="4"/>
      <c r="DEC226" s="4"/>
      <c r="DEE226" s="4"/>
      <c r="DEG226" s="4"/>
      <c r="DEI226" s="4"/>
      <c r="DEK226" s="4"/>
      <c r="DEM226" s="4"/>
      <c r="DEO226" s="4"/>
      <c r="DEQ226" s="4"/>
      <c r="DES226" s="4"/>
      <c r="DEU226" s="4"/>
      <c r="DEW226" s="4"/>
      <c r="DEY226" s="4"/>
      <c r="DFA226" s="4"/>
      <c r="DFC226" s="4"/>
      <c r="DFE226" s="4"/>
      <c r="DFG226" s="4"/>
      <c r="DFI226" s="4"/>
      <c r="DFK226" s="4"/>
      <c r="DFM226" s="4"/>
      <c r="DFO226" s="4"/>
      <c r="DFQ226" s="4"/>
      <c r="DFS226" s="4"/>
      <c r="DFU226" s="4"/>
      <c r="DFW226" s="4"/>
      <c r="DFY226" s="4"/>
      <c r="DGA226" s="4"/>
      <c r="DGC226" s="4"/>
      <c r="DGE226" s="4"/>
      <c r="DGG226" s="4"/>
      <c r="DGI226" s="4"/>
      <c r="DGK226" s="4"/>
      <c r="DGM226" s="4"/>
      <c r="DGO226" s="4"/>
      <c r="DGQ226" s="4"/>
      <c r="DGS226" s="4"/>
      <c r="DGU226" s="4"/>
      <c r="DGW226" s="4"/>
      <c r="DGY226" s="4"/>
      <c r="DHA226" s="4"/>
      <c r="DHC226" s="4"/>
      <c r="DHE226" s="4"/>
      <c r="DHG226" s="4"/>
      <c r="DHI226" s="4"/>
      <c r="DHK226" s="4"/>
      <c r="DHM226" s="4"/>
      <c r="DHO226" s="4"/>
      <c r="DHQ226" s="4"/>
      <c r="DHS226" s="4"/>
      <c r="DHU226" s="4"/>
      <c r="DHW226" s="4"/>
      <c r="DHY226" s="4"/>
      <c r="DIA226" s="4"/>
      <c r="DIC226" s="4"/>
      <c r="DIE226" s="4"/>
      <c r="DIG226" s="4"/>
      <c r="DII226" s="4"/>
      <c r="DIK226" s="4"/>
      <c r="DIM226" s="4"/>
      <c r="DIO226" s="4"/>
      <c r="DIQ226" s="4"/>
      <c r="DIS226" s="4"/>
      <c r="DIU226" s="4"/>
      <c r="DIW226" s="4"/>
      <c r="DIY226" s="4"/>
      <c r="DJA226" s="4"/>
      <c r="DJC226" s="4"/>
      <c r="DJE226" s="4"/>
      <c r="DJG226" s="4"/>
      <c r="DJI226" s="4"/>
      <c r="DJK226" s="4"/>
      <c r="DJM226" s="4"/>
      <c r="DJO226" s="4"/>
      <c r="DJQ226" s="4"/>
      <c r="DJS226" s="4"/>
      <c r="DJU226" s="4"/>
      <c r="DJW226" s="4"/>
      <c r="DJY226" s="4"/>
      <c r="DKA226" s="4"/>
      <c r="DKC226" s="4"/>
      <c r="DKE226" s="4"/>
      <c r="DKG226" s="4"/>
      <c r="DKI226" s="4"/>
      <c r="DKK226" s="4"/>
      <c r="DKM226" s="4"/>
      <c r="DKO226" s="4"/>
      <c r="DKQ226" s="4"/>
      <c r="DKS226" s="4"/>
      <c r="DKU226" s="4"/>
      <c r="DKW226" s="4"/>
      <c r="DKY226" s="4"/>
      <c r="DLA226" s="4"/>
      <c r="DLC226" s="4"/>
      <c r="DLE226" s="4"/>
      <c r="DLG226" s="4"/>
      <c r="DLI226" s="4"/>
      <c r="DLK226" s="4"/>
      <c r="DLM226" s="4"/>
      <c r="DLO226" s="4"/>
      <c r="DLQ226" s="4"/>
      <c r="DLS226" s="4"/>
      <c r="DLU226" s="4"/>
      <c r="DLW226" s="4"/>
      <c r="DLY226" s="4"/>
      <c r="DMA226" s="4"/>
      <c r="DMC226" s="4"/>
      <c r="DME226" s="4"/>
      <c r="DMG226" s="4"/>
      <c r="DMI226" s="4"/>
      <c r="DMK226" s="4"/>
      <c r="DMM226" s="4"/>
      <c r="DMO226" s="4"/>
      <c r="DMQ226" s="4"/>
      <c r="DMS226" s="4"/>
      <c r="DMU226" s="4"/>
      <c r="DMW226" s="4"/>
      <c r="DMY226" s="4"/>
      <c r="DNA226" s="4"/>
      <c r="DNC226" s="4"/>
      <c r="DNE226" s="4"/>
      <c r="DNG226" s="4"/>
      <c r="DNI226" s="4"/>
      <c r="DNK226" s="4"/>
      <c r="DNM226" s="4"/>
      <c r="DNO226" s="4"/>
      <c r="DNQ226" s="4"/>
      <c r="DNS226" s="4"/>
      <c r="DNU226" s="4"/>
      <c r="DNW226" s="4"/>
      <c r="DNY226" s="4"/>
      <c r="DOA226" s="4"/>
      <c r="DOC226" s="4"/>
      <c r="DOE226" s="4"/>
      <c r="DOG226" s="4"/>
      <c r="DOI226" s="4"/>
      <c r="DOK226" s="4"/>
      <c r="DOM226" s="4"/>
      <c r="DOO226" s="4"/>
      <c r="DOQ226" s="4"/>
      <c r="DOS226" s="4"/>
      <c r="DOU226" s="4"/>
      <c r="DOW226" s="4"/>
      <c r="DOY226" s="4"/>
      <c r="DPA226" s="4"/>
      <c r="DPC226" s="4"/>
      <c r="DPE226" s="4"/>
      <c r="DPG226" s="4"/>
      <c r="DPI226" s="4"/>
      <c r="DPK226" s="4"/>
      <c r="DPM226" s="4"/>
      <c r="DPO226" s="4"/>
      <c r="DPQ226" s="4"/>
      <c r="DPS226" s="4"/>
      <c r="DPU226" s="4"/>
      <c r="DPW226" s="4"/>
      <c r="DPY226" s="4"/>
      <c r="DQA226" s="4"/>
      <c r="DQC226" s="4"/>
      <c r="DQE226" s="4"/>
      <c r="DQG226" s="4"/>
      <c r="DQI226" s="4"/>
      <c r="DQK226" s="4"/>
      <c r="DQM226" s="4"/>
      <c r="DQO226" s="4"/>
      <c r="DQQ226" s="4"/>
      <c r="DQS226" s="4"/>
      <c r="DQU226" s="4"/>
      <c r="DQW226" s="4"/>
      <c r="DQY226" s="4"/>
      <c r="DRA226" s="4"/>
      <c r="DRC226" s="4"/>
      <c r="DRE226" s="4"/>
      <c r="DRG226" s="4"/>
      <c r="DRI226" s="4"/>
      <c r="DRK226" s="4"/>
      <c r="DRM226" s="4"/>
      <c r="DRO226" s="4"/>
      <c r="DRQ226" s="4"/>
      <c r="DRS226" s="4"/>
      <c r="DRU226" s="4"/>
      <c r="DRW226" s="4"/>
      <c r="DRY226" s="4"/>
      <c r="DSA226" s="4"/>
      <c r="DSC226" s="4"/>
      <c r="DSE226" s="4"/>
      <c r="DSG226" s="4"/>
      <c r="DSI226" s="4"/>
      <c r="DSK226" s="4"/>
      <c r="DSM226" s="4"/>
      <c r="DSO226" s="4"/>
      <c r="DSQ226" s="4"/>
      <c r="DSS226" s="4"/>
      <c r="DSU226" s="4"/>
      <c r="DSW226" s="4"/>
      <c r="DSY226" s="4"/>
      <c r="DTA226" s="4"/>
      <c r="DTC226" s="4"/>
      <c r="DTE226" s="4"/>
      <c r="DTG226" s="4"/>
      <c r="DTI226" s="4"/>
      <c r="DTK226" s="4"/>
      <c r="DTM226" s="4"/>
      <c r="DTO226" s="4"/>
      <c r="DTQ226" s="4"/>
      <c r="DTS226" s="4"/>
      <c r="DTU226" s="4"/>
      <c r="DTW226" s="4"/>
      <c r="DTY226" s="4"/>
      <c r="DUA226" s="4"/>
      <c r="DUC226" s="4"/>
      <c r="DUE226" s="4"/>
      <c r="DUG226" s="4"/>
      <c r="DUI226" s="4"/>
      <c r="DUK226" s="4"/>
      <c r="DUM226" s="4"/>
      <c r="DUO226" s="4"/>
      <c r="DUQ226" s="4"/>
      <c r="DUS226" s="4"/>
      <c r="DUU226" s="4"/>
      <c r="DUW226" s="4"/>
      <c r="DUY226" s="4"/>
      <c r="DVA226" s="4"/>
      <c r="DVC226" s="4"/>
      <c r="DVE226" s="4"/>
      <c r="DVG226" s="4"/>
      <c r="DVI226" s="4"/>
      <c r="DVK226" s="4"/>
      <c r="DVM226" s="4"/>
      <c r="DVO226" s="4"/>
      <c r="DVQ226" s="4"/>
      <c r="DVS226" s="4"/>
      <c r="DVU226" s="4"/>
      <c r="DVW226" s="4"/>
      <c r="DVY226" s="4"/>
      <c r="DWA226" s="4"/>
      <c r="DWC226" s="4"/>
      <c r="DWE226" s="4"/>
      <c r="DWG226" s="4"/>
      <c r="DWI226" s="4"/>
      <c r="DWK226" s="4"/>
      <c r="DWM226" s="4"/>
      <c r="DWO226" s="4"/>
      <c r="DWQ226" s="4"/>
      <c r="DWS226" s="4"/>
      <c r="DWU226" s="4"/>
      <c r="DWW226" s="4"/>
      <c r="DWY226" s="4"/>
      <c r="DXA226" s="4"/>
      <c r="DXC226" s="4"/>
      <c r="DXE226" s="4"/>
      <c r="DXG226" s="4"/>
      <c r="DXI226" s="4"/>
      <c r="DXK226" s="4"/>
      <c r="DXM226" s="4"/>
      <c r="DXO226" s="4"/>
      <c r="DXQ226" s="4"/>
      <c r="DXS226" s="4"/>
      <c r="DXU226" s="4"/>
      <c r="DXW226" s="4"/>
      <c r="DXY226" s="4"/>
      <c r="DYA226" s="4"/>
      <c r="DYC226" s="4"/>
      <c r="DYE226" s="4"/>
      <c r="DYG226" s="4"/>
      <c r="DYI226" s="4"/>
      <c r="DYK226" s="4"/>
      <c r="DYM226" s="4"/>
      <c r="DYO226" s="4"/>
      <c r="DYQ226" s="4"/>
      <c r="DYS226" s="4"/>
      <c r="DYU226" s="4"/>
      <c r="DYW226" s="4"/>
      <c r="DYY226" s="4"/>
      <c r="DZA226" s="4"/>
      <c r="DZC226" s="4"/>
      <c r="DZE226" s="4"/>
      <c r="DZG226" s="4"/>
      <c r="DZI226" s="4"/>
      <c r="DZK226" s="4"/>
      <c r="DZM226" s="4"/>
      <c r="DZO226" s="4"/>
      <c r="DZQ226" s="4"/>
      <c r="DZS226" s="4"/>
      <c r="DZU226" s="4"/>
      <c r="DZW226" s="4"/>
      <c r="DZY226" s="4"/>
      <c r="EAA226" s="4"/>
      <c r="EAC226" s="4"/>
      <c r="EAE226" s="4"/>
      <c r="EAG226" s="4"/>
      <c r="EAI226" s="4"/>
      <c r="EAK226" s="4"/>
      <c r="EAM226" s="4"/>
      <c r="EAO226" s="4"/>
      <c r="EAQ226" s="4"/>
      <c r="EAS226" s="4"/>
      <c r="EAU226" s="4"/>
      <c r="EAW226" s="4"/>
      <c r="EAY226" s="4"/>
      <c r="EBA226" s="4"/>
      <c r="EBC226" s="4"/>
      <c r="EBE226" s="4"/>
      <c r="EBG226" s="4"/>
      <c r="EBI226" s="4"/>
      <c r="EBK226" s="4"/>
      <c r="EBM226" s="4"/>
      <c r="EBO226" s="4"/>
      <c r="EBQ226" s="4"/>
      <c r="EBS226" s="4"/>
      <c r="EBU226" s="4"/>
      <c r="EBW226" s="4"/>
      <c r="EBY226" s="4"/>
      <c r="ECA226" s="4"/>
      <c r="ECC226" s="4"/>
      <c r="ECE226" s="4"/>
      <c r="ECG226" s="4"/>
      <c r="ECI226" s="4"/>
      <c r="ECK226" s="4"/>
      <c r="ECM226" s="4"/>
      <c r="ECO226" s="4"/>
      <c r="ECQ226" s="4"/>
      <c r="ECS226" s="4"/>
      <c r="ECU226" s="4"/>
      <c r="ECW226" s="4"/>
      <c r="ECY226" s="4"/>
      <c r="EDA226" s="4"/>
      <c r="EDC226" s="4"/>
      <c r="EDE226" s="4"/>
      <c r="EDG226" s="4"/>
      <c r="EDI226" s="4"/>
      <c r="EDK226" s="4"/>
      <c r="EDM226" s="4"/>
      <c r="EDO226" s="4"/>
      <c r="EDQ226" s="4"/>
      <c r="EDS226" s="4"/>
      <c r="EDU226" s="4"/>
      <c r="EDW226" s="4"/>
      <c r="EDY226" s="4"/>
      <c r="EEA226" s="4"/>
      <c r="EEC226" s="4"/>
      <c r="EEE226" s="4"/>
      <c r="EEG226" s="4"/>
      <c r="EEI226" s="4"/>
      <c r="EEK226" s="4"/>
      <c r="EEM226" s="4"/>
      <c r="EEO226" s="4"/>
      <c r="EEQ226" s="4"/>
      <c r="EES226" s="4"/>
      <c r="EEU226" s="4"/>
      <c r="EEW226" s="4"/>
      <c r="EEY226" s="4"/>
      <c r="EFA226" s="4"/>
      <c r="EFC226" s="4"/>
      <c r="EFE226" s="4"/>
      <c r="EFG226" s="4"/>
      <c r="EFI226" s="4"/>
      <c r="EFK226" s="4"/>
      <c r="EFM226" s="4"/>
      <c r="EFO226" s="4"/>
      <c r="EFQ226" s="4"/>
      <c r="EFS226" s="4"/>
      <c r="EFU226" s="4"/>
      <c r="EFW226" s="4"/>
      <c r="EFY226" s="4"/>
      <c r="EGA226" s="4"/>
      <c r="EGC226" s="4"/>
      <c r="EGE226" s="4"/>
      <c r="EGG226" s="4"/>
      <c r="EGI226" s="4"/>
      <c r="EGK226" s="4"/>
      <c r="EGM226" s="4"/>
      <c r="EGO226" s="4"/>
      <c r="EGQ226" s="4"/>
      <c r="EGS226" s="4"/>
      <c r="EGU226" s="4"/>
      <c r="EGW226" s="4"/>
      <c r="EGY226" s="4"/>
      <c r="EHA226" s="4"/>
      <c r="EHC226" s="4"/>
      <c r="EHE226" s="4"/>
      <c r="EHG226" s="4"/>
      <c r="EHI226" s="4"/>
      <c r="EHK226" s="4"/>
      <c r="EHM226" s="4"/>
      <c r="EHO226" s="4"/>
      <c r="EHQ226" s="4"/>
      <c r="EHS226" s="4"/>
      <c r="EHU226" s="4"/>
      <c r="EHW226" s="4"/>
      <c r="EHY226" s="4"/>
      <c r="EIA226" s="4"/>
      <c r="EIC226" s="4"/>
      <c r="EIE226" s="4"/>
      <c r="EIG226" s="4"/>
      <c r="EII226" s="4"/>
      <c r="EIK226" s="4"/>
      <c r="EIM226" s="4"/>
      <c r="EIO226" s="4"/>
      <c r="EIQ226" s="4"/>
      <c r="EIS226" s="4"/>
      <c r="EIU226" s="4"/>
      <c r="EIW226" s="4"/>
      <c r="EIY226" s="4"/>
      <c r="EJA226" s="4"/>
      <c r="EJC226" s="4"/>
      <c r="EJE226" s="4"/>
      <c r="EJG226" s="4"/>
      <c r="EJI226" s="4"/>
      <c r="EJK226" s="4"/>
      <c r="EJM226" s="4"/>
      <c r="EJO226" s="4"/>
      <c r="EJQ226" s="4"/>
      <c r="EJS226" s="4"/>
      <c r="EJU226" s="4"/>
      <c r="EJW226" s="4"/>
      <c r="EJY226" s="4"/>
      <c r="EKA226" s="4"/>
      <c r="EKC226" s="4"/>
      <c r="EKE226" s="4"/>
      <c r="EKG226" s="4"/>
      <c r="EKI226" s="4"/>
      <c r="EKK226" s="4"/>
      <c r="EKM226" s="4"/>
      <c r="EKO226" s="4"/>
      <c r="EKQ226" s="4"/>
      <c r="EKS226" s="4"/>
      <c r="EKU226" s="4"/>
      <c r="EKW226" s="4"/>
      <c r="EKY226" s="4"/>
      <c r="ELA226" s="4"/>
      <c r="ELC226" s="4"/>
      <c r="ELE226" s="4"/>
      <c r="ELG226" s="4"/>
      <c r="ELI226" s="4"/>
      <c r="ELK226" s="4"/>
      <c r="ELM226" s="4"/>
      <c r="ELO226" s="4"/>
      <c r="ELQ226" s="4"/>
      <c r="ELS226" s="4"/>
      <c r="ELU226" s="4"/>
      <c r="ELW226" s="4"/>
      <c r="ELY226" s="4"/>
      <c r="EMA226" s="4"/>
      <c r="EMC226" s="4"/>
      <c r="EME226" s="4"/>
      <c r="EMG226" s="4"/>
      <c r="EMI226" s="4"/>
      <c r="EMK226" s="4"/>
      <c r="EMM226" s="4"/>
      <c r="EMO226" s="4"/>
      <c r="EMQ226" s="4"/>
      <c r="EMS226" s="4"/>
      <c r="EMU226" s="4"/>
      <c r="EMW226" s="4"/>
      <c r="EMY226" s="4"/>
      <c r="ENA226" s="4"/>
      <c r="ENC226" s="4"/>
      <c r="ENE226" s="4"/>
      <c r="ENG226" s="4"/>
      <c r="ENI226" s="4"/>
      <c r="ENK226" s="4"/>
      <c r="ENM226" s="4"/>
      <c r="ENO226" s="4"/>
      <c r="ENQ226" s="4"/>
      <c r="ENS226" s="4"/>
      <c r="ENU226" s="4"/>
      <c r="ENW226" s="4"/>
      <c r="ENY226" s="4"/>
      <c r="EOA226" s="4"/>
      <c r="EOC226" s="4"/>
      <c r="EOE226" s="4"/>
      <c r="EOG226" s="4"/>
      <c r="EOI226" s="4"/>
      <c r="EOK226" s="4"/>
      <c r="EOM226" s="4"/>
      <c r="EOO226" s="4"/>
      <c r="EOQ226" s="4"/>
      <c r="EOS226" s="4"/>
      <c r="EOU226" s="4"/>
      <c r="EOW226" s="4"/>
      <c r="EOY226" s="4"/>
      <c r="EPA226" s="4"/>
      <c r="EPC226" s="4"/>
      <c r="EPE226" s="4"/>
      <c r="EPG226" s="4"/>
      <c r="EPI226" s="4"/>
      <c r="EPK226" s="4"/>
      <c r="EPM226" s="4"/>
      <c r="EPO226" s="4"/>
      <c r="EPQ226" s="4"/>
      <c r="EPS226" s="4"/>
      <c r="EPU226" s="4"/>
      <c r="EPW226" s="4"/>
      <c r="EPY226" s="4"/>
      <c r="EQA226" s="4"/>
      <c r="EQC226" s="4"/>
      <c r="EQE226" s="4"/>
      <c r="EQG226" s="4"/>
      <c r="EQI226" s="4"/>
      <c r="EQK226" s="4"/>
      <c r="EQM226" s="4"/>
      <c r="EQO226" s="4"/>
      <c r="EQQ226" s="4"/>
      <c r="EQS226" s="4"/>
      <c r="EQU226" s="4"/>
      <c r="EQW226" s="4"/>
      <c r="EQY226" s="4"/>
      <c r="ERA226" s="4"/>
      <c r="ERC226" s="4"/>
      <c r="ERE226" s="4"/>
      <c r="ERG226" s="4"/>
      <c r="ERI226" s="4"/>
      <c r="ERK226" s="4"/>
      <c r="ERM226" s="4"/>
      <c r="ERO226" s="4"/>
      <c r="ERQ226" s="4"/>
      <c r="ERS226" s="4"/>
      <c r="ERU226" s="4"/>
      <c r="ERW226" s="4"/>
      <c r="ERY226" s="4"/>
      <c r="ESA226" s="4"/>
      <c r="ESC226" s="4"/>
      <c r="ESE226" s="4"/>
      <c r="ESG226" s="4"/>
      <c r="ESI226" s="4"/>
      <c r="ESK226" s="4"/>
      <c r="ESM226" s="4"/>
      <c r="ESO226" s="4"/>
      <c r="ESQ226" s="4"/>
      <c r="ESS226" s="4"/>
      <c r="ESU226" s="4"/>
      <c r="ESW226" s="4"/>
      <c r="ESY226" s="4"/>
      <c r="ETA226" s="4"/>
      <c r="ETC226" s="4"/>
      <c r="ETE226" s="4"/>
      <c r="ETG226" s="4"/>
      <c r="ETI226" s="4"/>
      <c r="ETK226" s="4"/>
      <c r="ETM226" s="4"/>
      <c r="ETO226" s="4"/>
      <c r="ETQ226" s="4"/>
      <c r="ETS226" s="4"/>
      <c r="ETU226" s="4"/>
      <c r="ETW226" s="4"/>
      <c r="ETY226" s="4"/>
      <c r="EUA226" s="4"/>
      <c r="EUC226" s="4"/>
      <c r="EUE226" s="4"/>
      <c r="EUG226" s="4"/>
      <c r="EUI226" s="4"/>
      <c r="EUK226" s="4"/>
      <c r="EUM226" s="4"/>
      <c r="EUO226" s="4"/>
      <c r="EUQ226" s="4"/>
      <c r="EUS226" s="4"/>
      <c r="EUU226" s="4"/>
      <c r="EUW226" s="4"/>
      <c r="EUY226" s="4"/>
      <c r="EVA226" s="4"/>
      <c r="EVC226" s="4"/>
      <c r="EVE226" s="4"/>
      <c r="EVG226" s="4"/>
      <c r="EVI226" s="4"/>
      <c r="EVK226" s="4"/>
      <c r="EVM226" s="4"/>
      <c r="EVO226" s="4"/>
      <c r="EVQ226" s="4"/>
      <c r="EVS226" s="4"/>
      <c r="EVU226" s="4"/>
      <c r="EVW226" s="4"/>
      <c r="EVY226" s="4"/>
      <c r="EWA226" s="4"/>
      <c r="EWC226" s="4"/>
      <c r="EWE226" s="4"/>
      <c r="EWG226" s="4"/>
      <c r="EWI226" s="4"/>
      <c r="EWK226" s="4"/>
      <c r="EWM226" s="4"/>
      <c r="EWO226" s="4"/>
      <c r="EWQ226" s="4"/>
      <c r="EWS226" s="4"/>
      <c r="EWU226" s="4"/>
      <c r="EWW226" s="4"/>
      <c r="EWY226" s="4"/>
      <c r="EXA226" s="4"/>
      <c r="EXC226" s="4"/>
      <c r="EXE226" s="4"/>
      <c r="EXG226" s="4"/>
      <c r="EXI226" s="4"/>
      <c r="EXK226" s="4"/>
      <c r="EXM226" s="4"/>
      <c r="EXO226" s="4"/>
      <c r="EXQ226" s="4"/>
      <c r="EXS226" s="4"/>
      <c r="EXU226" s="4"/>
      <c r="EXW226" s="4"/>
      <c r="EXY226" s="4"/>
      <c r="EYA226" s="4"/>
      <c r="EYC226" s="4"/>
      <c r="EYE226" s="4"/>
      <c r="EYG226" s="4"/>
      <c r="EYI226" s="4"/>
      <c r="EYK226" s="4"/>
      <c r="EYM226" s="4"/>
      <c r="EYO226" s="4"/>
      <c r="EYQ226" s="4"/>
      <c r="EYS226" s="4"/>
      <c r="EYU226" s="4"/>
      <c r="EYW226" s="4"/>
      <c r="EYY226" s="4"/>
      <c r="EZA226" s="4"/>
      <c r="EZC226" s="4"/>
      <c r="EZE226" s="4"/>
      <c r="EZG226" s="4"/>
      <c r="EZI226" s="4"/>
      <c r="EZK226" s="4"/>
      <c r="EZM226" s="4"/>
      <c r="EZO226" s="4"/>
      <c r="EZQ226" s="4"/>
      <c r="EZS226" s="4"/>
      <c r="EZU226" s="4"/>
      <c r="EZW226" s="4"/>
      <c r="EZY226" s="4"/>
      <c r="FAA226" s="4"/>
      <c r="FAC226" s="4"/>
      <c r="FAE226" s="4"/>
      <c r="FAG226" s="4"/>
      <c r="FAI226" s="4"/>
      <c r="FAK226" s="4"/>
      <c r="FAM226" s="4"/>
      <c r="FAO226" s="4"/>
      <c r="FAQ226" s="4"/>
      <c r="FAS226" s="4"/>
      <c r="FAU226" s="4"/>
      <c r="FAW226" s="4"/>
      <c r="FAY226" s="4"/>
      <c r="FBA226" s="4"/>
      <c r="FBC226" s="4"/>
      <c r="FBE226" s="4"/>
      <c r="FBG226" s="4"/>
      <c r="FBI226" s="4"/>
      <c r="FBK226" s="4"/>
      <c r="FBM226" s="4"/>
      <c r="FBO226" s="4"/>
      <c r="FBQ226" s="4"/>
      <c r="FBS226" s="4"/>
      <c r="FBU226" s="4"/>
      <c r="FBW226" s="4"/>
      <c r="FBY226" s="4"/>
      <c r="FCA226" s="4"/>
      <c r="FCC226" s="4"/>
      <c r="FCE226" s="4"/>
      <c r="FCG226" s="4"/>
      <c r="FCI226" s="4"/>
      <c r="FCK226" s="4"/>
      <c r="FCM226" s="4"/>
      <c r="FCO226" s="4"/>
      <c r="FCQ226" s="4"/>
      <c r="FCS226" s="4"/>
      <c r="FCU226" s="4"/>
      <c r="FCW226" s="4"/>
      <c r="FCY226" s="4"/>
      <c r="FDA226" s="4"/>
      <c r="FDC226" s="4"/>
      <c r="FDE226" s="4"/>
      <c r="FDG226" s="4"/>
      <c r="FDI226" s="4"/>
      <c r="FDK226" s="4"/>
      <c r="FDM226" s="4"/>
      <c r="FDO226" s="4"/>
      <c r="FDQ226" s="4"/>
      <c r="FDS226" s="4"/>
      <c r="FDU226" s="4"/>
      <c r="FDW226" s="4"/>
      <c r="FDY226" s="4"/>
      <c r="FEA226" s="4"/>
      <c r="FEC226" s="4"/>
      <c r="FEE226" s="4"/>
      <c r="FEG226" s="4"/>
      <c r="FEI226" s="4"/>
      <c r="FEK226" s="4"/>
      <c r="FEM226" s="4"/>
      <c r="FEO226" s="4"/>
      <c r="FEQ226" s="4"/>
      <c r="FES226" s="4"/>
      <c r="FEU226" s="4"/>
      <c r="FEW226" s="4"/>
      <c r="FEY226" s="4"/>
      <c r="FFA226" s="4"/>
      <c r="FFC226" s="4"/>
      <c r="FFE226" s="4"/>
      <c r="FFG226" s="4"/>
      <c r="FFI226" s="4"/>
      <c r="FFK226" s="4"/>
      <c r="FFM226" s="4"/>
      <c r="FFO226" s="4"/>
      <c r="FFQ226" s="4"/>
      <c r="FFS226" s="4"/>
      <c r="FFU226" s="4"/>
      <c r="FFW226" s="4"/>
      <c r="FFY226" s="4"/>
      <c r="FGA226" s="4"/>
      <c r="FGC226" s="4"/>
      <c r="FGE226" s="4"/>
      <c r="FGG226" s="4"/>
      <c r="FGI226" s="4"/>
      <c r="FGK226" s="4"/>
      <c r="FGM226" s="4"/>
      <c r="FGO226" s="4"/>
      <c r="FGQ226" s="4"/>
      <c r="FGS226" s="4"/>
      <c r="FGU226" s="4"/>
      <c r="FGW226" s="4"/>
      <c r="FGY226" s="4"/>
      <c r="FHA226" s="4"/>
      <c r="FHC226" s="4"/>
      <c r="FHE226" s="4"/>
      <c r="FHG226" s="4"/>
      <c r="FHI226" s="4"/>
      <c r="FHK226" s="4"/>
      <c r="FHM226" s="4"/>
      <c r="FHO226" s="4"/>
      <c r="FHQ226" s="4"/>
      <c r="FHS226" s="4"/>
      <c r="FHU226" s="4"/>
      <c r="FHW226" s="4"/>
      <c r="FHY226" s="4"/>
      <c r="FIA226" s="4"/>
      <c r="FIC226" s="4"/>
      <c r="FIE226" s="4"/>
      <c r="FIG226" s="4"/>
      <c r="FII226" s="4"/>
      <c r="FIK226" s="4"/>
      <c r="FIM226" s="4"/>
      <c r="FIO226" s="4"/>
      <c r="FIQ226" s="4"/>
      <c r="FIS226" s="4"/>
      <c r="FIU226" s="4"/>
      <c r="FIW226" s="4"/>
      <c r="FIY226" s="4"/>
      <c r="FJA226" s="4"/>
      <c r="FJC226" s="4"/>
      <c r="FJE226" s="4"/>
      <c r="FJG226" s="4"/>
      <c r="FJI226" s="4"/>
      <c r="FJK226" s="4"/>
      <c r="FJM226" s="4"/>
      <c r="FJO226" s="4"/>
      <c r="FJQ226" s="4"/>
      <c r="FJS226" s="4"/>
      <c r="FJU226" s="4"/>
      <c r="FJW226" s="4"/>
      <c r="FJY226" s="4"/>
      <c r="FKA226" s="4"/>
      <c r="FKC226" s="4"/>
      <c r="FKE226" s="4"/>
      <c r="FKG226" s="4"/>
      <c r="FKI226" s="4"/>
      <c r="FKK226" s="4"/>
      <c r="FKM226" s="4"/>
      <c r="FKO226" s="4"/>
      <c r="FKQ226" s="4"/>
      <c r="FKS226" s="4"/>
      <c r="FKU226" s="4"/>
      <c r="FKW226" s="4"/>
      <c r="FKY226" s="4"/>
      <c r="FLA226" s="4"/>
      <c r="FLC226" s="4"/>
      <c r="FLE226" s="4"/>
      <c r="FLG226" s="4"/>
      <c r="FLI226" s="4"/>
      <c r="FLK226" s="4"/>
      <c r="FLM226" s="4"/>
      <c r="FLO226" s="4"/>
      <c r="FLQ226" s="4"/>
      <c r="FLS226" s="4"/>
      <c r="FLU226" s="4"/>
      <c r="FLW226" s="4"/>
      <c r="FLY226" s="4"/>
      <c r="FMA226" s="4"/>
      <c r="FMC226" s="4"/>
      <c r="FME226" s="4"/>
      <c r="FMG226" s="4"/>
      <c r="FMI226" s="4"/>
      <c r="FMK226" s="4"/>
      <c r="FMM226" s="4"/>
      <c r="FMO226" s="4"/>
      <c r="FMQ226" s="4"/>
      <c r="FMS226" s="4"/>
      <c r="FMU226" s="4"/>
      <c r="FMW226" s="4"/>
      <c r="FMY226" s="4"/>
      <c r="FNA226" s="4"/>
      <c r="FNC226" s="4"/>
      <c r="FNE226" s="4"/>
      <c r="FNG226" s="4"/>
      <c r="FNI226" s="4"/>
      <c r="FNK226" s="4"/>
      <c r="FNM226" s="4"/>
      <c r="FNO226" s="4"/>
      <c r="FNQ226" s="4"/>
      <c r="FNS226" s="4"/>
      <c r="FNU226" s="4"/>
      <c r="FNW226" s="4"/>
      <c r="FNY226" s="4"/>
      <c r="FOA226" s="4"/>
      <c r="FOC226" s="4"/>
      <c r="FOE226" s="4"/>
      <c r="FOG226" s="4"/>
      <c r="FOI226" s="4"/>
      <c r="FOK226" s="4"/>
      <c r="FOM226" s="4"/>
      <c r="FOO226" s="4"/>
      <c r="FOQ226" s="4"/>
      <c r="FOS226" s="4"/>
      <c r="FOU226" s="4"/>
      <c r="FOW226" s="4"/>
      <c r="FOY226" s="4"/>
      <c r="FPA226" s="4"/>
      <c r="FPC226" s="4"/>
      <c r="FPE226" s="4"/>
      <c r="FPG226" s="4"/>
      <c r="FPI226" s="4"/>
      <c r="FPK226" s="4"/>
      <c r="FPM226" s="4"/>
      <c r="FPO226" s="4"/>
      <c r="FPQ226" s="4"/>
      <c r="FPS226" s="4"/>
      <c r="FPU226" s="4"/>
      <c r="FPW226" s="4"/>
      <c r="FPY226" s="4"/>
      <c r="FQA226" s="4"/>
      <c r="FQC226" s="4"/>
      <c r="FQE226" s="4"/>
      <c r="FQG226" s="4"/>
      <c r="FQI226" s="4"/>
      <c r="FQK226" s="4"/>
      <c r="FQM226" s="4"/>
      <c r="FQO226" s="4"/>
      <c r="FQQ226" s="4"/>
      <c r="FQS226" s="4"/>
      <c r="FQU226" s="4"/>
      <c r="FQW226" s="4"/>
      <c r="FQY226" s="4"/>
      <c r="FRA226" s="4"/>
      <c r="FRC226" s="4"/>
      <c r="FRE226" s="4"/>
      <c r="FRG226" s="4"/>
      <c r="FRI226" s="4"/>
      <c r="FRK226" s="4"/>
      <c r="FRM226" s="4"/>
      <c r="FRO226" s="4"/>
      <c r="FRQ226" s="4"/>
      <c r="FRS226" s="4"/>
      <c r="FRU226" s="4"/>
      <c r="FRW226" s="4"/>
      <c r="FRY226" s="4"/>
      <c r="FSA226" s="4"/>
      <c r="FSC226" s="4"/>
      <c r="FSE226" s="4"/>
      <c r="FSG226" s="4"/>
      <c r="FSI226" s="4"/>
      <c r="FSK226" s="4"/>
      <c r="FSM226" s="4"/>
      <c r="FSO226" s="4"/>
      <c r="FSQ226" s="4"/>
      <c r="FSS226" s="4"/>
      <c r="FSU226" s="4"/>
      <c r="FSW226" s="4"/>
      <c r="FSY226" s="4"/>
      <c r="FTA226" s="4"/>
      <c r="FTC226" s="4"/>
      <c r="FTE226" s="4"/>
      <c r="FTG226" s="4"/>
      <c r="FTI226" s="4"/>
      <c r="FTK226" s="4"/>
      <c r="FTM226" s="4"/>
      <c r="FTO226" s="4"/>
      <c r="FTQ226" s="4"/>
      <c r="FTS226" s="4"/>
      <c r="FTU226" s="4"/>
      <c r="FTW226" s="4"/>
      <c r="FTY226" s="4"/>
      <c r="FUA226" s="4"/>
      <c r="FUC226" s="4"/>
      <c r="FUE226" s="4"/>
      <c r="FUG226" s="4"/>
      <c r="FUI226" s="4"/>
      <c r="FUK226" s="4"/>
      <c r="FUM226" s="4"/>
      <c r="FUO226" s="4"/>
      <c r="FUQ226" s="4"/>
      <c r="FUS226" s="4"/>
      <c r="FUU226" s="4"/>
      <c r="FUW226" s="4"/>
      <c r="FUY226" s="4"/>
      <c r="FVA226" s="4"/>
      <c r="FVC226" s="4"/>
      <c r="FVE226" s="4"/>
      <c r="FVG226" s="4"/>
      <c r="FVI226" s="4"/>
      <c r="FVK226" s="4"/>
      <c r="FVM226" s="4"/>
      <c r="FVO226" s="4"/>
      <c r="FVQ226" s="4"/>
      <c r="FVS226" s="4"/>
      <c r="FVU226" s="4"/>
      <c r="FVW226" s="4"/>
      <c r="FVY226" s="4"/>
      <c r="FWA226" s="4"/>
      <c r="FWC226" s="4"/>
      <c r="FWE226" s="4"/>
      <c r="FWG226" s="4"/>
      <c r="FWI226" s="4"/>
      <c r="FWK226" s="4"/>
      <c r="FWM226" s="4"/>
      <c r="FWO226" s="4"/>
      <c r="FWQ226" s="4"/>
      <c r="FWS226" s="4"/>
      <c r="FWU226" s="4"/>
      <c r="FWW226" s="4"/>
      <c r="FWY226" s="4"/>
      <c r="FXA226" s="4"/>
      <c r="FXC226" s="4"/>
      <c r="FXE226" s="4"/>
      <c r="FXG226" s="4"/>
      <c r="FXI226" s="4"/>
      <c r="FXK226" s="4"/>
      <c r="FXM226" s="4"/>
      <c r="FXO226" s="4"/>
      <c r="FXQ226" s="4"/>
      <c r="FXS226" s="4"/>
      <c r="FXU226" s="4"/>
      <c r="FXW226" s="4"/>
      <c r="FXY226" s="4"/>
      <c r="FYA226" s="4"/>
      <c r="FYC226" s="4"/>
      <c r="FYE226" s="4"/>
      <c r="FYG226" s="4"/>
      <c r="FYI226" s="4"/>
      <c r="FYK226" s="4"/>
      <c r="FYM226" s="4"/>
      <c r="FYO226" s="4"/>
      <c r="FYQ226" s="4"/>
      <c r="FYS226" s="4"/>
      <c r="FYU226" s="4"/>
      <c r="FYW226" s="4"/>
      <c r="FYY226" s="4"/>
      <c r="FZA226" s="4"/>
      <c r="FZC226" s="4"/>
      <c r="FZE226" s="4"/>
      <c r="FZG226" s="4"/>
      <c r="FZI226" s="4"/>
      <c r="FZK226" s="4"/>
      <c r="FZM226" s="4"/>
      <c r="FZO226" s="4"/>
      <c r="FZQ226" s="4"/>
      <c r="FZS226" s="4"/>
      <c r="FZU226" s="4"/>
      <c r="FZW226" s="4"/>
      <c r="FZY226" s="4"/>
      <c r="GAA226" s="4"/>
      <c r="GAC226" s="4"/>
      <c r="GAE226" s="4"/>
      <c r="GAG226" s="4"/>
      <c r="GAI226" s="4"/>
      <c r="GAK226" s="4"/>
      <c r="GAM226" s="4"/>
      <c r="GAO226" s="4"/>
      <c r="GAQ226" s="4"/>
      <c r="GAS226" s="4"/>
      <c r="GAU226" s="4"/>
      <c r="GAW226" s="4"/>
      <c r="GAY226" s="4"/>
      <c r="GBA226" s="4"/>
      <c r="GBC226" s="4"/>
      <c r="GBE226" s="4"/>
      <c r="GBG226" s="4"/>
      <c r="GBI226" s="4"/>
      <c r="GBK226" s="4"/>
      <c r="GBM226" s="4"/>
      <c r="GBO226" s="4"/>
      <c r="GBQ226" s="4"/>
      <c r="GBS226" s="4"/>
      <c r="GBU226" s="4"/>
      <c r="GBW226" s="4"/>
      <c r="GBY226" s="4"/>
      <c r="GCA226" s="4"/>
      <c r="GCC226" s="4"/>
      <c r="GCE226" s="4"/>
      <c r="GCG226" s="4"/>
      <c r="GCI226" s="4"/>
      <c r="GCK226" s="4"/>
      <c r="GCM226" s="4"/>
      <c r="GCO226" s="4"/>
      <c r="GCQ226" s="4"/>
      <c r="GCS226" s="4"/>
      <c r="GCU226" s="4"/>
      <c r="GCW226" s="4"/>
      <c r="GCY226" s="4"/>
      <c r="GDA226" s="4"/>
      <c r="GDC226" s="4"/>
      <c r="GDE226" s="4"/>
      <c r="GDG226" s="4"/>
      <c r="GDI226" s="4"/>
      <c r="GDK226" s="4"/>
      <c r="GDM226" s="4"/>
      <c r="GDO226" s="4"/>
      <c r="GDQ226" s="4"/>
      <c r="GDS226" s="4"/>
      <c r="GDU226" s="4"/>
      <c r="GDW226" s="4"/>
      <c r="GDY226" s="4"/>
      <c r="GEA226" s="4"/>
      <c r="GEC226" s="4"/>
      <c r="GEE226" s="4"/>
      <c r="GEG226" s="4"/>
      <c r="GEI226" s="4"/>
      <c r="GEK226" s="4"/>
      <c r="GEM226" s="4"/>
      <c r="GEO226" s="4"/>
      <c r="GEQ226" s="4"/>
      <c r="GES226" s="4"/>
      <c r="GEU226" s="4"/>
      <c r="GEW226" s="4"/>
      <c r="GEY226" s="4"/>
      <c r="GFA226" s="4"/>
      <c r="GFC226" s="4"/>
      <c r="GFE226" s="4"/>
      <c r="GFG226" s="4"/>
      <c r="GFI226" s="4"/>
      <c r="GFK226" s="4"/>
      <c r="GFM226" s="4"/>
      <c r="GFO226" s="4"/>
      <c r="GFQ226" s="4"/>
      <c r="GFS226" s="4"/>
      <c r="GFU226" s="4"/>
      <c r="GFW226" s="4"/>
      <c r="GFY226" s="4"/>
      <c r="GGA226" s="4"/>
      <c r="GGC226" s="4"/>
      <c r="GGE226" s="4"/>
      <c r="GGG226" s="4"/>
      <c r="GGI226" s="4"/>
      <c r="GGK226" s="4"/>
      <c r="GGM226" s="4"/>
      <c r="GGO226" s="4"/>
      <c r="GGQ226" s="4"/>
      <c r="GGS226" s="4"/>
      <c r="GGU226" s="4"/>
      <c r="GGW226" s="4"/>
      <c r="GGY226" s="4"/>
      <c r="GHA226" s="4"/>
      <c r="GHC226" s="4"/>
      <c r="GHE226" s="4"/>
      <c r="GHG226" s="4"/>
      <c r="GHI226" s="4"/>
      <c r="GHK226" s="4"/>
      <c r="GHM226" s="4"/>
      <c r="GHO226" s="4"/>
      <c r="GHQ226" s="4"/>
      <c r="GHS226" s="4"/>
      <c r="GHU226" s="4"/>
      <c r="GHW226" s="4"/>
      <c r="GHY226" s="4"/>
      <c r="GIA226" s="4"/>
      <c r="GIC226" s="4"/>
      <c r="GIE226" s="4"/>
      <c r="GIG226" s="4"/>
      <c r="GII226" s="4"/>
      <c r="GIK226" s="4"/>
      <c r="GIM226" s="4"/>
      <c r="GIO226" s="4"/>
      <c r="GIQ226" s="4"/>
      <c r="GIS226" s="4"/>
      <c r="GIU226" s="4"/>
      <c r="GIW226" s="4"/>
      <c r="GIY226" s="4"/>
      <c r="GJA226" s="4"/>
      <c r="GJC226" s="4"/>
      <c r="GJE226" s="4"/>
      <c r="GJG226" s="4"/>
      <c r="GJI226" s="4"/>
      <c r="GJK226" s="4"/>
      <c r="GJM226" s="4"/>
      <c r="GJO226" s="4"/>
      <c r="GJQ226" s="4"/>
      <c r="GJS226" s="4"/>
      <c r="GJU226" s="4"/>
      <c r="GJW226" s="4"/>
      <c r="GJY226" s="4"/>
      <c r="GKA226" s="4"/>
      <c r="GKC226" s="4"/>
      <c r="GKE226" s="4"/>
      <c r="GKG226" s="4"/>
      <c r="GKI226" s="4"/>
      <c r="GKK226" s="4"/>
      <c r="GKM226" s="4"/>
      <c r="GKO226" s="4"/>
      <c r="GKQ226" s="4"/>
      <c r="GKS226" s="4"/>
      <c r="GKU226" s="4"/>
      <c r="GKW226" s="4"/>
      <c r="GKY226" s="4"/>
      <c r="GLA226" s="4"/>
      <c r="GLC226" s="4"/>
      <c r="GLE226" s="4"/>
      <c r="GLG226" s="4"/>
      <c r="GLI226" s="4"/>
      <c r="GLK226" s="4"/>
      <c r="GLM226" s="4"/>
      <c r="GLO226" s="4"/>
      <c r="GLQ226" s="4"/>
      <c r="GLS226" s="4"/>
      <c r="GLU226" s="4"/>
      <c r="GLW226" s="4"/>
      <c r="GLY226" s="4"/>
      <c r="GMA226" s="4"/>
      <c r="GMC226" s="4"/>
      <c r="GME226" s="4"/>
      <c r="GMG226" s="4"/>
      <c r="GMI226" s="4"/>
      <c r="GMK226" s="4"/>
      <c r="GMM226" s="4"/>
      <c r="GMO226" s="4"/>
      <c r="GMQ226" s="4"/>
      <c r="GMS226" s="4"/>
      <c r="GMU226" s="4"/>
      <c r="GMW226" s="4"/>
      <c r="GMY226" s="4"/>
      <c r="GNA226" s="4"/>
      <c r="GNC226" s="4"/>
      <c r="GNE226" s="4"/>
      <c r="GNG226" s="4"/>
      <c r="GNI226" s="4"/>
      <c r="GNK226" s="4"/>
      <c r="GNM226" s="4"/>
      <c r="GNO226" s="4"/>
      <c r="GNQ226" s="4"/>
      <c r="GNS226" s="4"/>
      <c r="GNU226" s="4"/>
      <c r="GNW226" s="4"/>
      <c r="GNY226" s="4"/>
      <c r="GOA226" s="4"/>
      <c r="GOC226" s="4"/>
      <c r="GOE226" s="4"/>
      <c r="GOG226" s="4"/>
      <c r="GOI226" s="4"/>
      <c r="GOK226" s="4"/>
      <c r="GOM226" s="4"/>
      <c r="GOO226" s="4"/>
      <c r="GOQ226" s="4"/>
      <c r="GOS226" s="4"/>
      <c r="GOU226" s="4"/>
      <c r="GOW226" s="4"/>
      <c r="GOY226" s="4"/>
      <c r="GPA226" s="4"/>
      <c r="GPC226" s="4"/>
      <c r="GPE226" s="4"/>
      <c r="GPG226" s="4"/>
      <c r="GPI226" s="4"/>
      <c r="GPK226" s="4"/>
      <c r="GPM226" s="4"/>
      <c r="GPO226" s="4"/>
      <c r="GPQ226" s="4"/>
      <c r="GPS226" s="4"/>
      <c r="GPU226" s="4"/>
      <c r="GPW226" s="4"/>
      <c r="GPY226" s="4"/>
      <c r="GQA226" s="4"/>
      <c r="GQC226" s="4"/>
      <c r="GQE226" s="4"/>
      <c r="GQG226" s="4"/>
      <c r="GQI226" s="4"/>
      <c r="GQK226" s="4"/>
      <c r="GQM226" s="4"/>
      <c r="GQO226" s="4"/>
      <c r="GQQ226" s="4"/>
      <c r="GQS226" s="4"/>
      <c r="GQU226" s="4"/>
      <c r="GQW226" s="4"/>
      <c r="GQY226" s="4"/>
      <c r="GRA226" s="4"/>
      <c r="GRC226" s="4"/>
      <c r="GRE226" s="4"/>
      <c r="GRG226" s="4"/>
      <c r="GRI226" s="4"/>
      <c r="GRK226" s="4"/>
      <c r="GRM226" s="4"/>
      <c r="GRO226" s="4"/>
      <c r="GRQ226" s="4"/>
      <c r="GRS226" s="4"/>
      <c r="GRU226" s="4"/>
      <c r="GRW226" s="4"/>
      <c r="GRY226" s="4"/>
      <c r="GSA226" s="4"/>
      <c r="GSC226" s="4"/>
      <c r="GSE226" s="4"/>
      <c r="GSG226" s="4"/>
      <c r="GSI226" s="4"/>
      <c r="GSK226" s="4"/>
      <c r="GSM226" s="4"/>
      <c r="GSO226" s="4"/>
      <c r="GSQ226" s="4"/>
      <c r="GSS226" s="4"/>
      <c r="GSU226" s="4"/>
      <c r="GSW226" s="4"/>
      <c r="GSY226" s="4"/>
      <c r="GTA226" s="4"/>
      <c r="GTC226" s="4"/>
      <c r="GTE226" s="4"/>
      <c r="GTG226" s="4"/>
      <c r="GTI226" s="4"/>
      <c r="GTK226" s="4"/>
      <c r="GTM226" s="4"/>
      <c r="GTO226" s="4"/>
      <c r="GTQ226" s="4"/>
      <c r="GTS226" s="4"/>
      <c r="GTU226" s="4"/>
      <c r="GTW226" s="4"/>
      <c r="GTY226" s="4"/>
      <c r="GUA226" s="4"/>
      <c r="GUC226" s="4"/>
      <c r="GUE226" s="4"/>
      <c r="GUG226" s="4"/>
      <c r="GUI226" s="4"/>
      <c r="GUK226" s="4"/>
      <c r="GUM226" s="4"/>
      <c r="GUO226" s="4"/>
      <c r="GUQ226" s="4"/>
      <c r="GUS226" s="4"/>
      <c r="GUU226" s="4"/>
      <c r="GUW226" s="4"/>
      <c r="GUY226" s="4"/>
      <c r="GVA226" s="4"/>
      <c r="GVC226" s="4"/>
      <c r="GVE226" s="4"/>
      <c r="GVG226" s="4"/>
      <c r="GVI226" s="4"/>
      <c r="GVK226" s="4"/>
      <c r="GVM226" s="4"/>
      <c r="GVO226" s="4"/>
      <c r="GVQ226" s="4"/>
      <c r="GVS226" s="4"/>
      <c r="GVU226" s="4"/>
      <c r="GVW226" s="4"/>
      <c r="GVY226" s="4"/>
      <c r="GWA226" s="4"/>
      <c r="GWC226" s="4"/>
      <c r="GWE226" s="4"/>
      <c r="GWG226" s="4"/>
      <c r="GWI226" s="4"/>
      <c r="GWK226" s="4"/>
      <c r="GWM226" s="4"/>
      <c r="GWO226" s="4"/>
      <c r="GWQ226" s="4"/>
      <c r="GWS226" s="4"/>
      <c r="GWU226" s="4"/>
      <c r="GWW226" s="4"/>
      <c r="GWY226" s="4"/>
      <c r="GXA226" s="4"/>
      <c r="GXC226" s="4"/>
      <c r="GXE226" s="4"/>
      <c r="GXG226" s="4"/>
      <c r="GXI226" s="4"/>
      <c r="GXK226" s="4"/>
      <c r="GXM226" s="4"/>
      <c r="GXO226" s="4"/>
      <c r="GXQ226" s="4"/>
      <c r="GXS226" s="4"/>
      <c r="GXU226" s="4"/>
      <c r="GXW226" s="4"/>
      <c r="GXY226" s="4"/>
      <c r="GYA226" s="4"/>
      <c r="GYC226" s="4"/>
      <c r="GYE226" s="4"/>
      <c r="GYG226" s="4"/>
      <c r="GYI226" s="4"/>
      <c r="GYK226" s="4"/>
      <c r="GYM226" s="4"/>
      <c r="GYO226" s="4"/>
      <c r="GYQ226" s="4"/>
      <c r="GYS226" s="4"/>
      <c r="GYU226" s="4"/>
      <c r="GYW226" s="4"/>
      <c r="GYY226" s="4"/>
      <c r="GZA226" s="4"/>
      <c r="GZC226" s="4"/>
      <c r="GZE226" s="4"/>
      <c r="GZG226" s="4"/>
      <c r="GZI226" s="4"/>
      <c r="GZK226" s="4"/>
      <c r="GZM226" s="4"/>
      <c r="GZO226" s="4"/>
      <c r="GZQ226" s="4"/>
      <c r="GZS226" s="4"/>
      <c r="GZU226" s="4"/>
      <c r="GZW226" s="4"/>
      <c r="GZY226" s="4"/>
      <c r="HAA226" s="4"/>
      <c r="HAC226" s="4"/>
      <c r="HAE226" s="4"/>
      <c r="HAG226" s="4"/>
      <c r="HAI226" s="4"/>
      <c r="HAK226" s="4"/>
      <c r="HAM226" s="4"/>
      <c r="HAO226" s="4"/>
      <c r="HAQ226" s="4"/>
      <c r="HAS226" s="4"/>
      <c r="HAU226" s="4"/>
      <c r="HAW226" s="4"/>
      <c r="HAY226" s="4"/>
      <c r="HBA226" s="4"/>
      <c r="HBC226" s="4"/>
      <c r="HBE226" s="4"/>
      <c r="HBG226" s="4"/>
      <c r="HBI226" s="4"/>
      <c r="HBK226" s="4"/>
      <c r="HBM226" s="4"/>
      <c r="HBO226" s="4"/>
      <c r="HBQ226" s="4"/>
      <c r="HBS226" s="4"/>
      <c r="HBU226" s="4"/>
      <c r="HBW226" s="4"/>
      <c r="HBY226" s="4"/>
      <c r="HCA226" s="4"/>
      <c r="HCC226" s="4"/>
      <c r="HCE226" s="4"/>
      <c r="HCG226" s="4"/>
      <c r="HCI226" s="4"/>
      <c r="HCK226" s="4"/>
      <c r="HCM226" s="4"/>
      <c r="HCO226" s="4"/>
      <c r="HCQ226" s="4"/>
      <c r="HCS226" s="4"/>
      <c r="HCU226" s="4"/>
      <c r="HCW226" s="4"/>
      <c r="HCY226" s="4"/>
      <c r="HDA226" s="4"/>
      <c r="HDC226" s="4"/>
      <c r="HDE226" s="4"/>
      <c r="HDG226" s="4"/>
      <c r="HDI226" s="4"/>
      <c r="HDK226" s="4"/>
      <c r="HDM226" s="4"/>
      <c r="HDO226" s="4"/>
      <c r="HDQ226" s="4"/>
      <c r="HDS226" s="4"/>
      <c r="HDU226" s="4"/>
      <c r="HDW226" s="4"/>
      <c r="HDY226" s="4"/>
      <c r="HEA226" s="4"/>
      <c r="HEC226" s="4"/>
      <c r="HEE226" s="4"/>
      <c r="HEG226" s="4"/>
      <c r="HEI226" s="4"/>
      <c r="HEK226" s="4"/>
      <c r="HEM226" s="4"/>
      <c r="HEO226" s="4"/>
      <c r="HEQ226" s="4"/>
      <c r="HES226" s="4"/>
      <c r="HEU226" s="4"/>
      <c r="HEW226" s="4"/>
      <c r="HEY226" s="4"/>
      <c r="HFA226" s="4"/>
      <c r="HFC226" s="4"/>
      <c r="HFE226" s="4"/>
      <c r="HFG226" s="4"/>
      <c r="HFI226" s="4"/>
      <c r="HFK226" s="4"/>
      <c r="HFM226" s="4"/>
      <c r="HFO226" s="4"/>
      <c r="HFQ226" s="4"/>
      <c r="HFS226" s="4"/>
      <c r="HFU226" s="4"/>
      <c r="HFW226" s="4"/>
      <c r="HFY226" s="4"/>
      <c r="HGA226" s="4"/>
      <c r="HGC226" s="4"/>
      <c r="HGE226" s="4"/>
      <c r="HGG226" s="4"/>
      <c r="HGI226" s="4"/>
      <c r="HGK226" s="4"/>
      <c r="HGM226" s="4"/>
      <c r="HGO226" s="4"/>
      <c r="HGQ226" s="4"/>
      <c r="HGS226" s="4"/>
      <c r="HGU226" s="4"/>
      <c r="HGW226" s="4"/>
      <c r="HGY226" s="4"/>
      <c r="HHA226" s="4"/>
      <c r="HHC226" s="4"/>
      <c r="HHE226" s="4"/>
      <c r="HHG226" s="4"/>
      <c r="HHI226" s="4"/>
      <c r="HHK226" s="4"/>
      <c r="HHM226" s="4"/>
      <c r="HHO226" s="4"/>
      <c r="HHQ226" s="4"/>
      <c r="HHS226" s="4"/>
      <c r="HHU226" s="4"/>
      <c r="HHW226" s="4"/>
      <c r="HHY226" s="4"/>
      <c r="HIA226" s="4"/>
      <c r="HIC226" s="4"/>
      <c r="HIE226" s="4"/>
      <c r="HIG226" s="4"/>
      <c r="HII226" s="4"/>
      <c r="HIK226" s="4"/>
      <c r="HIM226" s="4"/>
      <c r="HIO226" s="4"/>
      <c r="HIQ226" s="4"/>
      <c r="HIS226" s="4"/>
      <c r="HIU226" s="4"/>
      <c r="HIW226" s="4"/>
      <c r="HIY226" s="4"/>
      <c r="HJA226" s="4"/>
      <c r="HJC226" s="4"/>
      <c r="HJE226" s="4"/>
      <c r="HJG226" s="4"/>
      <c r="HJI226" s="4"/>
      <c r="HJK226" s="4"/>
      <c r="HJM226" s="4"/>
      <c r="HJO226" s="4"/>
      <c r="HJQ226" s="4"/>
      <c r="HJS226" s="4"/>
      <c r="HJU226" s="4"/>
      <c r="HJW226" s="4"/>
      <c r="HJY226" s="4"/>
      <c r="HKA226" s="4"/>
      <c r="HKC226" s="4"/>
      <c r="HKE226" s="4"/>
      <c r="HKG226" s="4"/>
      <c r="HKI226" s="4"/>
      <c r="HKK226" s="4"/>
      <c r="HKM226" s="4"/>
      <c r="HKO226" s="4"/>
      <c r="HKQ226" s="4"/>
      <c r="HKS226" s="4"/>
      <c r="HKU226" s="4"/>
      <c r="HKW226" s="4"/>
      <c r="HKY226" s="4"/>
      <c r="HLA226" s="4"/>
      <c r="HLC226" s="4"/>
      <c r="HLE226" s="4"/>
      <c r="HLG226" s="4"/>
      <c r="HLI226" s="4"/>
      <c r="HLK226" s="4"/>
      <c r="HLM226" s="4"/>
      <c r="HLO226" s="4"/>
      <c r="HLQ226" s="4"/>
      <c r="HLS226" s="4"/>
      <c r="HLU226" s="4"/>
      <c r="HLW226" s="4"/>
      <c r="HLY226" s="4"/>
      <c r="HMA226" s="4"/>
      <c r="HMC226" s="4"/>
      <c r="HME226" s="4"/>
      <c r="HMG226" s="4"/>
      <c r="HMI226" s="4"/>
      <c r="HMK226" s="4"/>
      <c r="HMM226" s="4"/>
      <c r="HMO226" s="4"/>
      <c r="HMQ226" s="4"/>
      <c r="HMS226" s="4"/>
      <c r="HMU226" s="4"/>
      <c r="HMW226" s="4"/>
      <c r="HMY226" s="4"/>
      <c r="HNA226" s="4"/>
      <c r="HNC226" s="4"/>
      <c r="HNE226" s="4"/>
      <c r="HNG226" s="4"/>
      <c r="HNI226" s="4"/>
      <c r="HNK226" s="4"/>
      <c r="HNM226" s="4"/>
      <c r="HNO226" s="4"/>
      <c r="HNQ226" s="4"/>
      <c r="HNS226" s="4"/>
      <c r="HNU226" s="4"/>
      <c r="HNW226" s="4"/>
      <c r="HNY226" s="4"/>
      <c r="HOA226" s="4"/>
      <c r="HOC226" s="4"/>
      <c r="HOE226" s="4"/>
      <c r="HOG226" s="4"/>
      <c r="HOI226" s="4"/>
      <c r="HOK226" s="4"/>
      <c r="HOM226" s="4"/>
      <c r="HOO226" s="4"/>
      <c r="HOQ226" s="4"/>
      <c r="HOS226" s="4"/>
      <c r="HOU226" s="4"/>
      <c r="HOW226" s="4"/>
      <c r="HOY226" s="4"/>
      <c r="HPA226" s="4"/>
      <c r="HPC226" s="4"/>
      <c r="HPE226" s="4"/>
      <c r="HPG226" s="4"/>
      <c r="HPI226" s="4"/>
      <c r="HPK226" s="4"/>
      <c r="HPM226" s="4"/>
      <c r="HPO226" s="4"/>
      <c r="HPQ226" s="4"/>
      <c r="HPS226" s="4"/>
      <c r="HPU226" s="4"/>
      <c r="HPW226" s="4"/>
      <c r="HPY226" s="4"/>
      <c r="HQA226" s="4"/>
      <c r="HQC226" s="4"/>
      <c r="HQE226" s="4"/>
      <c r="HQG226" s="4"/>
      <c r="HQI226" s="4"/>
      <c r="HQK226" s="4"/>
      <c r="HQM226" s="4"/>
      <c r="HQO226" s="4"/>
      <c r="HQQ226" s="4"/>
      <c r="HQS226" s="4"/>
      <c r="HQU226" s="4"/>
      <c r="HQW226" s="4"/>
      <c r="HQY226" s="4"/>
      <c r="HRA226" s="4"/>
      <c r="HRC226" s="4"/>
      <c r="HRE226" s="4"/>
      <c r="HRG226" s="4"/>
      <c r="HRI226" s="4"/>
      <c r="HRK226" s="4"/>
      <c r="HRM226" s="4"/>
      <c r="HRO226" s="4"/>
      <c r="HRQ226" s="4"/>
      <c r="HRS226" s="4"/>
      <c r="HRU226" s="4"/>
      <c r="HRW226" s="4"/>
      <c r="HRY226" s="4"/>
      <c r="HSA226" s="4"/>
      <c r="HSC226" s="4"/>
      <c r="HSE226" s="4"/>
      <c r="HSG226" s="4"/>
      <c r="HSI226" s="4"/>
      <c r="HSK226" s="4"/>
      <c r="HSM226" s="4"/>
      <c r="HSO226" s="4"/>
      <c r="HSQ226" s="4"/>
      <c r="HSS226" s="4"/>
      <c r="HSU226" s="4"/>
      <c r="HSW226" s="4"/>
      <c r="HSY226" s="4"/>
      <c r="HTA226" s="4"/>
      <c r="HTC226" s="4"/>
      <c r="HTE226" s="4"/>
      <c r="HTG226" s="4"/>
      <c r="HTI226" s="4"/>
      <c r="HTK226" s="4"/>
      <c r="HTM226" s="4"/>
      <c r="HTO226" s="4"/>
      <c r="HTQ226" s="4"/>
      <c r="HTS226" s="4"/>
      <c r="HTU226" s="4"/>
      <c r="HTW226" s="4"/>
      <c r="HTY226" s="4"/>
      <c r="HUA226" s="4"/>
      <c r="HUC226" s="4"/>
      <c r="HUE226" s="4"/>
      <c r="HUG226" s="4"/>
      <c r="HUI226" s="4"/>
      <c r="HUK226" s="4"/>
      <c r="HUM226" s="4"/>
      <c r="HUO226" s="4"/>
      <c r="HUQ226" s="4"/>
      <c r="HUS226" s="4"/>
      <c r="HUU226" s="4"/>
      <c r="HUW226" s="4"/>
      <c r="HUY226" s="4"/>
      <c r="HVA226" s="4"/>
      <c r="HVC226" s="4"/>
      <c r="HVE226" s="4"/>
      <c r="HVG226" s="4"/>
      <c r="HVI226" s="4"/>
      <c r="HVK226" s="4"/>
      <c r="HVM226" s="4"/>
      <c r="HVO226" s="4"/>
      <c r="HVQ226" s="4"/>
      <c r="HVS226" s="4"/>
      <c r="HVU226" s="4"/>
      <c r="HVW226" s="4"/>
      <c r="HVY226" s="4"/>
      <c r="HWA226" s="4"/>
      <c r="HWC226" s="4"/>
      <c r="HWE226" s="4"/>
      <c r="HWG226" s="4"/>
      <c r="HWI226" s="4"/>
      <c r="HWK226" s="4"/>
      <c r="HWM226" s="4"/>
      <c r="HWO226" s="4"/>
      <c r="HWQ226" s="4"/>
      <c r="HWS226" s="4"/>
      <c r="HWU226" s="4"/>
      <c r="HWW226" s="4"/>
      <c r="HWY226" s="4"/>
      <c r="HXA226" s="4"/>
      <c r="HXC226" s="4"/>
      <c r="HXE226" s="4"/>
      <c r="HXG226" s="4"/>
      <c r="HXI226" s="4"/>
      <c r="HXK226" s="4"/>
      <c r="HXM226" s="4"/>
      <c r="HXO226" s="4"/>
      <c r="HXQ226" s="4"/>
      <c r="HXS226" s="4"/>
      <c r="HXU226" s="4"/>
      <c r="HXW226" s="4"/>
      <c r="HXY226" s="4"/>
      <c r="HYA226" s="4"/>
      <c r="HYC226" s="4"/>
      <c r="HYE226" s="4"/>
      <c r="HYG226" s="4"/>
      <c r="HYI226" s="4"/>
      <c r="HYK226" s="4"/>
      <c r="HYM226" s="4"/>
      <c r="HYO226" s="4"/>
      <c r="HYQ226" s="4"/>
      <c r="HYS226" s="4"/>
      <c r="HYU226" s="4"/>
      <c r="HYW226" s="4"/>
      <c r="HYY226" s="4"/>
      <c r="HZA226" s="4"/>
      <c r="HZC226" s="4"/>
      <c r="HZE226" s="4"/>
      <c r="HZG226" s="4"/>
      <c r="HZI226" s="4"/>
      <c r="HZK226" s="4"/>
      <c r="HZM226" s="4"/>
      <c r="HZO226" s="4"/>
      <c r="HZQ226" s="4"/>
      <c r="HZS226" s="4"/>
      <c r="HZU226" s="4"/>
      <c r="HZW226" s="4"/>
      <c r="HZY226" s="4"/>
      <c r="IAA226" s="4"/>
      <c r="IAC226" s="4"/>
      <c r="IAE226" s="4"/>
      <c r="IAG226" s="4"/>
      <c r="IAI226" s="4"/>
      <c r="IAK226" s="4"/>
      <c r="IAM226" s="4"/>
      <c r="IAO226" s="4"/>
      <c r="IAQ226" s="4"/>
      <c r="IAS226" s="4"/>
      <c r="IAU226" s="4"/>
      <c r="IAW226" s="4"/>
      <c r="IAY226" s="4"/>
      <c r="IBA226" s="4"/>
      <c r="IBC226" s="4"/>
      <c r="IBE226" s="4"/>
      <c r="IBG226" s="4"/>
      <c r="IBI226" s="4"/>
      <c r="IBK226" s="4"/>
      <c r="IBM226" s="4"/>
      <c r="IBO226" s="4"/>
      <c r="IBQ226" s="4"/>
      <c r="IBS226" s="4"/>
      <c r="IBU226" s="4"/>
      <c r="IBW226" s="4"/>
      <c r="IBY226" s="4"/>
      <c r="ICA226" s="4"/>
      <c r="ICC226" s="4"/>
      <c r="ICE226" s="4"/>
      <c r="ICG226" s="4"/>
      <c r="ICI226" s="4"/>
      <c r="ICK226" s="4"/>
      <c r="ICM226" s="4"/>
      <c r="ICO226" s="4"/>
      <c r="ICQ226" s="4"/>
      <c r="ICS226" s="4"/>
      <c r="ICU226" s="4"/>
      <c r="ICW226" s="4"/>
      <c r="ICY226" s="4"/>
      <c r="IDA226" s="4"/>
      <c r="IDC226" s="4"/>
      <c r="IDE226" s="4"/>
      <c r="IDG226" s="4"/>
      <c r="IDI226" s="4"/>
      <c r="IDK226" s="4"/>
      <c r="IDM226" s="4"/>
      <c r="IDO226" s="4"/>
      <c r="IDQ226" s="4"/>
      <c r="IDS226" s="4"/>
      <c r="IDU226" s="4"/>
      <c r="IDW226" s="4"/>
      <c r="IDY226" s="4"/>
      <c r="IEA226" s="4"/>
      <c r="IEC226" s="4"/>
      <c r="IEE226" s="4"/>
      <c r="IEG226" s="4"/>
      <c r="IEI226" s="4"/>
      <c r="IEK226" s="4"/>
      <c r="IEM226" s="4"/>
      <c r="IEO226" s="4"/>
      <c r="IEQ226" s="4"/>
      <c r="IES226" s="4"/>
      <c r="IEU226" s="4"/>
      <c r="IEW226" s="4"/>
      <c r="IEY226" s="4"/>
      <c r="IFA226" s="4"/>
      <c r="IFC226" s="4"/>
      <c r="IFE226" s="4"/>
      <c r="IFG226" s="4"/>
      <c r="IFI226" s="4"/>
      <c r="IFK226" s="4"/>
      <c r="IFM226" s="4"/>
      <c r="IFO226" s="4"/>
      <c r="IFQ226" s="4"/>
      <c r="IFS226" s="4"/>
      <c r="IFU226" s="4"/>
      <c r="IFW226" s="4"/>
      <c r="IFY226" s="4"/>
      <c r="IGA226" s="4"/>
      <c r="IGC226" s="4"/>
      <c r="IGE226" s="4"/>
      <c r="IGG226" s="4"/>
      <c r="IGI226" s="4"/>
      <c r="IGK226" s="4"/>
      <c r="IGM226" s="4"/>
      <c r="IGO226" s="4"/>
      <c r="IGQ226" s="4"/>
      <c r="IGS226" s="4"/>
      <c r="IGU226" s="4"/>
      <c r="IGW226" s="4"/>
      <c r="IGY226" s="4"/>
      <c r="IHA226" s="4"/>
      <c r="IHC226" s="4"/>
      <c r="IHE226" s="4"/>
      <c r="IHG226" s="4"/>
      <c r="IHI226" s="4"/>
      <c r="IHK226" s="4"/>
      <c r="IHM226" s="4"/>
      <c r="IHO226" s="4"/>
      <c r="IHQ226" s="4"/>
      <c r="IHS226" s="4"/>
      <c r="IHU226" s="4"/>
      <c r="IHW226" s="4"/>
      <c r="IHY226" s="4"/>
      <c r="IIA226" s="4"/>
      <c r="IIC226" s="4"/>
      <c r="IIE226" s="4"/>
      <c r="IIG226" s="4"/>
      <c r="III226" s="4"/>
      <c r="IIK226" s="4"/>
      <c r="IIM226" s="4"/>
      <c r="IIO226" s="4"/>
      <c r="IIQ226" s="4"/>
      <c r="IIS226" s="4"/>
      <c r="IIU226" s="4"/>
      <c r="IIW226" s="4"/>
      <c r="IIY226" s="4"/>
      <c r="IJA226" s="4"/>
      <c r="IJC226" s="4"/>
      <c r="IJE226" s="4"/>
      <c r="IJG226" s="4"/>
      <c r="IJI226" s="4"/>
      <c r="IJK226" s="4"/>
      <c r="IJM226" s="4"/>
      <c r="IJO226" s="4"/>
      <c r="IJQ226" s="4"/>
      <c r="IJS226" s="4"/>
      <c r="IJU226" s="4"/>
      <c r="IJW226" s="4"/>
      <c r="IJY226" s="4"/>
      <c r="IKA226" s="4"/>
      <c r="IKC226" s="4"/>
      <c r="IKE226" s="4"/>
      <c r="IKG226" s="4"/>
      <c r="IKI226" s="4"/>
      <c r="IKK226" s="4"/>
      <c r="IKM226" s="4"/>
      <c r="IKO226" s="4"/>
      <c r="IKQ226" s="4"/>
      <c r="IKS226" s="4"/>
      <c r="IKU226" s="4"/>
      <c r="IKW226" s="4"/>
      <c r="IKY226" s="4"/>
      <c r="ILA226" s="4"/>
      <c r="ILC226" s="4"/>
      <c r="ILE226" s="4"/>
      <c r="ILG226" s="4"/>
      <c r="ILI226" s="4"/>
      <c r="ILK226" s="4"/>
      <c r="ILM226" s="4"/>
      <c r="ILO226" s="4"/>
      <c r="ILQ226" s="4"/>
      <c r="ILS226" s="4"/>
      <c r="ILU226" s="4"/>
      <c r="ILW226" s="4"/>
      <c r="ILY226" s="4"/>
      <c r="IMA226" s="4"/>
      <c r="IMC226" s="4"/>
      <c r="IME226" s="4"/>
      <c r="IMG226" s="4"/>
      <c r="IMI226" s="4"/>
      <c r="IMK226" s="4"/>
      <c r="IMM226" s="4"/>
      <c r="IMO226" s="4"/>
      <c r="IMQ226" s="4"/>
      <c r="IMS226" s="4"/>
      <c r="IMU226" s="4"/>
      <c r="IMW226" s="4"/>
      <c r="IMY226" s="4"/>
      <c r="INA226" s="4"/>
      <c r="INC226" s="4"/>
      <c r="INE226" s="4"/>
      <c r="ING226" s="4"/>
      <c r="INI226" s="4"/>
      <c r="INK226" s="4"/>
      <c r="INM226" s="4"/>
      <c r="INO226" s="4"/>
      <c r="INQ226" s="4"/>
      <c r="INS226" s="4"/>
      <c r="INU226" s="4"/>
      <c r="INW226" s="4"/>
      <c r="INY226" s="4"/>
      <c r="IOA226" s="4"/>
      <c r="IOC226" s="4"/>
      <c r="IOE226" s="4"/>
      <c r="IOG226" s="4"/>
      <c r="IOI226" s="4"/>
      <c r="IOK226" s="4"/>
      <c r="IOM226" s="4"/>
      <c r="IOO226" s="4"/>
      <c r="IOQ226" s="4"/>
      <c r="IOS226" s="4"/>
      <c r="IOU226" s="4"/>
      <c r="IOW226" s="4"/>
      <c r="IOY226" s="4"/>
      <c r="IPA226" s="4"/>
      <c r="IPC226" s="4"/>
      <c r="IPE226" s="4"/>
      <c r="IPG226" s="4"/>
      <c r="IPI226" s="4"/>
      <c r="IPK226" s="4"/>
      <c r="IPM226" s="4"/>
      <c r="IPO226" s="4"/>
      <c r="IPQ226" s="4"/>
      <c r="IPS226" s="4"/>
      <c r="IPU226" s="4"/>
      <c r="IPW226" s="4"/>
      <c r="IPY226" s="4"/>
      <c r="IQA226" s="4"/>
      <c r="IQC226" s="4"/>
      <c r="IQE226" s="4"/>
      <c r="IQG226" s="4"/>
      <c r="IQI226" s="4"/>
      <c r="IQK226" s="4"/>
      <c r="IQM226" s="4"/>
      <c r="IQO226" s="4"/>
      <c r="IQQ226" s="4"/>
      <c r="IQS226" s="4"/>
      <c r="IQU226" s="4"/>
      <c r="IQW226" s="4"/>
      <c r="IQY226" s="4"/>
      <c r="IRA226" s="4"/>
      <c r="IRC226" s="4"/>
      <c r="IRE226" s="4"/>
      <c r="IRG226" s="4"/>
      <c r="IRI226" s="4"/>
      <c r="IRK226" s="4"/>
      <c r="IRM226" s="4"/>
      <c r="IRO226" s="4"/>
      <c r="IRQ226" s="4"/>
      <c r="IRS226" s="4"/>
      <c r="IRU226" s="4"/>
      <c r="IRW226" s="4"/>
      <c r="IRY226" s="4"/>
      <c r="ISA226" s="4"/>
      <c r="ISC226" s="4"/>
      <c r="ISE226" s="4"/>
      <c r="ISG226" s="4"/>
      <c r="ISI226" s="4"/>
      <c r="ISK226" s="4"/>
      <c r="ISM226" s="4"/>
      <c r="ISO226" s="4"/>
      <c r="ISQ226" s="4"/>
      <c r="ISS226" s="4"/>
      <c r="ISU226" s="4"/>
      <c r="ISW226" s="4"/>
      <c r="ISY226" s="4"/>
      <c r="ITA226" s="4"/>
      <c r="ITC226" s="4"/>
      <c r="ITE226" s="4"/>
      <c r="ITG226" s="4"/>
      <c r="ITI226" s="4"/>
      <c r="ITK226" s="4"/>
      <c r="ITM226" s="4"/>
      <c r="ITO226" s="4"/>
      <c r="ITQ226" s="4"/>
      <c r="ITS226" s="4"/>
      <c r="ITU226" s="4"/>
      <c r="ITW226" s="4"/>
      <c r="ITY226" s="4"/>
      <c r="IUA226" s="4"/>
      <c r="IUC226" s="4"/>
      <c r="IUE226" s="4"/>
      <c r="IUG226" s="4"/>
      <c r="IUI226" s="4"/>
      <c r="IUK226" s="4"/>
      <c r="IUM226" s="4"/>
      <c r="IUO226" s="4"/>
      <c r="IUQ226" s="4"/>
      <c r="IUS226" s="4"/>
      <c r="IUU226" s="4"/>
      <c r="IUW226" s="4"/>
      <c r="IUY226" s="4"/>
      <c r="IVA226" s="4"/>
      <c r="IVC226" s="4"/>
      <c r="IVE226" s="4"/>
      <c r="IVG226" s="4"/>
      <c r="IVI226" s="4"/>
      <c r="IVK226" s="4"/>
      <c r="IVM226" s="4"/>
      <c r="IVO226" s="4"/>
      <c r="IVQ226" s="4"/>
      <c r="IVS226" s="4"/>
      <c r="IVU226" s="4"/>
      <c r="IVW226" s="4"/>
      <c r="IVY226" s="4"/>
      <c r="IWA226" s="4"/>
      <c r="IWC226" s="4"/>
      <c r="IWE226" s="4"/>
      <c r="IWG226" s="4"/>
      <c r="IWI226" s="4"/>
      <c r="IWK226" s="4"/>
      <c r="IWM226" s="4"/>
      <c r="IWO226" s="4"/>
      <c r="IWQ226" s="4"/>
      <c r="IWS226" s="4"/>
      <c r="IWU226" s="4"/>
      <c r="IWW226" s="4"/>
      <c r="IWY226" s="4"/>
      <c r="IXA226" s="4"/>
      <c r="IXC226" s="4"/>
      <c r="IXE226" s="4"/>
      <c r="IXG226" s="4"/>
      <c r="IXI226" s="4"/>
      <c r="IXK226" s="4"/>
      <c r="IXM226" s="4"/>
      <c r="IXO226" s="4"/>
      <c r="IXQ226" s="4"/>
      <c r="IXS226" s="4"/>
      <c r="IXU226" s="4"/>
      <c r="IXW226" s="4"/>
      <c r="IXY226" s="4"/>
      <c r="IYA226" s="4"/>
      <c r="IYC226" s="4"/>
      <c r="IYE226" s="4"/>
      <c r="IYG226" s="4"/>
      <c r="IYI226" s="4"/>
      <c r="IYK226" s="4"/>
      <c r="IYM226" s="4"/>
      <c r="IYO226" s="4"/>
      <c r="IYQ226" s="4"/>
      <c r="IYS226" s="4"/>
      <c r="IYU226" s="4"/>
      <c r="IYW226" s="4"/>
      <c r="IYY226" s="4"/>
      <c r="IZA226" s="4"/>
      <c r="IZC226" s="4"/>
      <c r="IZE226" s="4"/>
      <c r="IZG226" s="4"/>
      <c r="IZI226" s="4"/>
      <c r="IZK226" s="4"/>
      <c r="IZM226" s="4"/>
      <c r="IZO226" s="4"/>
      <c r="IZQ226" s="4"/>
      <c r="IZS226" s="4"/>
      <c r="IZU226" s="4"/>
      <c r="IZW226" s="4"/>
      <c r="IZY226" s="4"/>
      <c r="JAA226" s="4"/>
      <c r="JAC226" s="4"/>
      <c r="JAE226" s="4"/>
      <c r="JAG226" s="4"/>
      <c r="JAI226" s="4"/>
      <c r="JAK226" s="4"/>
      <c r="JAM226" s="4"/>
      <c r="JAO226" s="4"/>
      <c r="JAQ226" s="4"/>
      <c r="JAS226" s="4"/>
      <c r="JAU226" s="4"/>
      <c r="JAW226" s="4"/>
      <c r="JAY226" s="4"/>
      <c r="JBA226" s="4"/>
      <c r="JBC226" s="4"/>
      <c r="JBE226" s="4"/>
      <c r="JBG226" s="4"/>
      <c r="JBI226" s="4"/>
      <c r="JBK226" s="4"/>
      <c r="JBM226" s="4"/>
      <c r="JBO226" s="4"/>
      <c r="JBQ226" s="4"/>
      <c r="JBS226" s="4"/>
      <c r="JBU226" s="4"/>
      <c r="JBW226" s="4"/>
      <c r="JBY226" s="4"/>
      <c r="JCA226" s="4"/>
      <c r="JCC226" s="4"/>
      <c r="JCE226" s="4"/>
      <c r="JCG226" s="4"/>
      <c r="JCI226" s="4"/>
      <c r="JCK226" s="4"/>
      <c r="JCM226" s="4"/>
      <c r="JCO226" s="4"/>
      <c r="JCQ226" s="4"/>
      <c r="JCS226" s="4"/>
      <c r="JCU226" s="4"/>
      <c r="JCW226" s="4"/>
      <c r="JCY226" s="4"/>
      <c r="JDA226" s="4"/>
      <c r="JDC226" s="4"/>
      <c r="JDE226" s="4"/>
      <c r="JDG226" s="4"/>
      <c r="JDI226" s="4"/>
      <c r="JDK226" s="4"/>
      <c r="JDM226" s="4"/>
      <c r="JDO226" s="4"/>
      <c r="JDQ226" s="4"/>
      <c r="JDS226" s="4"/>
      <c r="JDU226" s="4"/>
      <c r="JDW226" s="4"/>
      <c r="JDY226" s="4"/>
      <c r="JEA226" s="4"/>
      <c r="JEC226" s="4"/>
      <c r="JEE226" s="4"/>
      <c r="JEG226" s="4"/>
      <c r="JEI226" s="4"/>
      <c r="JEK226" s="4"/>
      <c r="JEM226" s="4"/>
      <c r="JEO226" s="4"/>
      <c r="JEQ226" s="4"/>
      <c r="JES226" s="4"/>
      <c r="JEU226" s="4"/>
      <c r="JEW226" s="4"/>
      <c r="JEY226" s="4"/>
      <c r="JFA226" s="4"/>
      <c r="JFC226" s="4"/>
      <c r="JFE226" s="4"/>
      <c r="JFG226" s="4"/>
      <c r="JFI226" s="4"/>
      <c r="JFK226" s="4"/>
      <c r="JFM226" s="4"/>
      <c r="JFO226" s="4"/>
      <c r="JFQ226" s="4"/>
      <c r="JFS226" s="4"/>
      <c r="JFU226" s="4"/>
      <c r="JFW226" s="4"/>
      <c r="JFY226" s="4"/>
      <c r="JGA226" s="4"/>
      <c r="JGC226" s="4"/>
      <c r="JGE226" s="4"/>
      <c r="JGG226" s="4"/>
      <c r="JGI226" s="4"/>
      <c r="JGK226" s="4"/>
      <c r="JGM226" s="4"/>
      <c r="JGO226" s="4"/>
      <c r="JGQ226" s="4"/>
      <c r="JGS226" s="4"/>
      <c r="JGU226" s="4"/>
      <c r="JGW226" s="4"/>
      <c r="JGY226" s="4"/>
      <c r="JHA226" s="4"/>
      <c r="JHC226" s="4"/>
      <c r="JHE226" s="4"/>
      <c r="JHG226" s="4"/>
      <c r="JHI226" s="4"/>
      <c r="JHK226" s="4"/>
      <c r="JHM226" s="4"/>
      <c r="JHO226" s="4"/>
      <c r="JHQ226" s="4"/>
      <c r="JHS226" s="4"/>
      <c r="JHU226" s="4"/>
      <c r="JHW226" s="4"/>
      <c r="JHY226" s="4"/>
      <c r="JIA226" s="4"/>
      <c r="JIC226" s="4"/>
      <c r="JIE226" s="4"/>
      <c r="JIG226" s="4"/>
      <c r="JII226" s="4"/>
      <c r="JIK226" s="4"/>
      <c r="JIM226" s="4"/>
      <c r="JIO226" s="4"/>
      <c r="JIQ226" s="4"/>
      <c r="JIS226" s="4"/>
      <c r="JIU226" s="4"/>
      <c r="JIW226" s="4"/>
      <c r="JIY226" s="4"/>
      <c r="JJA226" s="4"/>
      <c r="JJC226" s="4"/>
      <c r="JJE226" s="4"/>
      <c r="JJG226" s="4"/>
      <c r="JJI226" s="4"/>
      <c r="JJK226" s="4"/>
      <c r="JJM226" s="4"/>
      <c r="JJO226" s="4"/>
      <c r="JJQ226" s="4"/>
      <c r="JJS226" s="4"/>
      <c r="JJU226" s="4"/>
      <c r="JJW226" s="4"/>
      <c r="JJY226" s="4"/>
      <c r="JKA226" s="4"/>
      <c r="JKC226" s="4"/>
      <c r="JKE226" s="4"/>
      <c r="JKG226" s="4"/>
      <c r="JKI226" s="4"/>
      <c r="JKK226" s="4"/>
      <c r="JKM226" s="4"/>
      <c r="JKO226" s="4"/>
      <c r="JKQ226" s="4"/>
      <c r="JKS226" s="4"/>
      <c r="JKU226" s="4"/>
      <c r="JKW226" s="4"/>
      <c r="JKY226" s="4"/>
      <c r="JLA226" s="4"/>
      <c r="JLC226" s="4"/>
      <c r="JLE226" s="4"/>
      <c r="JLG226" s="4"/>
      <c r="JLI226" s="4"/>
      <c r="JLK226" s="4"/>
      <c r="JLM226" s="4"/>
      <c r="JLO226" s="4"/>
      <c r="JLQ226" s="4"/>
      <c r="JLS226" s="4"/>
      <c r="JLU226" s="4"/>
      <c r="JLW226" s="4"/>
      <c r="JLY226" s="4"/>
      <c r="JMA226" s="4"/>
      <c r="JMC226" s="4"/>
      <c r="JME226" s="4"/>
      <c r="JMG226" s="4"/>
      <c r="JMI226" s="4"/>
      <c r="JMK226" s="4"/>
      <c r="JMM226" s="4"/>
      <c r="JMO226" s="4"/>
      <c r="JMQ226" s="4"/>
      <c r="JMS226" s="4"/>
      <c r="JMU226" s="4"/>
      <c r="JMW226" s="4"/>
      <c r="JMY226" s="4"/>
      <c r="JNA226" s="4"/>
      <c r="JNC226" s="4"/>
      <c r="JNE226" s="4"/>
      <c r="JNG226" s="4"/>
      <c r="JNI226" s="4"/>
      <c r="JNK226" s="4"/>
      <c r="JNM226" s="4"/>
      <c r="JNO226" s="4"/>
      <c r="JNQ226" s="4"/>
      <c r="JNS226" s="4"/>
      <c r="JNU226" s="4"/>
      <c r="JNW226" s="4"/>
      <c r="JNY226" s="4"/>
      <c r="JOA226" s="4"/>
      <c r="JOC226" s="4"/>
      <c r="JOE226" s="4"/>
      <c r="JOG226" s="4"/>
      <c r="JOI226" s="4"/>
      <c r="JOK226" s="4"/>
      <c r="JOM226" s="4"/>
      <c r="JOO226" s="4"/>
      <c r="JOQ226" s="4"/>
      <c r="JOS226" s="4"/>
      <c r="JOU226" s="4"/>
      <c r="JOW226" s="4"/>
      <c r="JOY226" s="4"/>
      <c r="JPA226" s="4"/>
      <c r="JPC226" s="4"/>
      <c r="JPE226" s="4"/>
      <c r="JPG226" s="4"/>
      <c r="JPI226" s="4"/>
      <c r="JPK226" s="4"/>
      <c r="JPM226" s="4"/>
      <c r="JPO226" s="4"/>
      <c r="JPQ226" s="4"/>
      <c r="JPS226" s="4"/>
      <c r="JPU226" s="4"/>
      <c r="JPW226" s="4"/>
      <c r="JPY226" s="4"/>
      <c r="JQA226" s="4"/>
      <c r="JQC226" s="4"/>
      <c r="JQE226" s="4"/>
      <c r="JQG226" s="4"/>
      <c r="JQI226" s="4"/>
      <c r="JQK226" s="4"/>
      <c r="JQM226" s="4"/>
      <c r="JQO226" s="4"/>
      <c r="JQQ226" s="4"/>
      <c r="JQS226" s="4"/>
      <c r="JQU226" s="4"/>
      <c r="JQW226" s="4"/>
      <c r="JQY226" s="4"/>
      <c r="JRA226" s="4"/>
      <c r="JRC226" s="4"/>
      <c r="JRE226" s="4"/>
      <c r="JRG226" s="4"/>
      <c r="JRI226" s="4"/>
      <c r="JRK226" s="4"/>
      <c r="JRM226" s="4"/>
      <c r="JRO226" s="4"/>
      <c r="JRQ226" s="4"/>
      <c r="JRS226" s="4"/>
      <c r="JRU226" s="4"/>
      <c r="JRW226" s="4"/>
      <c r="JRY226" s="4"/>
      <c r="JSA226" s="4"/>
      <c r="JSC226" s="4"/>
      <c r="JSE226" s="4"/>
      <c r="JSG226" s="4"/>
      <c r="JSI226" s="4"/>
      <c r="JSK226" s="4"/>
      <c r="JSM226" s="4"/>
      <c r="JSO226" s="4"/>
      <c r="JSQ226" s="4"/>
      <c r="JSS226" s="4"/>
      <c r="JSU226" s="4"/>
      <c r="JSW226" s="4"/>
      <c r="JSY226" s="4"/>
      <c r="JTA226" s="4"/>
      <c r="JTC226" s="4"/>
      <c r="JTE226" s="4"/>
      <c r="JTG226" s="4"/>
      <c r="JTI226" s="4"/>
      <c r="JTK226" s="4"/>
      <c r="JTM226" s="4"/>
      <c r="JTO226" s="4"/>
      <c r="JTQ226" s="4"/>
      <c r="JTS226" s="4"/>
      <c r="JTU226" s="4"/>
      <c r="JTW226" s="4"/>
      <c r="JTY226" s="4"/>
      <c r="JUA226" s="4"/>
      <c r="JUC226" s="4"/>
      <c r="JUE226" s="4"/>
      <c r="JUG226" s="4"/>
      <c r="JUI226" s="4"/>
      <c r="JUK226" s="4"/>
      <c r="JUM226" s="4"/>
      <c r="JUO226" s="4"/>
      <c r="JUQ226" s="4"/>
      <c r="JUS226" s="4"/>
      <c r="JUU226" s="4"/>
      <c r="JUW226" s="4"/>
      <c r="JUY226" s="4"/>
      <c r="JVA226" s="4"/>
      <c r="JVC226" s="4"/>
      <c r="JVE226" s="4"/>
      <c r="JVG226" s="4"/>
      <c r="JVI226" s="4"/>
      <c r="JVK226" s="4"/>
      <c r="JVM226" s="4"/>
      <c r="JVO226" s="4"/>
      <c r="JVQ226" s="4"/>
      <c r="JVS226" s="4"/>
      <c r="JVU226" s="4"/>
      <c r="JVW226" s="4"/>
      <c r="JVY226" s="4"/>
      <c r="JWA226" s="4"/>
      <c r="JWC226" s="4"/>
      <c r="JWE226" s="4"/>
      <c r="JWG226" s="4"/>
      <c r="JWI226" s="4"/>
      <c r="JWK226" s="4"/>
      <c r="JWM226" s="4"/>
      <c r="JWO226" s="4"/>
      <c r="JWQ226" s="4"/>
      <c r="JWS226" s="4"/>
      <c r="JWU226" s="4"/>
      <c r="JWW226" s="4"/>
      <c r="JWY226" s="4"/>
      <c r="JXA226" s="4"/>
      <c r="JXC226" s="4"/>
      <c r="JXE226" s="4"/>
      <c r="JXG226" s="4"/>
      <c r="JXI226" s="4"/>
      <c r="JXK226" s="4"/>
      <c r="JXM226" s="4"/>
      <c r="JXO226" s="4"/>
      <c r="JXQ226" s="4"/>
      <c r="JXS226" s="4"/>
      <c r="JXU226" s="4"/>
      <c r="JXW226" s="4"/>
      <c r="JXY226" s="4"/>
      <c r="JYA226" s="4"/>
      <c r="JYC226" s="4"/>
      <c r="JYE226" s="4"/>
      <c r="JYG226" s="4"/>
      <c r="JYI226" s="4"/>
      <c r="JYK226" s="4"/>
      <c r="JYM226" s="4"/>
      <c r="JYO226" s="4"/>
      <c r="JYQ226" s="4"/>
      <c r="JYS226" s="4"/>
      <c r="JYU226" s="4"/>
      <c r="JYW226" s="4"/>
      <c r="JYY226" s="4"/>
      <c r="JZA226" s="4"/>
      <c r="JZC226" s="4"/>
      <c r="JZE226" s="4"/>
      <c r="JZG226" s="4"/>
      <c r="JZI226" s="4"/>
      <c r="JZK226" s="4"/>
      <c r="JZM226" s="4"/>
      <c r="JZO226" s="4"/>
      <c r="JZQ226" s="4"/>
      <c r="JZS226" s="4"/>
      <c r="JZU226" s="4"/>
      <c r="JZW226" s="4"/>
      <c r="JZY226" s="4"/>
      <c r="KAA226" s="4"/>
      <c r="KAC226" s="4"/>
      <c r="KAE226" s="4"/>
      <c r="KAG226" s="4"/>
      <c r="KAI226" s="4"/>
      <c r="KAK226" s="4"/>
      <c r="KAM226" s="4"/>
      <c r="KAO226" s="4"/>
      <c r="KAQ226" s="4"/>
      <c r="KAS226" s="4"/>
      <c r="KAU226" s="4"/>
      <c r="KAW226" s="4"/>
      <c r="KAY226" s="4"/>
      <c r="KBA226" s="4"/>
      <c r="KBC226" s="4"/>
      <c r="KBE226" s="4"/>
      <c r="KBG226" s="4"/>
      <c r="KBI226" s="4"/>
      <c r="KBK226" s="4"/>
      <c r="KBM226" s="4"/>
      <c r="KBO226" s="4"/>
      <c r="KBQ226" s="4"/>
      <c r="KBS226" s="4"/>
      <c r="KBU226" s="4"/>
      <c r="KBW226" s="4"/>
      <c r="KBY226" s="4"/>
      <c r="KCA226" s="4"/>
      <c r="KCC226" s="4"/>
      <c r="KCE226" s="4"/>
      <c r="KCG226" s="4"/>
      <c r="KCI226" s="4"/>
      <c r="KCK226" s="4"/>
      <c r="KCM226" s="4"/>
      <c r="KCO226" s="4"/>
      <c r="KCQ226" s="4"/>
      <c r="KCS226" s="4"/>
      <c r="KCU226" s="4"/>
      <c r="KCW226" s="4"/>
      <c r="KCY226" s="4"/>
      <c r="KDA226" s="4"/>
      <c r="KDC226" s="4"/>
      <c r="KDE226" s="4"/>
      <c r="KDG226" s="4"/>
      <c r="KDI226" s="4"/>
      <c r="KDK226" s="4"/>
      <c r="KDM226" s="4"/>
      <c r="KDO226" s="4"/>
      <c r="KDQ226" s="4"/>
      <c r="KDS226" s="4"/>
      <c r="KDU226" s="4"/>
      <c r="KDW226" s="4"/>
      <c r="KDY226" s="4"/>
      <c r="KEA226" s="4"/>
      <c r="KEC226" s="4"/>
      <c r="KEE226" s="4"/>
      <c r="KEG226" s="4"/>
      <c r="KEI226" s="4"/>
      <c r="KEK226" s="4"/>
      <c r="KEM226" s="4"/>
      <c r="KEO226" s="4"/>
      <c r="KEQ226" s="4"/>
      <c r="KES226" s="4"/>
      <c r="KEU226" s="4"/>
      <c r="KEW226" s="4"/>
      <c r="KEY226" s="4"/>
      <c r="KFA226" s="4"/>
      <c r="KFC226" s="4"/>
      <c r="KFE226" s="4"/>
      <c r="KFG226" s="4"/>
      <c r="KFI226" s="4"/>
      <c r="KFK226" s="4"/>
      <c r="KFM226" s="4"/>
      <c r="KFO226" s="4"/>
      <c r="KFQ226" s="4"/>
      <c r="KFS226" s="4"/>
      <c r="KFU226" s="4"/>
      <c r="KFW226" s="4"/>
      <c r="KFY226" s="4"/>
      <c r="KGA226" s="4"/>
      <c r="KGC226" s="4"/>
      <c r="KGE226" s="4"/>
      <c r="KGG226" s="4"/>
      <c r="KGI226" s="4"/>
      <c r="KGK226" s="4"/>
      <c r="KGM226" s="4"/>
      <c r="KGO226" s="4"/>
      <c r="KGQ226" s="4"/>
      <c r="KGS226" s="4"/>
      <c r="KGU226" s="4"/>
      <c r="KGW226" s="4"/>
      <c r="KGY226" s="4"/>
      <c r="KHA226" s="4"/>
      <c r="KHC226" s="4"/>
      <c r="KHE226" s="4"/>
      <c r="KHG226" s="4"/>
      <c r="KHI226" s="4"/>
      <c r="KHK226" s="4"/>
      <c r="KHM226" s="4"/>
      <c r="KHO226" s="4"/>
      <c r="KHQ226" s="4"/>
      <c r="KHS226" s="4"/>
      <c r="KHU226" s="4"/>
      <c r="KHW226" s="4"/>
      <c r="KHY226" s="4"/>
      <c r="KIA226" s="4"/>
      <c r="KIC226" s="4"/>
      <c r="KIE226" s="4"/>
      <c r="KIG226" s="4"/>
      <c r="KII226" s="4"/>
      <c r="KIK226" s="4"/>
      <c r="KIM226" s="4"/>
      <c r="KIO226" s="4"/>
      <c r="KIQ226" s="4"/>
      <c r="KIS226" s="4"/>
      <c r="KIU226" s="4"/>
      <c r="KIW226" s="4"/>
      <c r="KIY226" s="4"/>
      <c r="KJA226" s="4"/>
      <c r="KJC226" s="4"/>
      <c r="KJE226" s="4"/>
      <c r="KJG226" s="4"/>
      <c r="KJI226" s="4"/>
      <c r="KJK226" s="4"/>
      <c r="KJM226" s="4"/>
      <c r="KJO226" s="4"/>
      <c r="KJQ226" s="4"/>
      <c r="KJS226" s="4"/>
      <c r="KJU226" s="4"/>
      <c r="KJW226" s="4"/>
      <c r="KJY226" s="4"/>
      <c r="KKA226" s="4"/>
      <c r="KKC226" s="4"/>
      <c r="KKE226" s="4"/>
      <c r="KKG226" s="4"/>
      <c r="KKI226" s="4"/>
      <c r="KKK226" s="4"/>
      <c r="KKM226" s="4"/>
      <c r="KKO226" s="4"/>
      <c r="KKQ226" s="4"/>
      <c r="KKS226" s="4"/>
      <c r="KKU226" s="4"/>
      <c r="KKW226" s="4"/>
      <c r="KKY226" s="4"/>
      <c r="KLA226" s="4"/>
      <c r="KLC226" s="4"/>
      <c r="KLE226" s="4"/>
      <c r="KLG226" s="4"/>
      <c r="KLI226" s="4"/>
      <c r="KLK226" s="4"/>
      <c r="KLM226" s="4"/>
      <c r="KLO226" s="4"/>
      <c r="KLQ226" s="4"/>
      <c r="KLS226" s="4"/>
      <c r="KLU226" s="4"/>
      <c r="KLW226" s="4"/>
      <c r="KLY226" s="4"/>
      <c r="KMA226" s="4"/>
      <c r="KMC226" s="4"/>
      <c r="KME226" s="4"/>
      <c r="KMG226" s="4"/>
      <c r="KMI226" s="4"/>
      <c r="KMK226" s="4"/>
      <c r="KMM226" s="4"/>
      <c r="KMO226" s="4"/>
      <c r="KMQ226" s="4"/>
      <c r="KMS226" s="4"/>
      <c r="KMU226" s="4"/>
      <c r="KMW226" s="4"/>
      <c r="KMY226" s="4"/>
      <c r="KNA226" s="4"/>
      <c r="KNC226" s="4"/>
      <c r="KNE226" s="4"/>
      <c r="KNG226" s="4"/>
      <c r="KNI226" s="4"/>
      <c r="KNK226" s="4"/>
      <c r="KNM226" s="4"/>
      <c r="KNO226" s="4"/>
      <c r="KNQ226" s="4"/>
      <c r="KNS226" s="4"/>
      <c r="KNU226" s="4"/>
      <c r="KNW226" s="4"/>
      <c r="KNY226" s="4"/>
      <c r="KOA226" s="4"/>
      <c r="KOC226" s="4"/>
      <c r="KOE226" s="4"/>
      <c r="KOG226" s="4"/>
      <c r="KOI226" s="4"/>
      <c r="KOK226" s="4"/>
      <c r="KOM226" s="4"/>
      <c r="KOO226" s="4"/>
      <c r="KOQ226" s="4"/>
      <c r="KOS226" s="4"/>
      <c r="KOU226" s="4"/>
      <c r="KOW226" s="4"/>
      <c r="KOY226" s="4"/>
      <c r="KPA226" s="4"/>
      <c r="KPC226" s="4"/>
      <c r="KPE226" s="4"/>
      <c r="KPG226" s="4"/>
      <c r="KPI226" s="4"/>
      <c r="KPK226" s="4"/>
      <c r="KPM226" s="4"/>
      <c r="KPO226" s="4"/>
      <c r="KPQ226" s="4"/>
      <c r="KPS226" s="4"/>
      <c r="KPU226" s="4"/>
      <c r="KPW226" s="4"/>
      <c r="KPY226" s="4"/>
      <c r="KQA226" s="4"/>
      <c r="KQC226" s="4"/>
      <c r="KQE226" s="4"/>
      <c r="KQG226" s="4"/>
      <c r="KQI226" s="4"/>
      <c r="KQK226" s="4"/>
      <c r="KQM226" s="4"/>
      <c r="KQO226" s="4"/>
      <c r="KQQ226" s="4"/>
      <c r="KQS226" s="4"/>
      <c r="KQU226" s="4"/>
      <c r="KQW226" s="4"/>
      <c r="KQY226" s="4"/>
      <c r="KRA226" s="4"/>
      <c r="KRC226" s="4"/>
      <c r="KRE226" s="4"/>
      <c r="KRG226" s="4"/>
      <c r="KRI226" s="4"/>
      <c r="KRK226" s="4"/>
      <c r="KRM226" s="4"/>
      <c r="KRO226" s="4"/>
      <c r="KRQ226" s="4"/>
      <c r="KRS226" s="4"/>
      <c r="KRU226" s="4"/>
      <c r="KRW226" s="4"/>
      <c r="KRY226" s="4"/>
      <c r="KSA226" s="4"/>
      <c r="KSC226" s="4"/>
      <c r="KSE226" s="4"/>
      <c r="KSG226" s="4"/>
      <c r="KSI226" s="4"/>
      <c r="KSK226" s="4"/>
      <c r="KSM226" s="4"/>
      <c r="KSO226" s="4"/>
      <c r="KSQ226" s="4"/>
      <c r="KSS226" s="4"/>
      <c r="KSU226" s="4"/>
      <c r="KSW226" s="4"/>
      <c r="KSY226" s="4"/>
      <c r="KTA226" s="4"/>
      <c r="KTC226" s="4"/>
      <c r="KTE226" s="4"/>
      <c r="KTG226" s="4"/>
      <c r="KTI226" s="4"/>
      <c r="KTK226" s="4"/>
      <c r="KTM226" s="4"/>
      <c r="KTO226" s="4"/>
      <c r="KTQ226" s="4"/>
      <c r="KTS226" s="4"/>
      <c r="KTU226" s="4"/>
      <c r="KTW226" s="4"/>
      <c r="KTY226" s="4"/>
      <c r="KUA226" s="4"/>
      <c r="KUC226" s="4"/>
      <c r="KUE226" s="4"/>
      <c r="KUG226" s="4"/>
      <c r="KUI226" s="4"/>
      <c r="KUK226" s="4"/>
      <c r="KUM226" s="4"/>
      <c r="KUO226" s="4"/>
      <c r="KUQ226" s="4"/>
      <c r="KUS226" s="4"/>
      <c r="KUU226" s="4"/>
      <c r="KUW226" s="4"/>
      <c r="KUY226" s="4"/>
      <c r="KVA226" s="4"/>
      <c r="KVC226" s="4"/>
      <c r="KVE226" s="4"/>
      <c r="KVG226" s="4"/>
      <c r="KVI226" s="4"/>
      <c r="KVK226" s="4"/>
      <c r="KVM226" s="4"/>
      <c r="KVO226" s="4"/>
      <c r="KVQ226" s="4"/>
      <c r="KVS226" s="4"/>
      <c r="KVU226" s="4"/>
      <c r="KVW226" s="4"/>
      <c r="KVY226" s="4"/>
      <c r="KWA226" s="4"/>
      <c r="KWC226" s="4"/>
      <c r="KWE226" s="4"/>
      <c r="KWG226" s="4"/>
      <c r="KWI226" s="4"/>
      <c r="KWK226" s="4"/>
      <c r="KWM226" s="4"/>
      <c r="KWO226" s="4"/>
      <c r="KWQ226" s="4"/>
      <c r="KWS226" s="4"/>
      <c r="KWU226" s="4"/>
      <c r="KWW226" s="4"/>
      <c r="KWY226" s="4"/>
      <c r="KXA226" s="4"/>
      <c r="KXC226" s="4"/>
      <c r="KXE226" s="4"/>
      <c r="KXG226" s="4"/>
      <c r="KXI226" s="4"/>
      <c r="KXK226" s="4"/>
      <c r="KXM226" s="4"/>
      <c r="KXO226" s="4"/>
      <c r="KXQ226" s="4"/>
      <c r="KXS226" s="4"/>
      <c r="KXU226" s="4"/>
      <c r="KXW226" s="4"/>
      <c r="KXY226" s="4"/>
      <c r="KYA226" s="4"/>
      <c r="KYC226" s="4"/>
      <c r="KYE226" s="4"/>
      <c r="KYG226" s="4"/>
      <c r="KYI226" s="4"/>
      <c r="KYK226" s="4"/>
      <c r="KYM226" s="4"/>
      <c r="KYO226" s="4"/>
      <c r="KYQ226" s="4"/>
      <c r="KYS226" s="4"/>
      <c r="KYU226" s="4"/>
      <c r="KYW226" s="4"/>
      <c r="KYY226" s="4"/>
      <c r="KZA226" s="4"/>
      <c r="KZC226" s="4"/>
      <c r="KZE226" s="4"/>
      <c r="KZG226" s="4"/>
      <c r="KZI226" s="4"/>
      <c r="KZK226" s="4"/>
      <c r="KZM226" s="4"/>
      <c r="KZO226" s="4"/>
      <c r="KZQ226" s="4"/>
      <c r="KZS226" s="4"/>
      <c r="KZU226" s="4"/>
      <c r="KZW226" s="4"/>
      <c r="KZY226" s="4"/>
      <c r="LAA226" s="4"/>
      <c r="LAC226" s="4"/>
      <c r="LAE226" s="4"/>
      <c r="LAG226" s="4"/>
      <c r="LAI226" s="4"/>
      <c r="LAK226" s="4"/>
      <c r="LAM226" s="4"/>
      <c r="LAO226" s="4"/>
      <c r="LAQ226" s="4"/>
      <c r="LAS226" s="4"/>
      <c r="LAU226" s="4"/>
      <c r="LAW226" s="4"/>
      <c r="LAY226" s="4"/>
      <c r="LBA226" s="4"/>
      <c r="LBC226" s="4"/>
      <c r="LBE226" s="4"/>
      <c r="LBG226" s="4"/>
      <c r="LBI226" s="4"/>
      <c r="LBK226" s="4"/>
      <c r="LBM226" s="4"/>
      <c r="LBO226" s="4"/>
      <c r="LBQ226" s="4"/>
      <c r="LBS226" s="4"/>
      <c r="LBU226" s="4"/>
      <c r="LBW226" s="4"/>
      <c r="LBY226" s="4"/>
      <c r="LCA226" s="4"/>
      <c r="LCC226" s="4"/>
      <c r="LCE226" s="4"/>
      <c r="LCG226" s="4"/>
      <c r="LCI226" s="4"/>
      <c r="LCK226" s="4"/>
      <c r="LCM226" s="4"/>
      <c r="LCO226" s="4"/>
      <c r="LCQ226" s="4"/>
      <c r="LCS226" s="4"/>
      <c r="LCU226" s="4"/>
      <c r="LCW226" s="4"/>
      <c r="LCY226" s="4"/>
      <c r="LDA226" s="4"/>
      <c r="LDC226" s="4"/>
      <c r="LDE226" s="4"/>
      <c r="LDG226" s="4"/>
      <c r="LDI226" s="4"/>
      <c r="LDK226" s="4"/>
      <c r="LDM226" s="4"/>
      <c r="LDO226" s="4"/>
      <c r="LDQ226" s="4"/>
      <c r="LDS226" s="4"/>
      <c r="LDU226" s="4"/>
      <c r="LDW226" s="4"/>
      <c r="LDY226" s="4"/>
      <c r="LEA226" s="4"/>
      <c r="LEC226" s="4"/>
      <c r="LEE226" s="4"/>
      <c r="LEG226" s="4"/>
      <c r="LEI226" s="4"/>
      <c r="LEK226" s="4"/>
      <c r="LEM226" s="4"/>
      <c r="LEO226" s="4"/>
      <c r="LEQ226" s="4"/>
      <c r="LES226" s="4"/>
      <c r="LEU226" s="4"/>
      <c r="LEW226" s="4"/>
      <c r="LEY226" s="4"/>
      <c r="LFA226" s="4"/>
      <c r="LFC226" s="4"/>
      <c r="LFE226" s="4"/>
      <c r="LFG226" s="4"/>
      <c r="LFI226" s="4"/>
      <c r="LFK226" s="4"/>
      <c r="LFM226" s="4"/>
      <c r="LFO226" s="4"/>
      <c r="LFQ226" s="4"/>
      <c r="LFS226" s="4"/>
      <c r="LFU226" s="4"/>
      <c r="LFW226" s="4"/>
      <c r="LFY226" s="4"/>
      <c r="LGA226" s="4"/>
      <c r="LGC226" s="4"/>
      <c r="LGE226" s="4"/>
      <c r="LGG226" s="4"/>
      <c r="LGI226" s="4"/>
      <c r="LGK226" s="4"/>
      <c r="LGM226" s="4"/>
      <c r="LGO226" s="4"/>
      <c r="LGQ226" s="4"/>
      <c r="LGS226" s="4"/>
      <c r="LGU226" s="4"/>
      <c r="LGW226" s="4"/>
      <c r="LGY226" s="4"/>
      <c r="LHA226" s="4"/>
      <c r="LHC226" s="4"/>
      <c r="LHE226" s="4"/>
      <c r="LHG226" s="4"/>
      <c r="LHI226" s="4"/>
      <c r="LHK226" s="4"/>
      <c r="LHM226" s="4"/>
      <c r="LHO226" s="4"/>
      <c r="LHQ226" s="4"/>
      <c r="LHS226" s="4"/>
      <c r="LHU226" s="4"/>
      <c r="LHW226" s="4"/>
      <c r="LHY226" s="4"/>
      <c r="LIA226" s="4"/>
      <c r="LIC226" s="4"/>
      <c r="LIE226" s="4"/>
      <c r="LIG226" s="4"/>
      <c r="LII226" s="4"/>
      <c r="LIK226" s="4"/>
      <c r="LIM226" s="4"/>
      <c r="LIO226" s="4"/>
      <c r="LIQ226" s="4"/>
      <c r="LIS226" s="4"/>
      <c r="LIU226" s="4"/>
      <c r="LIW226" s="4"/>
      <c r="LIY226" s="4"/>
      <c r="LJA226" s="4"/>
      <c r="LJC226" s="4"/>
      <c r="LJE226" s="4"/>
      <c r="LJG226" s="4"/>
      <c r="LJI226" s="4"/>
      <c r="LJK226" s="4"/>
      <c r="LJM226" s="4"/>
      <c r="LJO226" s="4"/>
      <c r="LJQ226" s="4"/>
      <c r="LJS226" s="4"/>
      <c r="LJU226" s="4"/>
      <c r="LJW226" s="4"/>
      <c r="LJY226" s="4"/>
      <c r="LKA226" s="4"/>
      <c r="LKC226" s="4"/>
      <c r="LKE226" s="4"/>
      <c r="LKG226" s="4"/>
      <c r="LKI226" s="4"/>
      <c r="LKK226" s="4"/>
      <c r="LKM226" s="4"/>
      <c r="LKO226" s="4"/>
      <c r="LKQ226" s="4"/>
      <c r="LKS226" s="4"/>
      <c r="LKU226" s="4"/>
      <c r="LKW226" s="4"/>
      <c r="LKY226" s="4"/>
      <c r="LLA226" s="4"/>
      <c r="LLC226" s="4"/>
      <c r="LLE226" s="4"/>
      <c r="LLG226" s="4"/>
      <c r="LLI226" s="4"/>
      <c r="LLK226" s="4"/>
      <c r="LLM226" s="4"/>
      <c r="LLO226" s="4"/>
      <c r="LLQ226" s="4"/>
      <c r="LLS226" s="4"/>
      <c r="LLU226" s="4"/>
      <c r="LLW226" s="4"/>
      <c r="LLY226" s="4"/>
      <c r="LMA226" s="4"/>
      <c r="LMC226" s="4"/>
      <c r="LME226" s="4"/>
      <c r="LMG226" s="4"/>
      <c r="LMI226" s="4"/>
      <c r="LMK226" s="4"/>
      <c r="LMM226" s="4"/>
      <c r="LMO226" s="4"/>
      <c r="LMQ226" s="4"/>
      <c r="LMS226" s="4"/>
      <c r="LMU226" s="4"/>
      <c r="LMW226" s="4"/>
      <c r="LMY226" s="4"/>
      <c r="LNA226" s="4"/>
      <c r="LNC226" s="4"/>
      <c r="LNE226" s="4"/>
      <c r="LNG226" s="4"/>
      <c r="LNI226" s="4"/>
      <c r="LNK226" s="4"/>
      <c r="LNM226" s="4"/>
      <c r="LNO226" s="4"/>
      <c r="LNQ226" s="4"/>
      <c r="LNS226" s="4"/>
      <c r="LNU226" s="4"/>
      <c r="LNW226" s="4"/>
      <c r="LNY226" s="4"/>
      <c r="LOA226" s="4"/>
      <c r="LOC226" s="4"/>
      <c r="LOE226" s="4"/>
      <c r="LOG226" s="4"/>
      <c r="LOI226" s="4"/>
      <c r="LOK226" s="4"/>
      <c r="LOM226" s="4"/>
      <c r="LOO226" s="4"/>
      <c r="LOQ226" s="4"/>
      <c r="LOS226" s="4"/>
      <c r="LOU226" s="4"/>
      <c r="LOW226" s="4"/>
      <c r="LOY226" s="4"/>
      <c r="LPA226" s="4"/>
      <c r="LPC226" s="4"/>
      <c r="LPE226" s="4"/>
      <c r="LPG226" s="4"/>
      <c r="LPI226" s="4"/>
      <c r="LPK226" s="4"/>
      <c r="LPM226" s="4"/>
      <c r="LPO226" s="4"/>
      <c r="LPQ226" s="4"/>
      <c r="LPS226" s="4"/>
      <c r="LPU226" s="4"/>
      <c r="LPW226" s="4"/>
      <c r="LPY226" s="4"/>
      <c r="LQA226" s="4"/>
      <c r="LQC226" s="4"/>
      <c r="LQE226" s="4"/>
      <c r="LQG226" s="4"/>
      <c r="LQI226" s="4"/>
      <c r="LQK226" s="4"/>
      <c r="LQM226" s="4"/>
      <c r="LQO226" s="4"/>
      <c r="LQQ226" s="4"/>
      <c r="LQS226" s="4"/>
      <c r="LQU226" s="4"/>
      <c r="LQW226" s="4"/>
      <c r="LQY226" s="4"/>
      <c r="LRA226" s="4"/>
      <c r="LRC226" s="4"/>
      <c r="LRE226" s="4"/>
      <c r="LRG226" s="4"/>
      <c r="LRI226" s="4"/>
      <c r="LRK226" s="4"/>
      <c r="LRM226" s="4"/>
      <c r="LRO226" s="4"/>
      <c r="LRQ226" s="4"/>
      <c r="LRS226" s="4"/>
      <c r="LRU226" s="4"/>
      <c r="LRW226" s="4"/>
      <c r="LRY226" s="4"/>
      <c r="LSA226" s="4"/>
      <c r="LSC226" s="4"/>
      <c r="LSE226" s="4"/>
      <c r="LSG226" s="4"/>
      <c r="LSI226" s="4"/>
      <c r="LSK226" s="4"/>
      <c r="LSM226" s="4"/>
      <c r="LSO226" s="4"/>
      <c r="LSQ226" s="4"/>
      <c r="LSS226" s="4"/>
      <c r="LSU226" s="4"/>
      <c r="LSW226" s="4"/>
      <c r="LSY226" s="4"/>
      <c r="LTA226" s="4"/>
      <c r="LTC226" s="4"/>
      <c r="LTE226" s="4"/>
      <c r="LTG226" s="4"/>
      <c r="LTI226" s="4"/>
      <c r="LTK226" s="4"/>
      <c r="LTM226" s="4"/>
      <c r="LTO226" s="4"/>
      <c r="LTQ226" s="4"/>
      <c r="LTS226" s="4"/>
      <c r="LTU226" s="4"/>
      <c r="LTW226" s="4"/>
      <c r="LTY226" s="4"/>
      <c r="LUA226" s="4"/>
      <c r="LUC226" s="4"/>
      <c r="LUE226" s="4"/>
      <c r="LUG226" s="4"/>
      <c r="LUI226" s="4"/>
      <c r="LUK226" s="4"/>
      <c r="LUM226" s="4"/>
      <c r="LUO226" s="4"/>
      <c r="LUQ226" s="4"/>
      <c r="LUS226" s="4"/>
      <c r="LUU226" s="4"/>
      <c r="LUW226" s="4"/>
      <c r="LUY226" s="4"/>
      <c r="LVA226" s="4"/>
      <c r="LVC226" s="4"/>
      <c r="LVE226" s="4"/>
      <c r="LVG226" s="4"/>
      <c r="LVI226" s="4"/>
      <c r="LVK226" s="4"/>
      <c r="LVM226" s="4"/>
      <c r="LVO226" s="4"/>
      <c r="LVQ226" s="4"/>
      <c r="LVS226" s="4"/>
      <c r="LVU226" s="4"/>
      <c r="LVW226" s="4"/>
      <c r="LVY226" s="4"/>
      <c r="LWA226" s="4"/>
      <c r="LWC226" s="4"/>
      <c r="LWE226" s="4"/>
      <c r="LWG226" s="4"/>
      <c r="LWI226" s="4"/>
      <c r="LWK226" s="4"/>
      <c r="LWM226" s="4"/>
      <c r="LWO226" s="4"/>
      <c r="LWQ226" s="4"/>
      <c r="LWS226" s="4"/>
      <c r="LWU226" s="4"/>
      <c r="LWW226" s="4"/>
      <c r="LWY226" s="4"/>
      <c r="LXA226" s="4"/>
      <c r="LXC226" s="4"/>
      <c r="LXE226" s="4"/>
      <c r="LXG226" s="4"/>
      <c r="LXI226" s="4"/>
      <c r="LXK226" s="4"/>
      <c r="LXM226" s="4"/>
      <c r="LXO226" s="4"/>
      <c r="LXQ226" s="4"/>
      <c r="LXS226" s="4"/>
      <c r="LXU226" s="4"/>
      <c r="LXW226" s="4"/>
      <c r="LXY226" s="4"/>
      <c r="LYA226" s="4"/>
      <c r="LYC226" s="4"/>
      <c r="LYE226" s="4"/>
      <c r="LYG226" s="4"/>
      <c r="LYI226" s="4"/>
      <c r="LYK226" s="4"/>
      <c r="LYM226" s="4"/>
      <c r="LYO226" s="4"/>
      <c r="LYQ226" s="4"/>
      <c r="LYS226" s="4"/>
      <c r="LYU226" s="4"/>
      <c r="LYW226" s="4"/>
      <c r="LYY226" s="4"/>
      <c r="LZA226" s="4"/>
      <c r="LZC226" s="4"/>
      <c r="LZE226" s="4"/>
      <c r="LZG226" s="4"/>
      <c r="LZI226" s="4"/>
      <c r="LZK226" s="4"/>
      <c r="LZM226" s="4"/>
      <c r="LZO226" s="4"/>
      <c r="LZQ226" s="4"/>
      <c r="LZS226" s="4"/>
      <c r="LZU226" s="4"/>
      <c r="LZW226" s="4"/>
      <c r="LZY226" s="4"/>
      <c r="MAA226" s="4"/>
      <c r="MAC226" s="4"/>
      <c r="MAE226" s="4"/>
      <c r="MAG226" s="4"/>
      <c r="MAI226" s="4"/>
      <c r="MAK226" s="4"/>
      <c r="MAM226" s="4"/>
      <c r="MAO226" s="4"/>
      <c r="MAQ226" s="4"/>
      <c r="MAS226" s="4"/>
      <c r="MAU226" s="4"/>
      <c r="MAW226" s="4"/>
      <c r="MAY226" s="4"/>
      <c r="MBA226" s="4"/>
      <c r="MBC226" s="4"/>
      <c r="MBE226" s="4"/>
      <c r="MBG226" s="4"/>
      <c r="MBI226" s="4"/>
      <c r="MBK226" s="4"/>
      <c r="MBM226" s="4"/>
      <c r="MBO226" s="4"/>
      <c r="MBQ226" s="4"/>
      <c r="MBS226" s="4"/>
      <c r="MBU226" s="4"/>
      <c r="MBW226" s="4"/>
      <c r="MBY226" s="4"/>
      <c r="MCA226" s="4"/>
      <c r="MCC226" s="4"/>
      <c r="MCE226" s="4"/>
      <c r="MCG226" s="4"/>
      <c r="MCI226" s="4"/>
      <c r="MCK226" s="4"/>
      <c r="MCM226" s="4"/>
      <c r="MCO226" s="4"/>
      <c r="MCQ226" s="4"/>
      <c r="MCS226" s="4"/>
      <c r="MCU226" s="4"/>
      <c r="MCW226" s="4"/>
      <c r="MCY226" s="4"/>
      <c r="MDA226" s="4"/>
      <c r="MDC226" s="4"/>
      <c r="MDE226" s="4"/>
      <c r="MDG226" s="4"/>
      <c r="MDI226" s="4"/>
      <c r="MDK226" s="4"/>
      <c r="MDM226" s="4"/>
      <c r="MDO226" s="4"/>
      <c r="MDQ226" s="4"/>
      <c r="MDS226" s="4"/>
      <c r="MDU226" s="4"/>
      <c r="MDW226" s="4"/>
      <c r="MDY226" s="4"/>
      <c r="MEA226" s="4"/>
      <c r="MEC226" s="4"/>
      <c r="MEE226" s="4"/>
      <c r="MEG226" s="4"/>
      <c r="MEI226" s="4"/>
      <c r="MEK226" s="4"/>
      <c r="MEM226" s="4"/>
      <c r="MEO226" s="4"/>
      <c r="MEQ226" s="4"/>
      <c r="MES226" s="4"/>
      <c r="MEU226" s="4"/>
      <c r="MEW226" s="4"/>
      <c r="MEY226" s="4"/>
      <c r="MFA226" s="4"/>
      <c r="MFC226" s="4"/>
      <c r="MFE226" s="4"/>
      <c r="MFG226" s="4"/>
      <c r="MFI226" s="4"/>
      <c r="MFK226" s="4"/>
      <c r="MFM226" s="4"/>
      <c r="MFO226" s="4"/>
      <c r="MFQ226" s="4"/>
      <c r="MFS226" s="4"/>
      <c r="MFU226" s="4"/>
      <c r="MFW226" s="4"/>
      <c r="MFY226" s="4"/>
      <c r="MGA226" s="4"/>
      <c r="MGC226" s="4"/>
      <c r="MGE226" s="4"/>
      <c r="MGG226" s="4"/>
      <c r="MGI226" s="4"/>
      <c r="MGK226" s="4"/>
      <c r="MGM226" s="4"/>
      <c r="MGO226" s="4"/>
      <c r="MGQ226" s="4"/>
      <c r="MGS226" s="4"/>
      <c r="MGU226" s="4"/>
      <c r="MGW226" s="4"/>
      <c r="MGY226" s="4"/>
      <c r="MHA226" s="4"/>
      <c r="MHC226" s="4"/>
      <c r="MHE226" s="4"/>
      <c r="MHG226" s="4"/>
      <c r="MHI226" s="4"/>
      <c r="MHK226" s="4"/>
      <c r="MHM226" s="4"/>
      <c r="MHO226" s="4"/>
      <c r="MHQ226" s="4"/>
      <c r="MHS226" s="4"/>
      <c r="MHU226" s="4"/>
      <c r="MHW226" s="4"/>
      <c r="MHY226" s="4"/>
      <c r="MIA226" s="4"/>
      <c r="MIC226" s="4"/>
      <c r="MIE226" s="4"/>
      <c r="MIG226" s="4"/>
      <c r="MII226" s="4"/>
      <c r="MIK226" s="4"/>
      <c r="MIM226" s="4"/>
      <c r="MIO226" s="4"/>
      <c r="MIQ226" s="4"/>
      <c r="MIS226" s="4"/>
      <c r="MIU226" s="4"/>
      <c r="MIW226" s="4"/>
      <c r="MIY226" s="4"/>
      <c r="MJA226" s="4"/>
      <c r="MJC226" s="4"/>
      <c r="MJE226" s="4"/>
      <c r="MJG226" s="4"/>
      <c r="MJI226" s="4"/>
      <c r="MJK226" s="4"/>
      <c r="MJM226" s="4"/>
      <c r="MJO226" s="4"/>
      <c r="MJQ226" s="4"/>
      <c r="MJS226" s="4"/>
      <c r="MJU226" s="4"/>
      <c r="MJW226" s="4"/>
      <c r="MJY226" s="4"/>
      <c r="MKA226" s="4"/>
      <c r="MKC226" s="4"/>
      <c r="MKE226" s="4"/>
      <c r="MKG226" s="4"/>
      <c r="MKI226" s="4"/>
      <c r="MKK226" s="4"/>
      <c r="MKM226" s="4"/>
      <c r="MKO226" s="4"/>
      <c r="MKQ226" s="4"/>
      <c r="MKS226" s="4"/>
      <c r="MKU226" s="4"/>
      <c r="MKW226" s="4"/>
      <c r="MKY226" s="4"/>
      <c r="MLA226" s="4"/>
      <c r="MLC226" s="4"/>
      <c r="MLE226" s="4"/>
      <c r="MLG226" s="4"/>
      <c r="MLI226" s="4"/>
      <c r="MLK226" s="4"/>
      <c r="MLM226" s="4"/>
      <c r="MLO226" s="4"/>
      <c r="MLQ226" s="4"/>
      <c r="MLS226" s="4"/>
      <c r="MLU226" s="4"/>
      <c r="MLW226" s="4"/>
      <c r="MLY226" s="4"/>
      <c r="MMA226" s="4"/>
      <c r="MMC226" s="4"/>
      <c r="MME226" s="4"/>
      <c r="MMG226" s="4"/>
      <c r="MMI226" s="4"/>
      <c r="MMK226" s="4"/>
      <c r="MMM226" s="4"/>
      <c r="MMO226" s="4"/>
      <c r="MMQ226" s="4"/>
      <c r="MMS226" s="4"/>
      <c r="MMU226" s="4"/>
      <c r="MMW226" s="4"/>
      <c r="MMY226" s="4"/>
      <c r="MNA226" s="4"/>
      <c r="MNC226" s="4"/>
      <c r="MNE226" s="4"/>
      <c r="MNG226" s="4"/>
      <c r="MNI226" s="4"/>
      <c r="MNK226" s="4"/>
      <c r="MNM226" s="4"/>
      <c r="MNO226" s="4"/>
      <c r="MNQ226" s="4"/>
      <c r="MNS226" s="4"/>
      <c r="MNU226" s="4"/>
      <c r="MNW226" s="4"/>
      <c r="MNY226" s="4"/>
      <c r="MOA226" s="4"/>
      <c r="MOC226" s="4"/>
      <c r="MOE226" s="4"/>
      <c r="MOG226" s="4"/>
      <c r="MOI226" s="4"/>
      <c r="MOK226" s="4"/>
      <c r="MOM226" s="4"/>
      <c r="MOO226" s="4"/>
      <c r="MOQ226" s="4"/>
      <c r="MOS226" s="4"/>
      <c r="MOU226" s="4"/>
      <c r="MOW226" s="4"/>
      <c r="MOY226" s="4"/>
      <c r="MPA226" s="4"/>
      <c r="MPC226" s="4"/>
      <c r="MPE226" s="4"/>
      <c r="MPG226" s="4"/>
      <c r="MPI226" s="4"/>
      <c r="MPK226" s="4"/>
      <c r="MPM226" s="4"/>
      <c r="MPO226" s="4"/>
      <c r="MPQ226" s="4"/>
      <c r="MPS226" s="4"/>
      <c r="MPU226" s="4"/>
      <c r="MPW226" s="4"/>
      <c r="MPY226" s="4"/>
      <c r="MQA226" s="4"/>
      <c r="MQC226" s="4"/>
      <c r="MQE226" s="4"/>
      <c r="MQG226" s="4"/>
      <c r="MQI226" s="4"/>
      <c r="MQK226" s="4"/>
      <c r="MQM226" s="4"/>
      <c r="MQO226" s="4"/>
      <c r="MQQ226" s="4"/>
      <c r="MQS226" s="4"/>
      <c r="MQU226" s="4"/>
      <c r="MQW226" s="4"/>
      <c r="MQY226" s="4"/>
      <c r="MRA226" s="4"/>
      <c r="MRC226" s="4"/>
      <c r="MRE226" s="4"/>
      <c r="MRG226" s="4"/>
      <c r="MRI226" s="4"/>
      <c r="MRK226" s="4"/>
      <c r="MRM226" s="4"/>
      <c r="MRO226" s="4"/>
      <c r="MRQ226" s="4"/>
      <c r="MRS226" s="4"/>
      <c r="MRU226" s="4"/>
      <c r="MRW226" s="4"/>
      <c r="MRY226" s="4"/>
      <c r="MSA226" s="4"/>
      <c r="MSC226" s="4"/>
      <c r="MSE226" s="4"/>
      <c r="MSG226" s="4"/>
      <c r="MSI226" s="4"/>
      <c r="MSK226" s="4"/>
      <c r="MSM226" s="4"/>
      <c r="MSO226" s="4"/>
      <c r="MSQ226" s="4"/>
      <c r="MSS226" s="4"/>
      <c r="MSU226" s="4"/>
      <c r="MSW226" s="4"/>
      <c r="MSY226" s="4"/>
      <c r="MTA226" s="4"/>
      <c r="MTC226" s="4"/>
      <c r="MTE226" s="4"/>
      <c r="MTG226" s="4"/>
      <c r="MTI226" s="4"/>
      <c r="MTK226" s="4"/>
      <c r="MTM226" s="4"/>
      <c r="MTO226" s="4"/>
      <c r="MTQ226" s="4"/>
      <c r="MTS226" s="4"/>
      <c r="MTU226" s="4"/>
      <c r="MTW226" s="4"/>
      <c r="MTY226" s="4"/>
      <c r="MUA226" s="4"/>
      <c r="MUC226" s="4"/>
      <c r="MUE226" s="4"/>
      <c r="MUG226" s="4"/>
      <c r="MUI226" s="4"/>
      <c r="MUK226" s="4"/>
      <c r="MUM226" s="4"/>
      <c r="MUO226" s="4"/>
      <c r="MUQ226" s="4"/>
      <c r="MUS226" s="4"/>
      <c r="MUU226" s="4"/>
      <c r="MUW226" s="4"/>
      <c r="MUY226" s="4"/>
      <c r="MVA226" s="4"/>
      <c r="MVC226" s="4"/>
      <c r="MVE226" s="4"/>
      <c r="MVG226" s="4"/>
      <c r="MVI226" s="4"/>
      <c r="MVK226" s="4"/>
      <c r="MVM226" s="4"/>
      <c r="MVO226" s="4"/>
      <c r="MVQ226" s="4"/>
      <c r="MVS226" s="4"/>
      <c r="MVU226" s="4"/>
      <c r="MVW226" s="4"/>
      <c r="MVY226" s="4"/>
      <c r="MWA226" s="4"/>
      <c r="MWC226" s="4"/>
      <c r="MWE226" s="4"/>
      <c r="MWG226" s="4"/>
      <c r="MWI226" s="4"/>
      <c r="MWK226" s="4"/>
      <c r="MWM226" s="4"/>
      <c r="MWO226" s="4"/>
      <c r="MWQ226" s="4"/>
      <c r="MWS226" s="4"/>
      <c r="MWU226" s="4"/>
      <c r="MWW226" s="4"/>
      <c r="MWY226" s="4"/>
      <c r="MXA226" s="4"/>
      <c r="MXC226" s="4"/>
      <c r="MXE226" s="4"/>
      <c r="MXG226" s="4"/>
      <c r="MXI226" s="4"/>
      <c r="MXK226" s="4"/>
      <c r="MXM226" s="4"/>
      <c r="MXO226" s="4"/>
      <c r="MXQ226" s="4"/>
      <c r="MXS226" s="4"/>
      <c r="MXU226" s="4"/>
      <c r="MXW226" s="4"/>
      <c r="MXY226" s="4"/>
      <c r="MYA226" s="4"/>
      <c r="MYC226" s="4"/>
      <c r="MYE226" s="4"/>
      <c r="MYG226" s="4"/>
      <c r="MYI226" s="4"/>
      <c r="MYK226" s="4"/>
      <c r="MYM226" s="4"/>
      <c r="MYO226" s="4"/>
      <c r="MYQ226" s="4"/>
      <c r="MYS226" s="4"/>
      <c r="MYU226" s="4"/>
      <c r="MYW226" s="4"/>
      <c r="MYY226" s="4"/>
      <c r="MZA226" s="4"/>
      <c r="MZC226" s="4"/>
      <c r="MZE226" s="4"/>
      <c r="MZG226" s="4"/>
      <c r="MZI226" s="4"/>
      <c r="MZK226" s="4"/>
      <c r="MZM226" s="4"/>
      <c r="MZO226" s="4"/>
      <c r="MZQ226" s="4"/>
      <c r="MZS226" s="4"/>
      <c r="MZU226" s="4"/>
      <c r="MZW226" s="4"/>
      <c r="MZY226" s="4"/>
      <c r="NAA226" s="4"/>
      <c r="NAC226" s="4"/>
      <c r="NAE226" s="4"/>
      <c r="NAG226" s="4"/>
      <c r="NAI226" s="4"/>
      <c r="NAK226" s="4"/>
      <c r="NAM226" s="4"/>
      <c r="NAO226" s="4"/>
      <c r="NAQ226" s="4"/>
      <c r="NAS226" s="4"/>
      <c r="NAU226" s="4"/>
      <c r="NAW226" s="4"/>
      <c r="NAY226" s="4"/>
      <c r="NBA226" s="4"/>
      <c r="NBC226" s="4"/>
      <c r="NBE226" s="4"/>
      <c r="NBG226" s="4"/>
      <c r="NBI226" s="4"/>
      <c r="NBK226" s="4"/>
      <c r="NBM226" s="4"/>
      <c r="NBO226" s="4"/>
      <c r="NBQ226" s="4"/>
      <c r="NBS226" s="4"/>
      <c r="NBU226" s="4"/>
      <c r="NBW226" s="4"/>
      <c r="NBY226" s="4"/>
      <c r="NCA226" s="4"/>
      <c r="NCC226" s="4"/>
      <c r="NCE226" s="4"/>
      <c r="NCG226" s="4"/>
      <c r="NCI226" s="4"/>
      <c r="NCK226" s="4"/>
      <c r="NCM226" s="4"/>
      <c r="NCO226" s="4"/>
      <c r="NCQ226" s="4"/>
      <c r="NCS226" s="4"/>
      <c r="NCU226" s="4"/>
      <c r="NCW226" s="4"/>
      <c r="NCY226" s="4"/>
      <c r="NDA226" s="4"/>
      <c r="NDC226" s="4"/>
      <c r="NDE226" s="4"/>
      <c r="NDG226" s="4"/>
      <c r="NDI226" s="4"/>
      <c r="NDK226" s="4"/>
      <c r="NDM226" s="4"/>
      <c r="NDO226" s="4"/>
      <c r="NDQ226" s="4"/>
      <c r="NDS226" s="4"/>
      <c r="NDU226" s="4"/>
      <c r="NDW226" s="4"/>
      <c r="NDY226" s="4"/>
      <c r="NEA226" s="4"/>
      <c r="NEC226" s="4"/>
      <c r="NEE226" s="4"/>
      <c r="NEG226" s="4"/>
      <c r="NEI226" s="4"/>
      <c r="NEK226" s="4"/>
      <c r="NEM226" s="4"/>
      <c r="NEO226" s="4"/>
      <c r="NEQ226" s="4"/>
      <c r="NES226" s="4"/>
      <c r="NEU226" s="4"/>
      <c r="NEW226" s="4"/>
      <c r="NEY226" s="4"/>
      <c r="NFA226" s="4"/>
      <c r="NFC226" s="4"/>
      <c r="NFE226" s="4"/>
      <c r="NFG226" s="4"/>
      <c r="NFI226" s="4"/>
      <c r="NFK226" s="4"/>
      <c r="NFM226" s="4"/>
      <c r="NFO226" s="4"/>
      <c r="NFQ226" s="4"/>
      <c r="NFS226" s="4"/>
      <c r="NFU226" s="4"/>
      <c r="NFW226" s="4"/>
      <c r="NFY226" s="4"/>
      <c r="NGA226" s="4"/>
      <c r="NGC226" s="4"/>
      <c r="NGE226" s="4"/>
      <c r="NGG226" s="4"/>
      <c r="NGI226" s="4"/>
      <c r="NGK226" s="4"/>
      <c r="NGM226" s="4"/>
      <c r="NGO226" s="4"/>
      <c r="NGQ226" s="4"/>
      <c r="NGS226" s="4"/>
      <c r="NGU226" s="4"/>
      <c r="NGW226" s="4"/>
      <c r="NGY226" s="4"/>
      <c r="NHA226" s="4"/>
      <c r="NHC226" s="4"/>
      <c r="NHE226" s="4"/>
      <c r="NHG226" s="4"/>
      <c r="NHI226" s="4"/>
      <c r="NHK226" s="4"/>
      <c r="NHM226" s="4"/>
      <c r="NHO226" s="4"/>
      <c r="NHQ226" s="4"/>
      <c r="NHS226" s="4"/>
      <c r="NHU226" s="4"/>
      <c r="NHW226" s="4"/>
      <c r="NHY226" s="4"/>
      <c r="NIA226" s="4"/>
      <c r="NIC226" s="4"/>
      <c r="NIE226" s="4"/>
      <c r="NIG226" s="4"/>
      <c r="NII226" s="4"/>
      <c r="NIK226" s="4"/>
      <c r="NIM226" s="4"/>
      <c r="NIO226" s="4"/>
      <c r="NIQ226" s="4"/>
      <c r="NIS226" s="4"/>
      <c r="NIU226" s="4"/>
      <c r="NIW226" s="4"/>
      <c r="NIY226" s="4"/>
      <c r="NJA226" s="4"/>
      <c r="NJC226" s="4"/>
      <c r="NJE226" s="4"/>
      <c r="NJG226" s="4"/>
      <c r="NJI226" s="4"/>
      <c r="NJK226" s="4"/>
      <c r="NJM226" s="4"/>
      <c r="NJO226" s="4"/>
      <c r="NJQ226" s="4"/>
      <c r="NJS226" s="4"/>
      <c r="NJU226" s="4"/>
      <c r="NJW226" s="4"/>
      <c r="NJY226" s="4"/>
      <c r="NKA226" s="4"/>
      <c r="NKC226" s="4"/>
      <c r="NKE226" s="4"/>
      <c r="NKG226" s="4"/>
      <c r="NKI226" s="4"/>
      <c r="NKK226" s="4"/>
      <c r="NKM226" s="4"/>
      <c r="NKO226" s="4"/>
      <c r="NKQ226" s="4"/>
      <c r="NKS226" s="4"/>
      <c r="NKU226" s="4"/>
      <c r="NKW226" s="4"/>
      <c r="NKY226" s="4"/>
      <c r="NLA226" s="4"/>
      <c r="NLC226" s="4"/>
      <c r="NLE226" s="4"/>
      <c r="NLG226" s="4"/>
      <c r="NLI226" s="4"/>
      <c r="NLK226" s="4"/>
      <c r="NLM226" s="4"/>
      <c r="NLO226" s="4"/>
      <c r="NLQ226" s="4"/>
      <c r="NLS226" s="4"/>
      <c r="NLU226" s="4"/>
      <c r="NLW226" s="4"/>
      <c r="NLY226" s="4"/>
      <c r="NMA226" s="4"/>
      <c r="NMC226" s="4"/>
      <c r="NME226" s="4"/>
      <c r="NMG226" s="4"/>
      <c r="NMI226" s="4"/>
      <c r="NMK226" s="4"/>
      <c r="NMM226" s="4"/>
      <c r="NMO226" s="4"/>
      <c r="NMQ226" s="4"/>
      <c r="NMS226" s="4"/>
      <c r="NMU226" s="4"/>
      <c r="NMW226" s="4"/>
      <c r="NMY226" s="4"/>
      <c r="NNA226" s="4"/>
      <c r="NNC226" s="4"/>
      <c r="NNE226" s="4"/>
      <c r="NNG226" s="4"/>
      <c r="NNI226" s="4"/>
      <c r="NNK226" s="4"/>
      <c r="NNM226" s="4"/>
      <c r="NNO226" s="4"/>
      <c r="NNQ226" s="4"/>
      <c r="NNS226" s="4"/>
      <c r="NNU226" s="4"/>
      <c r="NNW226" s="4"/>
      <c r="NNY226" s="4"/>
      <c r="NOA226" s="4"/>
      <c r="NOC226" s="4"/>
      <c r="NOE226" s="4"/>
      <c r="NOG226" s="4"/>
      <c r="NOI226" s="4"/>
      <c r="NOK226" s="4"/>
      <c r="NOM226" s="4"/>
      <c r="NOO226" s="4"/>
      <c r="NOQ226" s="4"/>
      <c r="NOS226" s="4"/>
      <c r="NOU226" s="4"/>
      <c r="NOW226" s="4"/>
      <c r="NOY226" s="4"/>
      <c r="NPA226" s="4"/>
      <c r="NPC226" s="4"/>
      <c r="NPE226" s="4"/>
      <c r="NPG226" s="4"/>
      <c r="NPI226" s="4"/>
      <c r="NPK226" s="4"/>
      <c r="NPM226" s="4"/>
      <c r="NPO226" s="4"/>
      <c r="NPQ226" s="4"/>
      <c r="NPS226" s="4"/>
      <c r="NPU226" s="4"/>
      <c r="NPW226" s="4"/>
      <c r="NPY226" s="4"/>
      <c r="NQA226" s="4"/>
      <c r="NQC226" s="4"/>
      <c r="NQE226" s="4"/>
      <c r="NQG226" s="4"/>
      <c r="NQI226" s="4"/>
      <c r="NQK226" s="4"/>
      <c r="NQM226" s="4"/>
      <c r="NQO226" s="4"/>
      <c r="NQQ226" s="4"/>
      <c r="NQS226" s="4"/>
      <c r="NQU226" s="4"/>
      <c r="NQW226" s="4"/>
      <c r="NQY226" s="4"/>
      <c r="NRA226" s="4"/>
      <c r="NRC226" s="4"/>
      <c r="NRE226" s="4"/>
      <c r="NRG226" s="4"/>
      <c r="NRI226" s="4"/>
      <c r="NRK226" s="4"/>
      <c r="NRM226" s="4"/>
      <c r="NRO226" s="4"/>
      <c r="NRQ226" s="4"/>
      <c r="NRS226" s="4"/>
      <c r="NRU226" s="4"/>
      <c r="NRW226" s="4"/>
      <c r="NRY226" s="4"/>
      <c r="NSA226" s="4"/>
      <c r="NSC226" s="4"/>
      <c r="NSE226" s="4"/>
      <c r="NSG226" s="4"/>
      <c r="NSI226" s="4"/>
      <c r="NSK226" s="4"/>
      <c r="NSM226" s="4"/>
      <c r="NSO226" s="4"/>
      <c r="NSQ226" s="4"/>
      <c r="NSS226" s="4"/>
      <c r="NSU226" s="4"/>
      <c r="NSW226" s="4"/>
      <c r="NSY226" s="4"/>
      <c r="NTA226" s="4"/>
      <c r="NTC226" s="4"/>
      <c r="NTE226" s="4"/>
      <c r="NTG226" s="4"/>
      <c r="NTI226" s="4"/>
      <c r="NTK226" s="4"/>
      <c r="NTM226" s="4"/>
      <c r="NTO226" s="4"/>
      <c r="NTQ226" s="4"/>
      <c r="NTS226" s="4"/>
      <c r="NTU226" s="4"/>
      <c r="NTW226" s="4"/>
      <c r="NTY226" s="4"/>
      <c r="NUA226" s="4"/>
      <c r="NUC226" s="4"/>
      <c r="NUE226" s="4"/>
      <c r="NUG226" s="4"/>
      <c r="NUI226" s="4"/>
      <c r="NUK226" s="4"/>
      <c r="NUM226" s="4"/>
      <c r="NUO226" s="4"/>
      <c r="NUQ226" s="4"/>
      <c r="NUS226" s="4"/>
      <c r="NUU226" s="4"/>
      <c r="NUW226" s="4"/>
      <c r="NUY226" s="4"/>
      <c r="NVA226" s="4"/>
      <c r="NVC226" s="4"/>
      <c r="NVE226" s="4"/>
      <c r="NVG226" s="4"/>
      <c r="NVI226" s="4"/>
      <c r="NVK226" s="4"/>
      <c r="NVM226" s="4"/>
      <c r="NVO226" s="4"/>
      <c r="NVQ226" s="4"/>
      <c r="NVS226" s="4"/>
      <c r="NVU226" s="4"/>
      <c r="NVW226" s="4"/>
      <c r="NVY226" s="4"/>
      <c r="NWA226" s="4"/>
      <c r="NWC226" s="4"/>
      <c r="NWE226" s="4"/>
      <c r="NWG226" s="4"/>
      <c r="NWI226" s="4"/>
      <c r="NWK226" s="4"/>
      <c r="NWM226" s="4"/>
      <c r="NWO226" s="4"/>
      <c r="NWQ226" s="4"/>
      <c r="NWS226" s="4"/>
      <c r="NWU226" s="4"/>
      <c r="NWW226" s="4"/>
      <c r="NWY226" s="4"/>
      <c r="NXA226" s="4"/>
      <c r="NXC226" s="4"/>
      <c r="NXE226" s="4"/>
      <c r="NXG226" s="4"/>
      <c r="NXI226" s="4"/>
      <c r="NXK226" s="4"/>
      <c r="NXM226" s="4"/>
      <c r="NXO226" s="4"/>
      <c r="NXQ226" s="4"/>
      <c r="NXS226" s="4"/>
      <c r="NXU226" s="4"/>
      <c r="NXW226" s="4"/>
      <c r="NXY226" s="4"/>
      <c r="NYA226" s="4"/>
      <c r="NYC226" s="4"/>
      <c r="NYE226" s="4"/>
      <c r="NYG226" s="4"/>
      <c r="NYI226" s="4"/>
      <c r="NYK226" s="4"/>
      <c r="NYM226" s="4"/>
      <c r="NYO226" s="4"/>
      <c r="NYQ226" s="4"/>
      <c r="NYS226" s="4"/>
      <c r="NYU226" s="4"/>
      <c r="NYW226" s="4"/>
      <c r="NYY226" s="4"/>
      <c r="NZA226" s="4"/>
      <c r="NZC226" s="4"/>
      <c r="NZE226" s="4"/>
      <c r="NZG226" s="4"/>
      <c r="NZI226" s="4"/>
      <c r="NZK226" s="4"/>
      <c r="NZM226" s="4"/>
      <c r="NZO226" s="4"/>
      <c r="NZQ226" s="4"/>
      <c r="NZS226" s="4"/>
      <c r="NZU226" s="4"/>
      <c r="NZW226" s="4"/>
      <c r="NZY226" s="4"/>
      <c r="OAA226" s="4"/>
      <c r="OAC226" s="4"/>
      <c r="OAE226" s="4"/>
      <c r="OAG226" s="4"/>
      <c r="OAI226" s="4"/>
      <c r="OAK226" s="4"/>
      <c r="OAM226" s="4"/>
      <c r="OAO226" s="4"/>
      <c r="OAQ226" s="4"/>
      <c r="OAS226" s="4"/>
      <c r="OAU226" s="4"/>
      <c r="OAW226" s="4"/>
      <c r="OAY226" s="4"/>
      <c r="OBA226" s="4"/>
      <c r="OBC226" s="4"/>
      <c r="OBE226" s="4"/>
      <c r="OBG226" s="4"/>
      <c r="OBI226" s="4"/>
      <c r="OBK226" s="4"/>
      <c r="OBM226" s="4"/>
      <c r="OBO226" s="4"/>
      <c r="OBQ226" s="4"/>
      <c r="OBS226" s="4"/>
      <c r="OBU226" s="4"/>
      <c r="OBW226" s="4"/>
      <c r="OBY226" s="4"/>
      <c r="OCA226" s="4"/>
      <c r="OCC226" s="4"/>
      <c r="OCE226" s="4"/>
      <c r="OCG226" s="4"/>
      <c r="OCI226" s="4"/>
      <c r="OCK226" s="4"/>
      <c r="OCM226" s="4"/>
      <c r="OCO226" s="4"/>
      <c r="OCQ226" s="4"/>
      <c r="OCS226" s="4"/>
      <c r="OCU226" s="4"/>
      <c r="OCW226" s="4"/>
      <c r="OCY226" s="4"/>
      <c r="ODA226" s="4"/>
      <c r="ODC226" s="4"/>
      <c r="ODE226" s="4"/>
      <c r="ODG226" s="4"/>
      <c r="ODI226" s="4"/>
      <c r="ODK226" s="4"/>
      <c r="ODM226" s="4"/>
      <c r="ODO226" s="4"/>
      <c r="ODQ226" s="4"/>
      <c r="ODS226" s="4"/>
      <c r="ODU226" s="4"/>
      <c r="ODW226" s="4"/>
      <c r="ODY226" s="4"/>
      <c r="OEA226" s="4"/>
      <c r="OEC226" s="4"/>
      <c r="OEE226" s="4"/>
      <c r="OEG226" s="4"/>
      <c r="OEI226" s="4"/>
      <c r="OEK226" s="4"/>
      <c r="OEM226" s="4"/>
      <c r="OEO226" s="4"/>
      <c r="OEQ226" s="4"/>
      <c r="OES226" s="4"/>
      <c r="OEU226" s="4"/>
      <c r="OEW226" s="4"/>
      <c r="OEY226" s="4"/>
      <c r="OFA226" s="4"/>
      <c r="OFC226" s="4"/>
      <c r="OFE226" s="4"/>
      <c r="OFG226" s="4"/>
      <c r="OFI226" s="4"/>
      <c r="OFK226" s="4"/>
      <c r="OFM226" s="4"/>
      <c r="OFO226" s="4"/>
      <c r="OFQ226" s="4"/>
      <c r="OFS226" s="4"/>
      <c r="OFU226" s="4"/>
      <c r="OFW226" s="4"/>
      <c r="OFY226" s="4"/>
      <c r="OGA226" s="4"/>
      <c r="OGC226" s="4"/>
      <c r="OGE226" s="4"/>
      <c r="OGG226" s="4"/>
      <c r="OGI226" s="4"/>
      <c r="OGK226" s="4"/>
      <c r="OGM226" s="4"/>
      <c r="OGO226" s="4"/>
      <c r="OGQ226" s="4"/>
      <c r="OGS226" s="4"/>
      <c r="OGU226" s="4"/>
      <c r="OGW226" s="4"/>
      <c r="OGY226" s="4"/>
      <c r="OHA226" s="4"/>
      <c r="OHC226" s="4"/>
      <c r="OHE226" s="4"/>
      <c r="OHG226" s="4"/>
      <c r="OHI226" s="4"/>
      <c r="OHK226" s="4"/>
      <c r="OHM226" s="4"/>
      <c r="OHO226" s="4"/>
      <c r="OHQ226" s="4"/>
      <c r="OHS226" s="4"/>
      <c r="OHU226" s="4"/>
      <c r="OHW226" s="4"/>
      <c r="OHY226" s="4"/>
      <c r="OIA226" s="4"/>
      <c r="OIC226" s="4"/>
      <c r="OIE226" s="4"/>
      <c r="OIG226" s="4"/>
      <c r="OII226" s="4"/>
      <c r="OIK226" s="4"/>
      <c r="OIM226" s="4"/>
      <c r="OIO226" s="4"/>
      <c r="OIQ226" s="4"/>
      <c r="OIS226" s="4"/>
      <c r="OIU226" s="4"/>
      <c r="OIW226" s="4"/>
      <c r="OIY226" s="4"/>
      <c r="OJA226" s="4"/>
      <c r="OJC226" s="4"/>
      <c r="OJE226" s="4"/>
      <c r="OJG226" s="4"/>
      <c r="OJI226" s="4"/>
      <c r="OJK226" s="4"/>
      <c r="OJM226" s="4"/>
      <c r="OJO226" s="4"/>
      <c r="OJQ226" s="4"/>
      <c r="OJS226" s="4"/>
      <c r="OJU226" s="4"/>
      <c r="OJW226" s="4"/>
      <c r="OJY226" s="4"/>
      <c r="OKA226" s="4"/>
      <c r="OKC226" s="4"/>
      <c r="OKE226" s="4"/>
      <c r="OKG226" s="4"/>
      <c r="OKI226" s="4"/>
      <c r="OKK226" s="4"/>
      <c r="OKM226" s="4"/>
      <c r="OKO226" s="4"/>
      <c r="OKQ226" s="4"/>
      <c r="OKS226" s="4"/>
      <c r="OKU226" s="4"/>
      <c r="OKW226" s="4"/>
      <c r="OKY226" s="4"/>
      <c r="OLA226" s="4"/>
      <c r="OLC226" s="4"/>
      <c r="OLE226" s="4"/>
      <c r="OLG226" s="4"/>
      <c r="OLI226" s="4"/>
      <c r="OLK226" s="4"/>
      <c r="OLM226" s="4"/>
      <c r="OLO226" s="4"/>
      <c r="OLQ226" s="4"/>
      <c r="OLS226" s="4"/>
      <c r="OLU226" s="4"/>
      <c r="OLW226" s="4"/>
      <c r="OLY226" s="4"/>
      <c r="OMA226" s="4"/>
      <c r="OMC226" s="4"/>
      <c r="OME226" s="4"/>
      <c r="OMG226" s="4"/>
      <c r="OMI226" s="4"/>
      <c r="OMK226" s="4"/>
      <c r="OMM226" s="4"/>
      <c r="OMO226" s="4"/>
      <c r="OMQ226" s="4"/>
      <c r="OMS226" s="4"/>
      <c r="OMU226" s="4"/>
      <c r="OMW226" s="4"/>
      <c r="OMY226" s="4"/>
      <c r="ONA226" s="4"/>
      <c r="ONC226" s="4"/>
      <c r="ONE226" s="4"/>
      <c r="ONG226" s="4"/>
      <c r="ONI226" s="4"/>
      <c r="ONK226" s="4"/>
      <c r="ONM226" s="4"/>
      <c r="ONO226" s="4"/>
      <c r="ONQ226" s="4"/>
      <c r="ONS226" s="4"/>
      <c r="ONU226" s="4"/>
      <c r="ONW226" s="4"/>
      <c r="ONY226" s="4"/>
      <c r="OOA226" s="4"/>
      <c r="OOC226" s="4"/>
      <c r="OOE226" s="4"/>
      <c r="OOG226" s="4"/>
      <c r="OOI226" s="4"/>
      <c r="OOK226" s="4"/>
      <c r="OOM226" s="4"/>
      <c r="OOO226" s="4"/>
      <c r="OOQ226" s="4"/>
      <c r="OOS226" s="4"/>
      <c r="OOU226" s="4"/>
      <c r="OOW226" s="4"/>
      <c r="OOY226" s="4"/>
      <c r="OPA226" s="4"/>
      <c r="OPC226" s="4"/>
      <c r="OPE226" s="4"/>
      <c r="OPG226" s="4"/>
      <c r="OPI226" s="4"/>
      <c r="OPK226" s="4"/>
      <c r="OPM226" s="4"/>
      <c r="OPO226" s="4"/>
      <c r="OPQ226" s="4"/>
      <c r="OPS226" s="4"/>
      <c r="OPU226" s="4"/>
      <c r="OPW226" s="4"/>
      <c r="OPY226" s="4"/>
      <c r="OQA226" s="4"/>
      <c r="OQC226" s="4"/>
      <c r="OQE226" s="4"/>
      <c r="OQG226" s="4"/>
      <c r="OQI226" s="4"/>
      <c r="OQK226" s="4"/>
      <c r="OQM226" s="4"/>
      <c r="OQO226" s="4"/>
      <c r="OQQ226" s="4"/>
      <c r="OQS226" s="4"/>
      <c r="OQU226" s="4"/>
      <c r="OQW226" s="4"/>
      <c r="OQY226" s="4"/>
      <c r="ORA226" s="4"/>
      <c r="ORC226" s="4"/>
      <c r="ORE226" s="4"/>
      <c r="ORG226" s="4"/>
      <c r="ORI226" s="4"/>
      <c r="ORK226" s="4"/>
      <c r="ORM226" s="4"/>
      <c r="ORO226" s="4"/>
      <c r="ORQ226" s="4"/>
      <c r="ORS226" s="4"/>
      <c r="ORU226" s="4"/>
      <c r="ORW226" s="4"/>
      <c r="ORY226" s="4"/>
      <c r="OSA226" s="4"/>
      <c r="OSC226" s="4"/>
      <c r="OSE226" s="4"/>
      <c r="OSG226" s="4"/>
      <c r="OSI226" s="4"/>
      <c r="OSK226" s="4"/>
      <c r="OSM226" s="4"/>
      <c r="OSO226" s="4"/>
      <c r="OSQ226" s="4"/>
      <c r="OSS226" s="4"/>
      <c r="OSU226" s="4"/>
      <c r="OSW226" s="4"/>
      <c r="OSY226" s="4"/>
      <c r="OTA226" s="4"/>
      <c r="OTC226" s="4"/>
      <c r="OTE226" s="4"/>
      <c r="OTG226" s="4"/>
      <c r="OTI226" s="4"/>
      <c r="OTK226" s="4"/>
      <c r="OTM226" s="4"/>
      <c r="OTO226" s="4"/>
      <c r="OTQ226" s="4"/>
      <c r="OTS226" s="4"/>
      <c r="OTU226" s="4"/>
      <c r="OTW226" s="4"/>
      <c r="OTY226" s="4"/>
      <c r="OUA226" s="4"/>
      <c r="OUC226" s="4"/>
      <c r="OUE226" s="4"/>
      <c r="OUG226" s="4"/>
      <c r="OUI226" s="4"/>
      <c r="OUK226" s="4"/>
      <c r="OUM226" s="4"/>
      <c r="OUO226" s="4"/>
      <c r="OUQ226" s="4"/>
      <c r="OUS226" s="4"/>
      <c r="OUU226" s="4"/>
      <c r="OUW226" s="4"/>
      <c r="OUY226" s="4"/>
      <c r="OVA226" s="4"/>
      <c r="OVC226" s="4"/>
      <c r="OVE226" s="4"/>
      <c r="OVG226" s="4"/>
      <c r="OVI226" s="4"/>
      <c r="OVK226" s="4"/>
      <c r="OVM226" s="4"/>
      <c r="OVO226" s="4"/>
      <c r="OVQ226" s="4"/>
      <c r="OVS226" s="4"/>
      <c r="OVU226" s="4"/>
      <c r="OVW226" s="4"/>
      <c r="OVY226" s="4"/>
      <c r="OWA226" s="4"/>
      <c r="OWC226" s="4"/>
      <c r="OWE226" s="4"/>
      <c r="OWG226" s="4"/>
      <c r="OWI226" s="4"/>
      <c r="OWK226" s="4"/>
      <c r="OWM226" s="4"/>
      <c r="OWO226" s="4"/>
      <c r="OWQ226" s="4"/>
      <c r="OWS226" s="4"/>
      <c r="OWU226" s="4"/>
      <c r="OWW226" s="4"/>
      <c r="OWY226" s="4"/>
      <c r="OXA226" s="4"/>
      <c r="OXC226" s="4"/>
      <c r="OXE226" s="4"/>
      <c r="OXG226" s="4"/>
      <c r="OXI226" s="4"/>
      <c r="OXK226" s="4"/>
      <c r="OXM226" s="4"/>
      <c r="OXO226" s="4"/>
      <c r="OXQ226" s="4"/>
      <c r="OXS226" s="4"/>
      <c r="OXU226" s="4"/>
      <c r="OXW226" s="4"/>
      <c r="OXY226" s="4"/>
      <c r="OYA226" s="4"/>
      <c r="OYC226" s="4"/>
      <c r="OYE226" s="4"/>
      <c r="OYG226" s="4"/>
      <c r="OYI226" s="4"/>
      <c r="OYK226" s="4"/>
      <c r="OYM226" s="4"/>
      <c r="OYO226" s="4"/>
      <c r="OYQ226" s="4"/>
      <c r="OYS226" s="4"/>
      <c r="OYU226" s="4"/>
      <c r="OYW226" s="4"/>
      <c r="OYY226" s="4"/>
      <c r="OZA226" s="4"/>
      <c r="OZC226" s="4"/>
      <c r="OZE226" s="4"/>
      <c r="OZG226" s="4"/>
      <c r="OZI226" s="4"/>
      <c r="OZK226" s="4"/>
      <c r="OZM226" s="4"/>
      <c r="OZO226" s="4"/>
      <c r="OZQ226" s="4"/>
      <c r="OZS226" s="4"/>
      <c r="OZU226" s="4"/>
      <c r="OZW226" s="4"/>
      <c r="OZY226" s="4"/>
      <c r="PAA226" s="4"/>
      <c r="PAC226" s="4"/>
      <c r="PAE226" s="4"/>
      <c r="PAG226" s="4"/>
      <c r="PAI226" s="4"/>
      <c r="PAK226" s="4"/>
      <c r="PAM226" s="4"/>
      <c r="PAO226" s="4"/>
      <c r="PAQ226" s="4"/>
      <c r="PAS226" s="4"/>
      <c r="PAU226" s="4"/>
      <c r="PAW226" s="4"/>
      <c r="PAY226" s="4"/>
      <c r="PBA226" s="4"/>
      <c r="PBC226" s="4"/>
      <c r="PBE226" s="4"/>
      <c r="PBG226" s="4"/>
      <c r="PBI226" s="4"/>
      <c r="PBK226" s="4"/>
      <c r="PBM226" s="4"/>
      <c r="PBO226" s="4"/>
      <c r="PBQ226" s="4"/>
      <c r="PBS226" s="4"/>
      <c r="PBU226" s="4"/>
      <c r="PBW226" s="4"/>
      <c r="PBY226" s="4"/>
      <c r="PCA226" s="4"/>
      <c r="PCC226" s="4"/>
      <c r="PCE226" s="4"/>
      <c r="PCG226" s="4"/>
      <c r="PCI226" s="4"/>
      <c r="PCK226" s="4"/>
      <c r="PCM226" s="4"/>
      <c r="PCO226" s="4"/>
      <c r="PCQ226" s="4"/>
      <c r="PCS226" s="4"/>
      <c r="PCU226" s="4"/>
      <c r="PCW226" s="4"/>
      <c r="PCY226" s="4"/>
      <c r="PDA226" s="4"/>
      <c r="PDC226" s="4"/>
      <c r="PDE226" s="4"/>
      <c r="PDG226" s="4"/>
      <c r="PDI226" s="4"/>
      <c r="PDK226" s="4"/>
      <c r="PDM226" s="4"/>
      <c r="PDO226" s="4"/>
      <c r="PDQ226" s="4"/>
      <c r="PDS226" s="4"/>
      <c r="PDU226" s="4"/>
      <c r="PDW226" s="4"/>
      <c r="PDY226" s="4"/>
      <c r="PEA226" s="4"/>
      <c r="PEC226" s="4"/>
      <c r="PEE226" s="4"/>
      <c r="PEG226" s="4"/>
      <c r="PEI226" s="4"/>
      <c r="PEK226" s="4"/>
      <c r="PEM226" s="4"/>
      <c r="PEO226" s="4"/>
      <c r="PEQ226" s="4"/>
      <c r="PES226" s="4"/>
      <c r="PEU226" s="4"/>
      <c r="PEW226" s="4"/>
      <c r="PEY226" s="4"/>
      <c r="PFA226" s="4"/>
      <c r="PFC226" s="4"/>
      <c r="PFE226" s="4"/>
      <c r="PFG226" s="4"/>
      <c r="PFI226" s="4"/>
      <c r="PFK226" s="4"/>
      <c r="PFM226" s="4"/>
      <c r="PFO226" s="4"/>
      <c r="PFQ226" s="4"/>
      <c r="PFS226" s="4"/>
      <c r="PFU226" s="4"/>
      <c r="PFW226" s="4"/>
      <c r="PFY226" s="4"/>
      <c r="PGA226" s="4"/>
      <c r="PGC226" s="4"/>
      <c r="PGE226" s="4"/>
      <c r="PGG226" s="4"/>
      <c r="PGI226" s="4"/>
      <c r="PGK226" s="4"/>
      <c r="PGM226" s="4"/>
      <c r="PGO226" s="4"/>
      <c r="PGQ226" s="4"/>
      <c r="PGS226" s="4"/>
      <c r="PGU226" s="4"/>
      <c r="PGW226" s="4"/>
      <c r="PGY226" s="4"/>
      <c r="PHA226" s="4"/>
      <c r="PHC226" s="4"/>
      <c r="PHE226" s="4"/>
      <c r="PHG226" s="4"/>
      <c r="PHI226" s="4"/>
      <c r="PHK226" s="4"/>
      <c r="PHM226" s="4"/>
      <c r="PHO226" s="4"/>
      <c r="PHQ226" s="4"/>
      <c r="PHS226" s="4"/>
      <c r="PHU226" s="4"/>
      <c r="PHW226" s="4"/>
      <c r="PHY226" s="4"/>
      <c r="PIA226" s="4"/>
      <c r="PIC226" s="4"/>
      <c r="PIE226" s="4"/>
      <c r="PIG226" s="4"/>
      <c r="PII226" s="4"/>
      <c r="PIK226" s="4"/>
      <c r="PIM226" s="4"/>
      <c r="PIO226" s="4"/>
      <c r="PIQ226" s="4"/>
      <c r="PIS226" s="4"/>
      <c r="PIU226" s="4"/>
      <c r="PIW226" s="4"/>
      <c r="PIY226" s="4"/>
      <c r="PJA226" s="4"/>
      <c r="PJC226" s="4"/>
      <c r="PJE226" s="4"/>
      <c r="PJG226" s="4"/>
      <c r="PJI226" s="4"/>
      <c r="PJK226" s="4"/>
      <c r="PJM226" s="4"/>
      <c r="PJO226" s="4"/>
      <c r="PJQ226" s="4"/>
      <c r="PJS226" s="4"/>
      <c r="PJU226" s="4"/>
      <c r="PJW226" s="4"/>
      <c r="PJY226" s="4"/>
      <c r="PKA226" s="4"/>
      <c r="PKC226" s="4"/>
      <c r="PKE226" s="4"/>
      <c r="PKG226" s="4"/>
      <c r="PKI226" s="4"/>
      <c r="PKK226" s="4"/>
      <c r="PKM226" s="4"/>
      <c r="PKO226" s="4"/>
      <c r="PKQ226" s="4"/>
      <c r="PKS226" s="4"/>
      <c r="PKU226" s="4"/>
      <c r="PKW226" s="4"/>
      <c r="PKY226" s="4"/>
      <c r="PLA226" s="4"/>
      <c r="PLC226" s="4"/>
      <c r="PLE226" s="4"/>
      <c r="PLG226" s="4"/>
      <c r="PLI226" s="4"/>
      <c r="PLK226" s="4"/>
      <c r="PLM226" s="4"/>
      <c r="PLO226" s="4"/>
      <c r="PLQ226" s="4"/>
      <c r="PLS226" s="4"/>
      <c r="PLU226" s="4"/>
      <c r="PLW226" s="4"/>
      <c r="PLY226" s="4"/>
      <c r="PMA226" s="4"/>
      <c r="PMC226" s="4"/>
      <c r="PME226" s="4"/>
      <c r="PMG226" s="4"/>
      <c r="PMI226" s="4"/>
      <c r="PMK226" s="4"/>
      <c r="PMM226" s="4"/>
      <c r="PMO226" s="4"/>
      <c r="PMQ226" s="4"/>
      <c r="PMS226" s="4"/>
      <c r="PMU226" s="4"/>
      <c r="PMW226" s="4"/>
      <c r="PMY226" s="4"/>
      <c r="PNA226" s="4"/>
      <c r="PNC226" s="4"/>
      <c r="PNE226" s="4"/>
      <c r="PNG226" s="4"/>
      <c r="PNI226" s="4"/>
      <c r="PNK226" s="4"/>
      <c r="PNM226" s="4"/>
      <c r="PNO226" s="4"/>
      <c r="PNQ226" s="4"/>
      <c r="PNS226" s="4"/>
      <c r="PNU226" s="4"/>
      <c r="PNW226" s="4"/>
      <c r="PNY226" s="4"/>
      <c r="POA226" s="4"/>
      <c r="POC226" s="4"/>
      <c r="POE226" s="4"/>
      <c r="POG226" s="4"/>
      <c r="POI226" s="4"/>
      <c r="POK226" s="4"/>
      <c r="POM226" s="4"/>
      <c r="POO226" s="4"/>
      <c r="POQ226" s="4"/>
      <c r="POS226" s="4"/>
      <c r="POU226" s="4"/>
      <c r="POW226" s="4"/>
      <c r="POY226" s="4"/>
      <c r="PPA226" s="4"/>
      <c r="PPC226" s="4"/>
      <c r="PPE226" s="4"/>
      <c r="PPG226" s="4"/>
      <c r="PPI226" s="4"/>
      <c r="PPK226" s="4"/>
      <c r="PPM226" s="4"/>
      <c r="PPO226" s="4"/>
      <c r="PPQ226" s="4"/>
      <c r="PPS226" s="4"/>
      <c r="PPU226" s="4"/>
      <c r="PPW226" s="4"/>
      <c r="PPY226" s="4"/>
      <c r="PQA226" s="4"/>
      <c r="PQC226" s="4"/>
      <c r="PQE226" s="4"/>
      <c r="PQG226" s="4"/>
      <c r="PQI226" s="4"/>
      <c r="PQK226" s="4"/>
      <c r="PQM226" s="4"/>
      <c r="PQO226" s="4"/>
      <c r="PQQ226" s="4"/>
      <c r="PQS226" s="4"/>
      <c r="PQU226" s="4"/>
      <c r="PQW226" s="4"/>
      <c r="PQY226" s="4"/>
      <c r="PRA226" s="4"/>
      <c r="PRC226" s="4"/>
      <c r="PRE226" s="4"/>
      <c r="PRG226" s="4"/>
      <c r="PRI226" s="4"/>
      <c r="PRK226" s="4"/>
      <c r="PRM226" s="4"/>
      <c r="PRO226" s="4"/>
      <c r="PRQ226" s="4"/>
      <c r="PRS226" s="4"/>
      <c r="PRU226" s="4"/>
      <c r="PRW226" s="4"/>
      <c r="PRY226" s="4"/>
      <c r="PSA226" s="4"/>
      <c r="PSC226" s="4"/>
      <c r="PSE226" s="4"/>
      <c r="PSG226" s="4"/>
      <c r="PSI226" s="4"/>
      <c r="PSK226" s="4"/>
      <c r="PSM226" s="4"/>
      <c r="PSO226" s="4"/>
      <c r="PSQ226" s="4"/>
      <c r="PSS226" s="4"/>
      <c r="PSU226" s="4"/>
      <c r="PSW226" s="4"/>
      <c r="PSY226" s="4"/>
      <c r="PTA226" s="4"/>
      <c r="PTC226" s="4"/>
      <c r="PTE226" s="4"/>
      <c r="PTG226" s="4"/>
      <c r="PTI226" s="4"/>
      <c r="PTK226" s="4"/>
      <c r="PTM226" s="4"/>
      <c r="PTO226" s="4"/>
      <c r="PTQ226" s="4"/>
      <c r="PTS226" s="4"/>
      <c r="PTU226" s="4"/>
      <c r="PTW226" s="4"/>
      <c r="PTY226" s="4"/>
      <c r="PUA226" s="4"/>
      <c r="PUC226" s="4"/>
      <c r="PUE226" s="4"/>
      <c r="PUG226" s="4"/>
      <c r="PUI226" s="4"/>
      <c r="PUK226" s="4"/>
      <c r="PUM226" s="4"/>
      <c r="PUO226" s="4"/>
      <c r="PUQ226" s="4"/>
      <c r="PUS226" s="4"/>
      <c r="PUU226" s="4"/>
      <c r="PUW226" s="4"/>
      <c r="PUY226" s="4"/>
      <c r="PVA226" s="4"/>
      <c r="PVC226" s="4"/>
      <c r="PVE226" s="4"/>
      <c r="PVG226" s="4"/>
      <c r="PVI226" s="4"/>
      <c r="PVK226" s="4"/>
      <c r="PVM226" s="4"/>
      <c r="PVO226" s="4"/>
      <c r="PVQ226" s="4"/>
      <c r="PVS226" s="4"/>
      <c r="PVU226" s="4"/>
      <c r="PVW226" s="4"/>
      <c r="PVY226" s="4"/>
      <c r="PWA226" s="4"/>
      <c r="PWC226" s="4"/>
      <c r="PWE226" s="4"/>
      <c r="PWG226" s="4"/>
      <c r="PWI226" s="4"/>
      <c r="PWK226" s="4"/>
      <c r="PWM226" s="4"/>
      <c r="PWO226" s="4"/>
      <c r="PWQ226" s="4"/>
      <c r="PWS226" s="4"/>
      <c r="PWU226" s="4"/>
      <c r="PWW226" s="4"/>
      <c r="PWY226" s="4"/>
      <c r="PXA226" s="4"/>
      <c r="PXC226" s="4"/>
      <c r="PXE226" s="4"/>
      <c r="PXG226" s="4"/>
      <c r="PXI226" s="4"/>
      <c r="PXK226" s="4"/>
      <c r="PXM226" s="4"/>
      <c r="PXO226" s="4"/>
      <c r="PXQ226" s="4"/>
      <c r="PXS226" s="4"/>
      <c r="PXU226" s="4"/>
      <c r="PXW226" s="4"/>
      <c r="PXY226" s="4"/>
      <c r="PYA226" s="4"/>
      <c r="PYC226" s="4"/>
      <c r="PYE226" s="4"/>
      <c r="PYG226" s="4"/>
      <c r="PYI226" s="4"/>
      <c r="PYK226" s="4"/>
      <c r="PYM226" s="4"/>
      <c r="PYO226" s="4"/>
      <c r="PYQ226" s="4"/>
      <c r="PYS226" s="4"/>
      <c r="PYU226" s="4"/>
      <c r="PYW226" s="4"/>
      <c r="PYY226" s="4"/>
      <c r="PZA226" s="4"/>
      <c r="PZC226" s="4"/>
      <c r="PZE226" s="4"/>
      <c r="PZG226" s="4"/>
      <c r="PZI226" s="4"/>
      <c r="PZK226" s="4"/>
      <c r="PZM226" s="4"/>
      <c r="PZO226" s="4"/>
      <c r="PZQ226" s="4"/>
      <c r="PZS226" s="4"/>
      <c r="PZU226" s="4"/>
      <c r="PZW226" s="4"/>
      <c r="PZY226" s="4"/>
      <c r="QAA226" s="4"/>
      <c r="QAC226" s="4"/>
      <c r="QAE226" s="4"/>
      <c r="QAG226" s="4"/>
      <c r="QAI226" s="4"/>
      <c r="QAK226" s="4"/>
      <c r="QAM226" s="4"/>
      <c r="QAO226" s="4"/>
      <c r="QAQ226" s="4"/>
      <c r="QAS226" s="4"/>
      <c r="QAU226" s="4"/>
      <c r="QAW226" s="4"/>
      <c r="QAY226" s="4"/>
      <c r="QBA226" s="4"/>
      <c r="QBC226" s="4"/>
      <c r="QBE226" s="4"/>
      <c r="QBG226" s="4"/>
      <c r="QBI226" s="4"/>
      <c r="QBK226" s="4"/>
      <c r="QBM226" s="4"/>
      <c r="QBO226" s="4"/>
      <c r="QBQ226" s="4"/>
      <c r="QBS226" s="4"/>
      <c r="QBU226" s="4"/>
      <c r="QBW226" s="4"/>
      <c r="QBY226" s="4"/>
      <c r="QCA226" s="4"/>
      <c r="QCC226" s="4"/>
      <c r="QCE226" s="4"/>
      <c r="QCG226" s="4"/>
      <c r="QCI226" s="4"/>
      <c r="QCK226" s="4"/>
      <c r="QCM226" s="4"/>
      <c r="QCO226" s="4"/>
      <c r="QCQ226" s="4"/>
      <c r="QCS226" s="4"/>
      <c r="QCU226" s="4"/>
      <c r="QCW226" s="4"/>
      <c r="QCY226" s="4"/>
      <c r="QDA226" s="4"/>
      <c r="QDC226" s="4"/>
      <c r="QDE226" s="4"/>
      <c r="QDG226" s="4"/>
      <c r="QDI226" s="4"/>
      <c r="QDK226" s="4"/>
      <c r="QDM226" s="4"/>
      <c r="QDO226" s="4"/>
      <c r="QDQ226" s="4"/>
      <c r="QDS226" s="4"/>
      <c r="QDU226" s="4"/>
      <c r="QDW226" s="4"/>
      <c r="QDY226" s="4"/>
      <c r="QEA226" s="4"/>
      <c r="QEC226" s="4"/>
      <c r="QEE226" s="4"/>
      <c r="QEG226" s="4"/>
      <c r="QEI226" s="4"/>
      <c r="QEK226" s="4"/>
      <c r="QEM226" s="4"/>
      <c r="QEO226" s="4"/>
      <c r="QEQ226" s="4"/>
      <c r="QES226" s="4"/>
      <c r="QEU226" s="4"/>
      <c r="QEW226" s="4"/>
      <c r="QEY226" s="4"/>
      <c r="QFA226" s="4"/>
      <c r="QFC226" s="4"/>
      <c r="QFE226" s="4"/>
      <c r="QFG226" s="4"/>
      <c r="QFI226" s="4"/>
      <c r="QFK226" s="4"/>
      <c r="QFM226" s="4"/>
      <c r="QFO226" s="4"/>
      <c r="QFQ226" s="4"/>
      <c r="QFS226" s="4"/>
      <c r="QFU226" s="4"/>
      <c r="QFW226" s="4"/>
      <c r="QFY226" s="4"/>
      <c r="QGA226" s="4"/>
      <c r="QGC226" s="4"/>
      <c r="QGE226" s="4"/>
      <c r="QGG226" s="4"/>
      <c r="QGI226" s="4"/>
      <c r="QGK226" s="4"/>
      <c r="QGM226" s="4"/>
      <c r="QGO226" s="4"/>
      <c r="QGQ226" s="4"/>
      <c r="QGS226" s="4"/>
      <c r="QGU226" s="4"/>
      <c r="QGW226" s="4"/>
      <c r="QGY226" s="4"/>
      <c r="QHA226" s="4"/>
      <c r="QHC226" s="4"/>
      <c r="QHE226" s="4"/>
      <c r="QHG226" s="4"/>
      <c r="QHI226" s="4"/>
      <c r="QHK226" s="4"/>
      <c r="QHM226" s="4"/>
      <c r="QHO226" s="4"/>
      <c r="QHQ226" s="4"/>
      <c r="QHS226" s="4"/>
      <c r="QHU226" s="4"/>
      <c r="QHW226" s="4"/>
      <c r="QHY226" s="4"/>
      <c r="QIA226" s="4"/>
      <c r="QIC226" s="4"/>
      <c r="QIE226" s="4"/>
      <c r="QIG226" s="4"/>
      <c r="QII226" s="4"/>
      <c r="QIK226" s="4"/>
      <c r="QIM226" s="4"/>
      <c r="QIO226" s="4"/>
      <c r="QIQ226" s="4"/>
      <c r="QIS226" s="4"/>
      <c r="QIU226" s="4"/>
      <c r="QIW226" s="4"/>
      <c r="QIY226" s="4"/>
      <c r="QJA226" s="4"/>
      <c r="QJC226" s="4"/>
      <c r="QJE226" s="4"/>
      <c r="QJG226" s="4"/>
      <c r="QJI226" s="4"/>
      <c r="QJK226" s="4"/>
      <c r="QJM226" s="4"/>
      <c r="QJO226" s="4"/>
      <c r="QJQ226" s="4"/>
      <c r="QJS226" s="4"/>
      <c r="QJU226" s="4"/>
      <c r="QJW226" s="4"/>
      <c r="QJY226" s="4"/>
      <c r="QKA226" s="4"/>
      <c r="QKC226" s="4"/>
      <c r="QKE226" s="4"/>
      <c r="QKG226" s="4"/>
      <c r="QKI226" s="4"/>
      <c r="QKK226" s="4"/>
      <c r="QKM226" s="4"/>
      <c r="QKO226" s="4"/>
      <c r="QKQ226" s="4"/>
      <c r="QKS226" s="4"/>
      <c r="QKU226" s="4"/>
      <c r="QKW226" s="4"/>
      <c r="QKY226" s="4"/>
      <c r="QLA226" s="4"/>
      <c r="QLC226" s="4"/>
      <c r="QLE226" s="4"/>
      <c r="QLG226" s="4"/>
      <c r="QLI226" s="4"/>
      <c r="QLK226" s="4"/>
      <c r="QLM226" s="4"/>
      <c r="QLO226" s="4"/>
      <c r="QLQ226" s="4"/>
      <c r="QLS226" s="4"/>
      <c r="QLU226" s="4"/>
      <c r="QLW226" s="4"/>
      <c r="QLY226" s="4"/>
      <c r="QMA226" s="4"/>
      <c r="QMC226" s="4"/>
      <c r="QME226" s="4"/>
      <c r="QMG226" s="4"/>
      <c r="QMI226" s="4"/>
      <c r="QMK226" s="4"/>
      <c r="QMM226" s="4"/>
      <c r="QMO226" s="4"/>
      <c r="QMQ226" s="4"/>
      <c r="QMS226" s="4"/>
      <c r="QMU226" s="4"/>
      <c r="QMW226" s="4"/>
      <c r="QMY226" s="4"/>
      <c r="QNA226" s="4"/>
      <c r="QNC226" s="4"/>
      <c r="QNE226" s="4"/>
      <c r="QNG226" s="4"/>
      <c r="QNI226" s="4"/>
      <c r="QNK226" s="4"/>
      <c r="QNM226" s="4"/>
      <c r="QNO226" s="4"/>
      <c r="QNQ226" s="4"/>
      <c r="QNS226" s="4"/>
      <c r="QNU226" s="4"/>
      <c r="QNW226" s="4"/>
      <c r="QNY226" s="4"/>
      <c r="QOA226" s="4"/>
      <c r="QOC226" s="4"/>
      <c r="QOE226" s="4"/>
      <c r="QOG226" s="4"/>
      <c r="QOI226" s="4"/>
      <c r="QOK226" s="4"/>
      <c r="QOM226" s="4"/>
      <c r="QOO226" s="4"/>
      <c r="QOQ226" s="4"/>
      <c r="QOS226" s="4"/>
      <c r="QOU226" s="4"/>
      <c r="QOW226" s="4"/>
      <c r="QOY226" s="4"/>
      <c r="QPA226" s="4"/>
      <c r="QPC226" s="4"/>
      <c r="QPE226" s="4"/>
      <c r="QPG226" s="4"/>
      <c r="QPI226" s="4"/>
      <c r="QPK226" s="4"/>
      <c r="QPM226" s="4"/>
      <c r="QPO226" s="4"/>
      <c r="QPQ226" s="4"/>
      <c r="QPS226" s="4"/>
      <c r="QPU226" s="4"/>
      <c r="QPW226" s="4"/>
      <c r="QPY226" s="4"/>
      <c r="QQA226" s="4"/>
      <c r="QQC226" s="4"/>
      <c r="QQE226" s="4"/>
      <c r="QQG226" s="4"/>
      <c r="QQI226" s="4"/>
      <c r="QQK226" s="4"/>
      <c r="QQM226" s="4"/>
      <c r="QQO226" s="4"/>
      <c r="QQQ226" s="4"/>
      <c r="QQS226" s="4"/>
      <c r="QQU226" s="4"/>
      <c r="QQW226" s="4"/>
      <c r="QQY226" s="4"/>
      <c r="QRA226" s="4"/>
      <c r="QRC226" s="4"/>
      <c r="QRE226" s="4"/>
      <c r="QRG226" s="4"/>
      <c r="QRI226" s="4"/>
      <c r="QRK226" s="4"/>
      <c r="QRM226" s="4"/>
      <c r="QRO226" s="4"/>
      <c r="QRQ226" s="4"/>
      <c r="QRS226" s="4"/>
      <c r="QRU226" s="4"/>
      <c r="QRW226" s="4"/>
      <c r="QRY226" s="4"/>
      <c r="QSA226" s="4"/>
      <c r="QSC226" s="4"/>
      <c r="QSE226" s="4"/>
      <c r="QSG226" s="4"/>
      <c r="QSI226" s="4"/>
      <c r="QSK226" s="4"/>
      <c r="QSM226" s="4"/>
      <c r="QSO226" s="4"/>
      <c r="QSQ226" s="4"/>
      <c r="QSS226" s="4"/>
      <c r="QSU226" s="4"/>
      <c r="QSW226" s="4"/>
      <c r="QSY226" s="4"/>
      <c r="QTA226" s="4"/>
      <c r="QTC226" s="4"/>
      <c r="QTE226" s="4"/>
      <c r="QTG226" s="4"/>
      <c r="QTI226" s="4"/>
      <c r="QTK226" s="4"/>
      <c r="QTM226" s="4"/>
      <c r="QTO226" s="4"/>
      <c r="QTQ226" s="4"/>
      <c r="QTS226" s="4"/>
      <c r="QTU226" s="4"/>
      <c r="QTW226" s="4"/>
      <c r="QTY226" s="4"/>
      <c r="QUA226" s="4"/>
      <c r="QUC226" s="4"/>
      <c r="QUE226" s="4"/>
      <c r="QUG226" s="4"/>
      <c r="QUI226" s="4"/>
      <c r="QUK226" s="4"/>
      <c r="QUM226" s="4"/>
      <c r="QUO226" s="4"/>
      <c r="QUQ226" s="4"/>
      <c r="QUS226" s="4"/>
      <c r="QUU226" s="4"/>
      <c r="QUW226" s="4"/>
      <c r="QUY226" s="4"/>
      <c r="QVA226" s="4"/>
      <c r="QVC226" s="4"/>
      <c r="QVE226" s="4"/>
      <c r="QVG226" s="4"/>
      <c r="QVI226" s="4"/>
      <c r="QVK226" s="4"/>
      <c r="QVM226" s="4"/>
      <c r="QVO226" s="4"/>
      <c r="QVQ226" s="4"/>
      <c r="QVS226" s="4"/>
      <c r="QVU226" s="4"/>
      <c r="QVW226" s="4"/>
      <c r="QVY226" s="4"/>
      <c r="QWA226" s="4"/>
      <c r="QWC226" s="4"/>
      <c r="QWE226" s="4"/>
      <c r="QWG226" s="4"/>
      <c r="QWI226" s="4"/>
      <c r="QWK226" s="4"/>
      <c r="QWM226" s="4"/>
      <c r="QWO226" s="4"/>
      <c r="QWQ226" s="4"/>
      <c r="QWS226" s="4"/>
      <c r="QWU226" s="4"/>
      <c r="QWW226" s="4"/>
      <c r="QWY226" s="4"/>
      <c r="QXA226" s="4"/>
      <c r="QXC226" s="4"/>
      <c r="QXE226" s="4"/>
      <c r="QXG226" s="4"/>
      <c r="QXI226" s="4"/>
      <c r="QXK226" s="4"/>
      <c r="QXM226" s="4"/>
      <c r="QXO226" s="4"/>
      <c r="QXQ226" s="4"/>
      <c r="QXS226" s="4"/>
      <c r="QXU226" s="4"/>
      <c r="QXW226" s="4"/>
      <c r="QXY226" s="4"/>
      <c r="QYA226" s="4"/>
      <c r="QYC226" s="4"/>
      <c r="QYE226" s="4"/>
      <c r="QYG226" s="4"/>
      <c r="QYI226" s="4"/>
      <c r="QYK226" s="4"/>
      <c r="QYM226" s="4"/>
      <c r="QYO226" s="4"/>
      <c r="QYQ226" s="4"/>
      <c r="QYS226" s="4"/>
      <c r="QYU226" s="4"/>
      <c r="QYW226" s="4"/>
      <c r="QYY226" s="4"/>
      <c r="QZA226" s="4"/>
      <c r="QZC226" s="4"/>
      <c r="QZE226" s="4"/>
      <c r="QZG226" s="4"/>
      <c r="QZI226" s="4"/>
      <c r="QZK226" s="4"/>
      <c r="QZM226" s="4"/>
      <c r="QZO226" s="4"/>
      <c r="QZQ226" s="4"/>
      <c r="QZS226" s="4"/>
      <c r="QZU226" s="4"/>
      <c r="QZW226" s="4"/>
      <c r="QZY226" s="4"/>
      <c r="RAA226" s="4"/>
      <c r="RAC226" s="4"/>
      <c r="RAE226" s="4"/>
      <c r="RAG226" s="4"/>
      <c r="RAI226" s="4"/>
      <c r="RAK226" s="4"/>
      <c r="RAM226" s="4"/>
      <c r="RAO226" s="4"/>
      <c r="RAQ226" s="4"/>
      <c r="RAS226" s="4"/>
      <c r="RAU226" s="4"/>
      <c r="RAW226" s="4"/>
      <c r="RAY226" s="4"/>
      <c r="RBA226" s="4"/>
      <c r="RBC226" s="4"/>
      <c r="RBE226" s="4"/>
      <c r="RBG226" s="4"/>
      <c r="RBI226" s="4"/>
      <c r="RBK226" s="4"/>
      <c r="RBM226" s="4"/>
      <c r="RBO226" s="4"/>
      <c r="RBQ226" s="4"/>
      <c r="RBS226" s="4"/>
      <c r="RBU226" s="4"/>
      <c r="RBW226" s="4"/>
      <c r="RBY226" s="4"/>
      <c r="RCA226" s="4"/>
      <c r="RCC226" s="4"/>
      <c r="RCE226" s="4"/>
      <c r="RCG226" s="4"/>
      <c r="RCI226" s="4"/>
      <c r="RCK226" s="4"/>
      <c r="RCM226" s="4"/>
      <c r="RCO226" s="4"/>
      <c r="RCQ226" s="4"/>
      <c r="RCS226" s="4"/>
      <c r="RCU226" s="4"/>
      <c r="RCW226" s="4"/>
      <c r="RCY226" s="4"/>
      <c r="RDA226" s="4"/>
      <c r="RDC226" s="4"/>
      <c r="RDE226" s="4"/>
      <c r="RDG226" s="4"/>
      <c r="RDI226" s="4"/>
      <c r="RDK226" s="4"/>
      <c r="RDM226" s="4"/>
      <c r="RDO226" s="4"/>
      <c r="RDQ226" s="4"/>
      <c r="RDS226" s="4"/>
      <c r="RDU226" s="4"/>
      <c r="RDW226" s="4"/>
      <c r="RDY226" s="4"/>
      <c r="REA226" s="4"/>
      <c r="REC226" s="4"/>
      <c r="REE226" s="4"/>
      <c r="REG226" s="4"/>
      <c r="REI226" s="4"/>
      <c r="REK226" s="4"/>
      <c r="REM226" s="4"/>
      <c r="REO226" s="4"/>
      <c r="REQ226" s="4"/>
      <c r="RES226" s="4"/>
      <c r="REU226" s="4"/>
      <c r="REW226" s="4"/>
      <c r="REY226" s="4"/>
      <c r="RFA226" s="4"/>
      <c r="RFC226" s="4"/>
      <c r="RFE226" s="4"/>
      <c r="RFG226" s="4"/>
      <c r="RFI226" s="4"/>
      <c r="RFK226" s="4"/>
      <c r="RFM226" s="4"/>
      <c r="RFO226" s="4"/>
      <c r="RFQ226" s="4"/>
      <c r="RFS226" s="4"/>
      <c r="RFU226" s="4"/>
      <c r="RFW226" s="4"/>
      <c r="RFY226" s="4"/>
      <c r="RGA226" s="4"/>
      <c r="RGC226" s="4"/>
      <c r="RGE226" s="4"/>
      <c r="RGG226" s="4"/>
      <c r="RGI226" s="4"/>
      <c r="RGK226" s="4"/>
      <c r="RGM226" s="4"/>
      <c r="RGO226" s="4"/>
      <c r="RGQ226" s="4"/>
      <c r="RGS226" s="4"/>
      <c r="RGU226" s="4"/>
      <c r="RGW226" s="4"/>
      <c r="RGY226" s="4"/>
      <c r="RHA226" s="4"/>
      <c r="RHC226" s="4"/>
      <c r="RHE226" s="4"/>
      <c r="RHG226" s="4"/>
      <c r="RHI226" s="4"/>
      <c r="RHK226" s="4"/>
      <c r="RHM226" s="4"/>
      <c r="RHO226" s="4"/>
      <c r="RHQ226" s="4"/>
      <c r="RHS226" s="4"/>
      <c r="RHU226" s="4"/>
      <c r="RHW226" s="4"/>
      <c r="RHY226" s="4"/>
      <c r="RIA226" s="4"/>
      <c r="RIC226" s="4"/>
      <c r="RIE226" s="4"/>
      <c r="RIG226" s="4"/>
      <c r="RII226" s="4"/>
      <c r="RIK226" s="4"/>
      <c r="RIM226" s="4"/>
      <c r="RIO226" s="4"/>
      <c r="RIQ226" s="4"/>
      <c r="RIS226" s="4"/>
      <c r="RIU226" s="4"/>
      <c r="RIW226" s="4"/>
      <c r="RIY226" s="4"/>
      <c r="RJA226" s="4"/>
      <c r="RJC226" s="4"/>
      <c r="RJE226" s="4"/>
      <c r="RJG226" s="4"/>
      <c r="RJI226" s="4"/>
      <c r="RJK226" s="4"/>
      <c r="RJM226" s="4"/>
      <c r="RJO226" s="4"/>
      <c r="RJQ226" s="4"/>
      <c r="RJS226" s="4"/>
      <c r="RJU226" s="4"/>
      <c r="RJW226" s="4"/>
      <c r="RJY226" s="4"/>
      <c r="RKA226" s="4"/>
      <c r="RKC226" s="4"/>
      <c r="RKE226" s="4"/>
      <c r="RKG226" s="4"/>
      <c r="RKI226" s="4"/>
      <c r="RKK226" s="4"/>
      <c r="RKM226" s="4"/>
      <c r="RKO226" s="4"/>
      <c r="RKQ226" s="4"/>
      <c r="RKS226" s="4"/>
      <c r="RKU226" s="4"/>
      <c r="RKW226" s="4"/>
      <c r="RKY226" s="4"/>
      <c r="RLA226" s="4"/>
      <c r="RLC226" s="4"/>
      <c r="RLE226" s="4"/>
      <c r="RLG226" s="4"/>
      <c r="RLI226" s="4"/>
      <c r="RLK226" s="4"/>
      <c r="RLM226" s="4"/>
      <c r="RLO226" s="4"/>
      <c r="RLQ226" s="4"/>
      <c r="RLS226" s="4"/>
      <c r="RLU226" s="4"/>
      <c r="RLW226" s="4"/>
      <c r="RLY226" s="4"/>
      <c r="RMA226" s="4"/>
      <c r="RMC226" s="4"/>
      <c r="RME226" s="4"/>
      <c r="RMG226" s="4"/>
      <c r="RMI226" s="4"/>
      <c r="RMK226" s="4"/>
      <c r="RMM226" s="4"/>
      <c r="RMO226" s="4"/>
      <c r="RMQ226" s="4"/>
      <c r="RMS226" s="4"/>
      <c r="RMU226" s="4"/>
      <c r="RMW226" s="4"/>
      <c r="RMY226" s="4"/>
      <c r="RNA226" s="4"/>
      <c r="RNC226" s="4"/>
      <c r="RNE226" s="4"/>
      <c r="RNG226" s="4"/>
      <c r="RNI226" s="4"/>
      <c r="RNK226" s="4"/>
      <c r="RNM226" s="4"/>
      <c r="RNO226" s="4"/>
      <c r="RNQ226" s="4"/>
      <c r="RNS226" s="4"/>
      <c r="RNU226" s="4"/>
      <c r="RNW226" s="4"/>
      <c r="RNY226" s="4"/>
      <c r="ROA226" s="4"/>
      <c r="ROC226" s="4"/>
      <c r="ROE226" s="4"/>
      <c r="ROG226" s="4"/>
      <c r="ROI226" s="4"/>
      <c r="ROK226" s="4"/>
      <c r="ROM226" s="4"/>
      <c r="ROO226" s="4"/>
      <c r="ROQ226" s="4"/>
      <c r="ROS226" s="4"/>
      <c r="ROU226" s="4"/>
      <c r="ROW226" s="4"/>
      <c r="ROY226" s="4"/>
      <c r="RPA226" s="4"/>
      <c r="RPC226" s="4"/>
      <c r="RPE226" s="4"/>
      <c r="RPG226" s="4"/>
      <c r="RPI226" s="4"/>
      <c r="RPK226" s="4"/>
      <c r="RPM226" s="4"/>
      <c r="RPO226" s="4"/>
      <c r="RPQ226" s="4"/>
      <c r="RPS226" s="4"/>
      <c r="RPU226" s="4"/>
      <c r="RPW226" s="4"/>
      <c r="RPY226" s="4"/>
      <c r="RQA226" s="4"/>
      <c r="RQC226" s="4"/>
      <c r="RQE226" s="4"/>
      <c r="RQG226" s="4"/>
      <c r="RQI226" s="4"/>
      <c r="RQK226" s="4"/>
      <c r="RQM226" s="4"/>
      <c r="RQO226" s="4"/>
      <c r="RQQ226" s="4"/>
      <c r="RQS226" s="4"/>
      <c r="RQU226" s="4"/>
      <c r="RQW226" s="4"/>
      <c r="RQY226" s="4"/>
      <c r="RRA226" s="4"/>
      <c r="RRC226" s="4"/>
      <c r="RRE226" s="4"/>
      <c r="RRG226" s="4"/>
      <c r="RRI226" s="4"/>
      <c r="RRK226" s="4"/>
      <c r="RRM226" s="4"/>
      <c r="RRO226" s="4"/>
      <c r="RRQ226" s="4"/>
      <c r="RRS226" s="4"/>
      <c r="RRU226" s="4"/>
      <c r="RRW226" s="4"/>
      <c r="RRY226" s="4"/>
      <c r="RSA226" s="4"/>
      <c r="RSC226" s="4"/>
      <c r="RSE226" s="4"/>
      <c r="RSG226" s="4"/>
      <c r="RSI226" s="4"/>
      <c r="RSK226" s="4"/>
      <c r="RSM226" s="4"/>
      <c r="RSO226" s="4"/>
      <c r="RSQ226" s="4"/>
      <c r="RSS226" s="4"/>
      <c r="RSU226" s="4"/>
      <c r="RSW226" s="4"/>
      <c r="RSY226" s="4"/>
      <c r="RTA226" s="4"/>
      <c r="RTC226" s="4"/>
      <c r="RTE226" s="4"/>
      <c r="RTG226" s="4"/>
      <c r="RTI226" s="4"/>
      <c r="RTK226" s="4"/>
      <c r="RTM226" s="4"/>
      <c r="RTO226" s="4"/>
      <c r="RTQ226" s="4"/>
      <c r="RTS226" s="4"/>
      <c r="RTU226" s="4"/>
      <c r="RTW226" s="4"/>
      <c r="RTY226" s="4"/>
      <c r="RUA226" s="4"/>
      <c r="RUC226" s="4"/>
      <c r="RUE226" s="4"/>
      <c r="RUG226" s="4"/>
      <c r="RUI226" s="4"/>
      <c r="RUK226" s="4"/>
      <c r="RUM226" s="4"/>
      <c r="RUO226" s="4"/>
      <c r="RUQ226" s="4"/>
      <c r="RUS226" s="4"/>
      <c r="RUU226" s="4"/>
      <c r="RUW226" s="4"/>
      <c r="RUY226" s="4"/>
      <c r="RVA226" s="4"/>
      <c r="RVC226" s="4"/>
      <c r="RVE226" s="4"/>
      <c r="RVG226" s="4"/>
      <c r="RVI226" s="4"/>
      <c r="RVK226" s="4"/>
      <c r="RVM226" s="4"/>
      <c r="RVO226" s="4"/>
      <c r="RVQ226" s="4"/>
      <c r="RVS226" s="4"/>
      <c r="RVU226" s="4"/>
      <c r="RVW226" s="4"/>
      <c r="RVY226" s="4"/>
      <c r="RWA226" s="4"/>
      <c r="RWC226" s="4"/>
      <c r="RWE226" s="4"/>
      <c r="RWG226" s="4"/>
      <c r="RWI226" s="4"/>
      <c r="RWK226" s="4"/>
      <c r="RWM226" s="4"/>
      <c r="RWO226" s="4"/>
      <c r="RWQ226" s="4"/>
      <c r="RWS226" s="4"/>
      <c r="RWU226" s="4"/>
      <c r="RWW226" s="4"/>
      <c r="RWY226" s="4"/>
      <c r="RXA226" s="4"/>
      <c r="RXC226" s="4"/>
      <c r="RXE226" s="4"/>
      <c r="RXG226" s="4"/>
      <c r="RXI226" s="4"/>
      <c r="RXK226" s="4"/>
      <c r="RXM226" s="4"/>
      <c r="RXO226" s="4"/>
      <c r="RXQ226" s="4"/>
      <c r="RXS226" s="4"/>
      <c r="RXU226" s="4"/>
      <c r="RXW226" s="4"/>
      <c r="RXY226" s="4"/>
      <c r="RYA226" s="4"/>
      <c r="RYC226" s="4"/>
      <c r="RYE226" s="4"/>
      <c r="RYG226" s="4"/>
      <c r="RYI226" s="4"/>
      <c r="RYK226" s="4"/>
      <c r="RYM226" s="4"/>
      <c r="RYO226" s="4"/>
      <c r="RYQ226" s="4"/>
      <c r="RYS226" s="4"/>
      <c r="RYU226" s="4"/>
      <c r="RYW226" s="4"/>
      <c r="RYY226" s="4"/>
      <c r="RZA226" s="4"/>
      <c r="RZC226" s="4"/>
      <c r="RZE226" s="4"/>
      <c r="RZG226" s="4"/>
      <c r="RZI226" s="4"/>
      <c r="RZK226" s="4"/>
      <c r="RZM226" s="4"/>
      <c r="RZO226" s="4"/>
      <c r="RZQ226" s="4"/>
      <c r="RZS226" s="4"/>
      <c r="RZU226" s="4"/>
      <c r="RZW226" s="4"/>
      <c r="RZY226" s="4"/>
      <c r="SAA226" s="4"/>
      <c r="SAC226" s="4"/>
      <c r="SAE226" s="4"/>
      <c r="SAG226" s="4"/>
      <c r="SAI226" s="4"/>
      <c r="SAK226" s="4"/>
      <c r="SAM226" s="4"/>
      <c r="SAO226" s="4"/>
      <c r="SAQ226" s="4"/>
      <c r="SAS226" s="4"/>
      <c r="SAU226" s="4"/>
      <c r="SAW226" s="4"/>
      <c r="SAY226" s="4"/>
      <c r="SBA226" s="4"/>
      <c r="SBC226" s="4"/>
      <c r="SBE226" s="4"/>
      <c r="SBG226" s="4"/>
      <c r="SBI226" s="4"/>
      <c r="SBK226" s="4"/>
      <c r="SBM226" s="4"/>
      <c r="SBO226" s="4"/>
      <c r="SBQ226" s="4"/>
      <c r="SBS226" s="4"/>
      <c r="SBU226" s="4"/>
      <c r="SBW226" s="4"/>
      <c r="SBY226" s="4"/>
      <c r="SCA226" s="4"/>
      <c r="SCC226" s="4"/>
      <c r="SCE226" s="4"/>
      <c r="SCG226" s="4"/>
      <c r="SCI226" s="4"/>
      <c r="SCK226" s="4"/>
      <c r="SCM226" s="4"/>
      <c r="SCO226" s="4"/>
      <c r="SCQ226" s="4"/>
      <c r="SCS226" s="4"/>
      <c r="SCU226" s="4"/>
      <c r="SCW226" s="4"/>
      <c r="SCY226" s="4"/>
      <c r="SDA226" s="4"/>
      <c r="SDC226" s="4"/>
      <c r="SDE226" s="4"/>
      <c r="SDG226" s="4"/>
      <c r="SDI226" s="4"/>
      <c r="SDK226" s="4"/>
      <c r="SDM226" s="4"/>
      <c r="SDO226" s="4"/>
      <c r="SDQ226" s="4"/>
      <c r="SDS226" s="4"/>
      <c r="SDU226" s="4"/>
      <c r="SDW226" s="4"/>
      <c r="SDY226" s="4"/>
      <c r="SEA226" s="4"/>
      <c r="SEC226" s="4"/>
      <c r="SEE226" s="4"/>
      <c r="SEG226" s="4"/>
      <c r="SEI226" s="4"/>
      <c r="SEK226" s="4"/>
      <c r="SEM226" s="4"/>
      <c r="SEO226" s="4"/>
      <c r="SEQ226" s="4"/>
      <c r="SES226" s="4"/>
      <c r="SEU226" s="4"/>
      <c r="SEW226" s="4"/>
      <c r="SEY226" s="4"/>
      <c r="SFA226" s="4"/>
      <c r="SFC226" s="4"/>
      <c r="SFE226" s="4"/>
      <c r="SFG226" s="4"/>
      <c r="SFI226" s="4"/>
      <c r="SFK226" s="4"/>
      <c r="SFM226" s="4"/>
      <c r="SFO226" s="4"/>
      <c r="SFQ226" s="4"/>
      <c r="SFS226" s="4"/>
      <c r="SFU226" s="4"/>
      <c r="SFW226" s="4"/>
      <c r="SFY226" s="4"/>
      <c r="SGA226" s="4"/>
      <c r="SGC226" s="4"/>
      <c r="SGE226" s="4"/>
      <c r="SGG226" s="4"/>
      <c r="SGI226" s="4"/>
      <c r="SGK226" s="4"/>
      <c r="SGM226" s="4"/>
      <c r="SGO226" s="4"/>
      <c r="SGQ226" s="4"/>
      <c r="SGS226" s="4"/>
      <c r="SGU226" s="4"/>
      <c r="SGW226" s="4"/>
      <c r="SGY226" s="4"/>
      <c r="SHA226" s="4"/>
      <c r="SHC226" s="4"/>
      <c r="SHE226" s="4"/>
      <c r="SHG226" s="4"/>
      <c r="SHI226" s="4"/>
      <c r="SHK226" s="4"/>
      <c r="SHM226" s="4"/>
      <c r="SHO226" s="4"/>
      <c r="SHQ226" s="4"/>
      <c r="SHS226" s="4"/>
      <c r="SHU226" s="4"/>
      <c r="SHW226" s="4"/>
      <c r="SHY226" s="4"/>
      <c r="SIA226" s="4"/>
      <c r="SIC226" s="4"/>
      <c r="SIE226" s="4"/>
      <c r="SIG226" s="4"/>
      <c r="SII226" s="4"/>
      <c r="SIK226" s="4"/>
      <c r="SIM226" s="4"/>
      <c r="SIO226" s="4"/>
      <c r="SIQ226" s="4"/>
      <c r="SIS226" s="4"/>
      <c r="SIU226" s="4"/>
      <c r="SIW226" s="4"/>
      <c r="SIY226" s="4"/>
      <c r="SJA226" s="4"/>
      <c r="SJC226" s="4"/>
      <c r="SJE226" s="4"/>
      <c r="SJG226" s="4"/>
      <c r="SJI226" s="4"/>
      <c r="SJK226" s="4"/>
      <c r="SJM226" s="4"/>
      <c r="SJO226" s="4"/>
      <c r="SJQ226" s="4"/>
      <c r="SJS226" s="4"/>
      <c r="SJU226" s="4"/>
      <c r="SJW226" s="4"/>
      <c r="SJY226" s="4"/>
      <c r="SKA226" s="4"/>
      <c r="SKC226" s="4"/>
      <c r="SKE226" s="4"/>
      <c r="SKG226" s="4"/>
      <c r="SKI226" s="4"/>
      <c r="SKK226" s="4"/>
      <c r="SKM226" s="4"/>
      <c r="SKO226" s="4"/>
      <c r="SKQ226" s="4"/>
      <c r="SKS226" s="4"/>
      <c r="SKU226" s="4"/>
      <c r="SKW226" s="4"/>
      <c r="SKY226" s="4"/>
      <c r="SLA226" s="4"/>
      <c r="SLC226" s="4"/>
      <c r="SLE226" s="4"/>
      <c r="SLG226" s="4"/>
      <c r="SLI226" s="4"/>
      <c r="SLK226" s="4"/>
      <c r="SLM226" s="4"/>
      <c r="SLO226" s="4"/>
      <c r="SLQ226" s="4"/>
      <c r="SLS226" s="4"/>
      <c r="SLU226" s="4"/>
      <c r="SLW226" s="4"/>
      <c r="SLY226" s="4"/>
      <c r="SMA226" s="4"/>
      <c r="SMC226" s="4"/>
      <c r="SME226" s="4"/>
      <c r="SMG226" s="4"/>
      <c r="SMI226" s="4"/>
      <c r="SMK226" s="4"/>
      <c r="SMM226" s="4"/>
      <c r="SMO226" s="4"/>
      <c r="SMQ226" s="4"/>
      <c r="SMS226" s="4"/>
      <c r="SMU226" s="4"/>
      <c r="SMW226" s="4"/>
      <c r="SMY226" s="4"/>
      <c r="SNA226" s="4"/>
      <c r="SNC226" s="4"/>
      <c r="SNE226" s="4"/>
      <c r="SNG226" s="4"/>
      <c r="SNI226" s="4"/>
      <c r="SNK226" s="4"/>
      <c r="SNM226" s="4"/>
      <c r="SNO226" s="4"/>
      <c r="SNQ226" s="4"/>
      <c r="SNS226" s="4"/>
      <c r="SNU226" s="4"/>
      <c r="SNW226" s="4"/>
      <c r="SNY226" s="4"/>
      <c r="SOA226" s="4"/>
      <c r="SOC226" s="4"/>
      <c r="SOE226" s="4"/>
      <c r="SOG226" s="4"/>
      <c r="SOI226" s="4"/>
      <c r="SOK226" s="4"/>
      <c r="SOM226" s="4"/>
      <c r="SOO226" s="4"/>
      <c r="SOQ226" s="4"/>
      <c r="SOS226" s="4"/>
      <c r="SOU226" s="4"/>
      <c r="SOW226" s="4"/>
      <c r="SOY226" s="4"/>
      <c r="SPA226" s="4"/>
      <c r="SPC226" s="4"/>
      <c r="SPE226" s="4"/>
      <c r="SPG226" s="4"/>
      <c r="SPI226" s="4"/>
      <c r="SPK226" s="4"/>
      <c r="SPM226" s="4"/>
      <c r="SPO226" s="4"/>
      <c r="SPQ226" s="4"/>
      <c r="SPS226" s="4"/>
      <c r="SPU226" s="4"/>
      <c r="SPW226" s="4"/>
      <c r="SPY226" s="4"/>
      <c r="SQA226" s="4"/>
      <c r="SQC226" s="4"/>
      <c r="SQE226" s="4"/>
      <c r="SQG226" s="4"/>
      <c r="SQI226" s="4"/>
      <c r="SQK226" s="4"/>
      <c r="SQM226" s="4"/>
      <c r="SQO226" s="4"/>
      <c r="SQQ226" s="4"/>
      <c r="SQS226" s="4"/>
      <c r="SQU226" s="4"/>
      <c r="SQW226" s="4"/>
      <c r="SQY226" s="4"/>
      <c r="SRA226" s="4"/>
      <c r="SRC226" s="4"/>
      <c r="SRE226" s="4"/>
      <c r="SRG226" s="4"/>
      <c r="SRI226" s="4"/>
      <c r="SRK226" s="4"/>
      <c r="SRM226" s="4"/>
      <c r="SRO226" s="4"/>
      <c r="SRQ226" s="4"/>
      <c r="SRS226" s="4"/>
      <c r="SRU226" s="4"/>
      <c r="SRW226" s="4"/>
      <c r="SRY226" s="4"/>
      <c r="SSA226" s="4"/>
      <c r="SSC226" s="4"/>
      <c r="SSE226" s="4"/>
      <c r="SSG226" s="4"/>
      <c r="SSI226" s="4"/>
      <c r="SSK226" s="4"/>
      <c r="SSM226" s="4"/>
      <c r="SSO226" s="4"/>
      <c r="SSQ226" s="4"/>
      <c r="SSS226" s="4"/>
      <c r="SSU226" s="4"/>
      <c r="SSW226" s="4"/>
      <c r="SSY226" s="4"/>
      <c r="STA226" s="4"/>
      <c r="STC226" s="4"/>
      <c r="STE226" s="4"/>
      <c r="STG226" s="4"/>
      <c r="STI226" s="4"/>
      <c r="STK226" s="4"/>
      <c r="STM226" s="4"/>
      <c r="STO226" s="4"/>
      <c r="STQ226" s="4"/>
      <c r="STS226" s="4"/>
      <c r="STU226" s="4"/>
      <c r="STW226" s="4"/>
      <c r="STY226" s="4"/>
      <c r="SUA226" s="4"/>
      <c r="SUC226" s="4"/>
      <c r="SUE226" s="4"/>
      <c r="SUG226" s="4"/>
      <c r="SUI226" s="4"/>
      <c r="SUK226" s="4"/>
      <c r="SUM226" s="4"/>
      <c r="SUO226" s="4"/>
      <c r="SUQ226" s="4"/>
      <c r="SUS226" s="4"/>
      <c r="SUU226" s="4"/>
      <c r="SUW226" s="4"/>
      <c r="SUY226" s="4"/>
      <c r="SVA226" s="4"/>
      <c r="SVC226" s="4"/>
      <c r="SVE226" s="4"/>
      <c r="SVG226" s="4"/>
      <c r="SVI226" s="4"/>
      <c r="SVK226" s="4"/>
      <c r="SVM226" s="4"/>
      <c r="SVO226" s="4"/>
      <c r="SVQ226" s="4"/>
      <c r="SVS226" s="4"/>
      <c r="SVU226" s="4"/>
      <c r="SVW226" s="4"/>
      <c r="SVY226" s="4"/>
      <c r="SWA226" s="4"/>
      <c r="SWC226" s="4"/>
      <c r="SWE226" s="4"/>
      <c r="SWG226" s="4"/>
      <c r="SWI226" s="4"/>
      <c r="SWK226" s="4"/>
      <c r="SWM226" s="4"/>
      <c r="SWO226" s="4"/>
      <c r="SWQ226" s="4"/>
      <c r="SWS226" s="4"/>
      <c r="SWU226" s="4"/>
      <c r="SWW226" s="4"/>
      <c r="SWY226" s="4"/>
      <c r="SXA226" s="4"/>
      <c r="SXC226" s="4"/>
      <c r="SXE226" s="4"/>
      <c r="SXG226" s="4"/>
      <c r="SXI226" s="4"/>
      <c r="SXK226" s="4"/>
      <c r="SXM226" s="4"/>
      <c r="SXO226" s="4"/>
      <c r="SXQ226" s="4"/>
      <c r="SXS226" s="4"/>
      <c r="SXU226" s="4"/>
      <c r="SXW226" s="4"/>
      <c r="SXY226" s="4"/>
      <c r="SYA226" s="4"/>
      <c r="SYC226" s="4"/>
      <c r="SYE226" s="4"/>
      <c r="SYG226" s="4"/>
      <c r="SYI226" s="4"/>
      <c r="SYK226" s="4"/>
      <c r="SYM226" s="4"/>
      <c r="SYO226" s="4"/>
      <c r="SYQ226" s="4"/>
      <c r="SYS226" s="4"/>
      <c r="SYU226" s="4"/>
      <c r="SYW226" s="4"/>
      <c r="SYY226" s="4"/>
      <c r="SZA226" s="4"/>
      <c r="SZC226" s="4"/>
      <c r="SZE226" s="4"/>
      <c r="SZG226" s="4"/>
      <c r="SZI226" s="4"/>
      <c r="SZK226" s="4"/>
      <c r="SZM226" s="4"/>
      <c r="SZO226" s="4"/>
      <c r="SZQ226" s="4"/>
      <c r="SZS226" s="4"/>
      <c r="SZU226" s="4"/>
      <c r="SZW226" s="4"/>
      <c r="SZY226" s="4"/>
      <c r="TAA226" s="4"/>
      <c r="TAC226" s="4"/>
      <c r="TAE226" s="4"/>
      <c r="TAG226" s="4"/>
      <c r="TAI226" s="4"/>
      <c r="TAK226" s="4"/>
      <c r="TAM226" s="4"/>
      <c r="TAO226" s="4"/>
      <c r="TAQ226" s="4"/>
      <c r="TAS226" s="4"/>
      <c r="TAU226" s="4"/>
      <c r="TAW226" s="4"/>
      <c r="TAY226" s="4"/>
      <c r="TBA226" s="4"/>
      <c r="TBC226" s="4"/>
      <c r="TBE226" s="4"/>
      <c r="TBG226" s="4"/>
      <c r="TBI226" s="4"/>
      <c r="TBK226" s="4"/>
      <c r="TBM226" s="4"/>
      <c r="TBO226" s="4"/>
      <c r="TBQ226" s="4"/>
      <c r="TBS226" s="4"/>
      <c r="TBU226" s="4"/>
      <c r="TBW226" s="4"/>
      <c r="TBY226" s="4"/>
      <c r="TCA226" s="4"/>
      <c r="TCC226" s="4"/>
      <c r="TCE226" s="4"/>
      <c r="TCG226" s="4"/>
      <c r="TCI226" s="4"/>
      <c r="TCK226" s="4"/>
      <c r="TCM226" s="4"/>
      <c r="TCO226" s="4"/>
      <c r="TCQ226" s="4"/>
      <c r="TCS226" s="4"/>
      <c r="TCU226" s="4"/>
      <c r="TCW226" s="4"/>
      <c r="TCY226" s="4"/>
      <c r="TDA226" s="4"/>
      <c r="TDC226" s="4"/>
      <c r="TDE226" s="4"/>
      <c r="TDG226" s="4"/>
      <c r="TDI226" s="4"/>
      <c r="TDK226" s="4"/>
      <c r="TDM226" s="4"/>
      <c r="TDO226" s="4"/>
      <c r="TDQ226" s="4"/>
      <c r="TDS226" s="4"/>
      <c r="TDU226" s="4"/>
      <c r="TDW226" s="4"/>
      <c r="TDY226" s="4"/>
      <c r="TEA226" s="4"/>
      <c r="TEC226" s="4"/>
      <c r="TEE226" s="4"/>
      <c r="TEG226" s="4"/>
      <c r="TEI226" s="4"/>
      <c r="TEK226" s="4"/>
      <c r="TEM226" s="4"/>
      <c r="TEO226" s="4"/>
      <c r="TEQ226" s="4"/>
      <c r="TES226" s="4"/>
      <c r="TEU226" s="4"/>
      <c r="TEW226" s="4"/>
      <c r="TEY226" s="4"/>
      <c r="TFA226" s="4"/>
      <c r="TFC226" s="4"/>
      <c r="TFE226" s="4"/>
      <c r="TFG226" s="4"/>
      <c r="TFI226" s="4"/>
      <c r="TFK226" s="4"/>
      <c r="TFM226" s="4"/>
      <c r="TFO226" s="4"/>
      <c r="TFQ226" s="4"/>
      <c r="TFS226" s="4"/>
      <c r="TFU226" s="4"/>
      <c r="TFW226" s="4"/>
      <c r="TFY226" s="4"/>
      <c r="TGA226" s="4"/>
      <c r="TGC226" s="4"/>
      <c r="TGE226" s="4"/>
      <c r="TGG226" s="4"/>
      <c r="TGI226" s="4"/>
      <c r="TGK226" s="4"/>
      <c r="TGM226" s="4"/>
      <c r="TGO226" s="4"/>
      <c r="TGQ226" s="4"/>
      <c r="TGS226" s="4"/>
      <c r="TGU226" s="4"/>
      <c r="TGW226" s="4"/>
      <c r="TGY226" s="4"/>
      <c r="THA226" s="4"/>
      <c r="THC226" s="4"/>
      <c r="THE226" s="4"/>
      <c r="THG226" s="4"/>
      <c r="THI226" s="4"/>
      <c r="THK226" s="4"/>
      <c r="THM226" s="4"/>
      <c r="THO226" s="4"/>
      <c r="THQ226" s="4"/>
      <c r="THS226" s="4"/>
      <c r="THU226" s="4"/>
      <c r="THW226" s="4"/>
      <c r="THY226" s="4"/>
      <c r="TIA226" s="4"/>
      <c r="TIC226" s="4"/>
      <c r="TIE226" s="4"/>
      <c r="TIG226" s="4"/>
      <c r="TII226" s="4"/>
      <c r="TIK226" s="4"/>
      <c r="TIM226" s="4"/>
      <c r="TIO226" s="4"/>
      <c r="TIQ226" s="4"/>
      <c r="TIS226" s="4"/>
      <c r="TIU226" s="4"/>
      <c r="TIW226" s="4"/>
      <c r="TIY226" s="4"/>
      <c r="TJA226" s="4"/>
      <c r="TJC226" s="4"/>
      <c r="TJE226" s="4"/>
      <c r="TJG226" s="4"/>
      <c r="TJI226" s="4"/>
      <c r="TJK226" s="4"/>
      <c r="TJM226" s="4"/>
      <c r="TJO226" s="4"/>
      <c r="TJQ226" s="4"/>
      <c r="TJS226" s="4"/>
      <c r="TJU226" s="4"/>
      <c r="TJW226" s="4"/>
      <c r="TJY226" s="4"/>
      <c r="TKA226" s="4"/>
      <c r="TKC226" s="4"/>
      <c r="TKE226" s="4"/>
      <c r="TKG226" s="4"/>
      <c r="TKI226" s="4"/>
      <c r="TKK226" s="4"/>
      <c r="TKM226" s="4"/>
      <c r="TKO226" s="4"/>
      <c r="TKQ226" s="4"/>
      <c r="TKS226" s="4"/>
      <c r="TKU226" s="4"/>
      <c r="TKW226" s="4"/>
      <c r="TKY226" s="4"/>
      <c r="TLA226" s="4"/>
      <c r="TLC226" s="4"/>
      <c r="TLE226" s="4"/>
      <c r="TLG226" s="4"/>
      <c r="TLI226" s="4"/>
      <c r="TLK226" s="4"/>
      <c r="TLM226" s="4"/>
      <c r="TLO226" s="4"/>
      <c r="TLQ226" s="4"/>
      <c r="TLS226" s="4"/>
      <c r="TLU226" s="4"/>
      <c r="TLW226" s="4"/>
      <c r="TLY226" s="4"/>
      <c r="TMA226" s="4"/>
      <c r="TMC226" s="4"/>
      <c r="TME226" s="4"/>
      <c r="TMG226" s="4"/>
      <c r="TMI226" s="4"/>
      <c r="TMK226" s="4"/>
      <c r="TMM226" s="4"/>
      <c r="TMO226" s="4"/>
      <c r="TMQ226" s="4"/>
      <c r="TMS226" s="4"/>
      <c r="TMU226" s="4"/>
      <c r="TMW226" s="4"/>
      <c r="TMY226" s="4"/>
      <c r="TNA226" s="4"/>
      <c r="TNC226" s="4"/>
      <c r="TNE226" s="4"/>
      <c r="TNG226" s="4"/>
      <c r="TNI226" s="4"/>
      <c r="TNK226" s="4"/>
      <c r="TNM226" s="4"/>
      <c r="TNO226" s="4"/>
      <c r="TNQ226" s="4"/>
      <c r="TNS226" s="4"/>
      <c r="TNU226" s="4"/>
      <c r="TNW226" s="4"/>
      <c r="TNY226" s="4"/>
      <c r="TOA226" s="4"/>
      <c r="TOC226" s="4"/>
      <c r="TOE226" s="4"/>
      <c r="TOG226" s="4"/>
      <c r="TOI226" s="4"/>
      <c r="TOK226" s="4"/>
      <c r="TOM226" s="4"/>
      <c r="TOO226" s="4"/>
      <c r="TOQ226" s="4"/>
      <c r="TOS226" s="4"/>
      <c r="TOU226" s="4"/>
      <c r="TOW226" s="4"/>
      <c r="TOY226" s="4"/>
      <c r="TPA226" s="4"/>
      <c r="TPC226" s="4"/>
      <c r="TPE226" s="4"/>
      <c r="TPG226" s="4"/>
      <c r="TPI226" s="4"/>
      <c r="TPK226" s="4"/>
      <c r="TPM226" s="4"/>
      <c r="TPO226" s="4"/>
      <c r="TPQ226" s="4"/>
      <c r="TPS226" s="4"/>
      <c r="TPU226" s="4"/>
      <c r="TPW226" s="4"/>
      <c r="TPY226" s="4"/>
      <c r="TQA226" s="4"/>
      <c r="TQC226" s="4"/>
      <c r="TQE226" s="4"/>
      <c r="TQG226" s="4"/>
      <c r="TQI226" s="4"/>
      <c r="TQK226" s="4"/>
      <c r="TQM226" s="4"/>
      <c r="TQO226" s="4"/>
      <c r="TQQ226" s="4"/>
      <c r="TQS226" s="4"/>
      <c r="TQU226" s="4"/>
      <c r="TQW226" s="4"/>
      <c r="TQY226" s="4"/>
      <c r="TRA226" s="4"/>
      <c r="TRC226" s="4"/>
      <c r="TRE226" s="4"/>
      <c r="TRG226" s="4"/>
      <c r="TRI226" s="4"/>
      <c r="TRK226" s="4"/>
      <c r="TRM226" s="4"/>
      <c r="TRO226" s="4"/>
      <c r="TRQ226" s="4"/>
      <c r="TRS226" s="4"/>
      <c r="TRU226" s="4"/>
      <c r="TRW226" s="4"/>
      <c r="TRY226" s="4"/>
      <c r="TSA226" s="4"/>
      <c r="TSC226" s="4"/>
      <c r="TSE226" s="4"/>
      <c r="TSG226" s="4"/>
      <c r="TSI226" s="4"/>
      <c r="TSK226" s="4"/>
      <c r="TSM226" s="4"/>
      <c r="TSO226" s="4"/>
      <c r="TSQ226" s="4"/>
      <c r="TSS226" s="4"/>
      <c r="TSU226" s="4"/>
      <c r="TSW226" s="4"/>
      <c r="TSY226" s="4"/>
      <c r="TTA226" s="4"/>
      <c r="TTC226" s="4"/>
      <c r="TTE226" s="4"/>
      <c r="TTG226" s="4"/>
      <c r="TTI226" s="4"/>
      <c r="TTK226" s="4"/>
      <c r="TTM226" s="4"/>
      <c r="TTO226" s="4"/>
      <c r="TTQ226" s="4"/>
      <c r="TTS226" s="4"/>
      <c r="TTU226" s="4"/>
      <c r="TTW226" s="4"/>
      <c r="TTY226" s="4"/>
      <c r="TUA226" s="4"/>
      <c r="TUC226" s="4"/>
      <c r="TUE226" s="4"/>
      <c r="TUG226" s="4"/>
      <c r="TUI226" s="4"/>
      <c r="TUK226" s="4"/>
      <c r="TUM226" s="4"/>
      <c r="TUO226" s="4"/>
      <c r="TUQ226" s="4"/>
      <c r="TUS226" s="4"/>
      <c r="TUU226" s="4"/>
      <c r="TUW226" s="4"/>
      <c r="TUY226" s="4"/>
      <c r="TVA226" s="4"/>
      <c r="TVC226" s="4"/>
      <c r="TVE226" s="4"/>
      <c r="TVG226" s="4"/>
      <c r="TVI226" s="4"/>
      <c r="TVK226" s="4"/>
      <c r="TVM226" s="4"/>
      <c r="TVO226" s="4"/>
      <c r="TVQ226" s="4"/>
      <c r="TVS226" s="4"/>
      <c r="TVU226" s="4"/>
      <c r="TVW226" s="4"/>
      <c r="TVY226" s="4"/>
      <c r="TWA226" s="4"/>
      <c r="TWC226" s="4"/>
      <c r="TWE226" s="4"/>
      <c r="TWG226" s="4"/>
      <c r="TWI226" s="4"/>
      <c r="TWK226" s="4"/>
      <c r="TWM226" s="4"/>
      <c r="TWO226" s="4"/>
      <c r="TWQ226" s="4"/>
      <c r="TWS226" s="4"/>
      <c r="TWU226" s="4"/>
      <c r="TWW226" s="4"/>
      <c r="TWY226" s="4"/>
      <c r="TXA226" s="4"/>
      <c r="TXC226" s="4"/>
      <c r="TXE226" s="4"/>
      <c r="TXG226" s="4"/>
      <c r="TXI226" s="4"/>
      <c r="TXK226" s="4"/>
      <c r="TXM226" s="4"/>
      <c r="TXO226" s="4"/>
      <c r="TXQ226" s="4"/>
      <c r="TXS226" s="4"/>
      <c r="TXU226" s="4"/>
      <c r="TXW226" s="4"/>
      <c r="TXY226" s="4"/>
      <c r="TYA226" s="4"/>
      <c r="TYC226" s="4"/>
      <c r="TYE226" s="4"/>
      <c r="TYG226" s="4"/>
      <c r="TYI226" s="4"/>
      <c r="TYK226" s="4"/>
      <c r="TYM226" s="4"/>
      <c r="TYO226" s="4"/>
      <c r="TYQ226" s="4"/>
      <c r="TYS226" s="4"/>
      <c r="TYU226" s="4"/>
      <c r="TYW226" s="4"/>
      <c r="TYY226" s="4"/>
      <c r="TZA226" s="4"/>
      <c r="TZC226" s="4"/>
      <c r="TZE226" s="4"/>
      <c r="TZG226" s="4"/>
      <c r="TZI226" s="4"/>
      <c r="TZK226" s="4"/>
      <c r="TZM226" s="4"/>
      <c r="TZO226" s="4"/>
      <c r="TZQ226" s="4"/>
      <c r="TZS226" s="4"/>
      <c r="TZU226" s="4"/>
      <c r="TZW226" s="4"/>
      <c r="TZY226" s="4"/>
      <c r="UAA226" s="4"/>
      <c r="UAC226" s="4"/>
      <c r="UAE226" s="4"/>
      <c r="UAG226" s="4"/>
      <c r="UAI226" s="4"/>
      <c r="UAK226" s="4"/>
      <c r="UAM226" s="4"/>
      <c r="UAO226" s="4"/>
      <c r="UAQ226" s="4"/>
      <c r="UAS226" s="4"/>
      <c r="UAU226" s="4"/>
      <c r="UAW226" s="4"/>
      <c r="UAY226" s="4"/>
      <c r="UBA226" s="4"/>
      <c r="UBC226" s="4"/>
      <c r="UBE226" s="4"/>
      <c r="UBG226" s="4"/>
      <c r="UBI226" s="4"/>
      <c r="UBK226" s="4"/>
      <c r="UBM226" s="4"/>
      <c r="UBO226" s="4"/>
      <c r="UBQ226" s="4"/>
      <c r="UBS226" s="4"/>
      <c r="UBU226" s="4"/>
      <c r="UBW226" s="4"/>
      <c r="UBY226" s="4"/>
      <c r="UCA226" s="4"/>
      <c r="UCC226" s="4"/>
      <c r="UCE226" s="4"/>
      <c r="UCG226" s="4"/>
      <c r="UCI226" s="4"/>
      <c r="UCK226" s="4"/>
      <c r="UCM226" s="4"/>
      <c r="UCO226" s="4"/>
      <c r="UCQ226" s="4"/>
      <c r="UCS226" s="4"/>
      <c r="UCU226" s="4"/>
      <c r="UCW226" s="4"/>
      <c r="UCY226" s="4"/>
      <c r="UDA226" s="4"/>
      <c r="UDC226" s="4"/>
      <c r="UDE226" s="4"/>
      <c r="UDG226" s="4"/>
      <c r="UDI226" s="4"/>
      <c r="UDK226" s="4"/>
      <c r="UDM226" s="4"/>
      <c r="UDO226" s="4"/>
      <c r="UDQ226" s="4"/>
      <c r="UDS226" s="4"/>
      <c r="UDU226" s="4"/>
      <c r="UDW226" s="4"/>
      <c r="UDY226" s="4"/>
      <c r="UEA226" s="4"/>
      <c r="UEC226" s="4"/>
      <c r="UEE226" s="4"/>
      <c r="UEG226" s="4"/>
      <c r="UEI226" s="4"/>
      <c r="UEK226" s="4"/>
      <c r="UEM226" s="4"/>
      <c r="UEO226" s="4"/>
      <c r="UEQ226" s="4"/>
      <c r="UES226" s="4"/>
      <c r="UEU226" s="4"/>
      <c r="UEW226" s="4"/>
      <c r="UEY226" s="4"/>
      <c r="UFA226" s="4"/>
      <c r="UFC226" s="4"/>
      <c r="UFE226" s="4"/>
      <c r="UFG226" s="4"/>
      <c r="UFI226" s="4"/>
      <c r="UFK226" s="4"/>
      <c r="UFM226" s="4"/>
      <c r="UFO226" s="4"/>
      <c r="UFQ226" s="4"/>
      <c r="UFS226" s="4"/>
      <c r="UFU226" s="4"/>
      <c r="UFW226" s="4"/>
      <c r="UFY226" s="4"/>
      <c r="UGA226" s="4"/>
      <c r="UGC226" s="4"/>
      <c r="UGE226" s="4"/>
      <c r="UGG226" s="4"/>
      <c r="UGI226" s="4"/>
      <c r="UGK226" s="4"/>
      <c r="UGM226" s="4"/>
      <c r="UGO226" s="4"/>
      <c r="UGQ226" s="4"/>
      <c r="UGS226" s="4"/>
      <c r="UGU226" s="4"/>
      <c r="UGW226" s="4"/>
      <c r="UGY226" s="4"/>
      <c r="UHA226" s="4"/>
      <c r="UHC226" s="4"/>
      <c r="UHE226" s="4"/>
      <c r="UHG226" s="4"/>
      <c r="UHI226" s="4"/>
      <c r="UHK226" s="4"/>
      <c r="UHM226" s="4"/>
      <c r="UHO226" s="4"/>
      <c r="UHQ226" s="4"/>
      <c r="UHS226" s="4"/>
      <c r="UHU226" s="4"/>
      <c r="UHW226" s="4"/>
      <c r="UHY226" s="4"/>
      <c r="UIA226" s="4"/>
      <c r="UIC226" s="4"/>
      <c r="UIE226" s="4"/>
      <c r="UIG226" s="4"/>
      <c r="UII226" s="4"/>
      <c r="UIK226" s="4"/>
      <c r="UIM226" s="4"/>
      <c r="UIO226" s="4"/>
      <c r="UIQ226" s="4"/>
      <c r="UIS226" s="4"/>
      <c r="UIU226" s="4"/>
      <c r="UIW226" s="4"/>
      <c r="UIY226" s="4"/>
      <c r="UJA226" s="4"/>
      <c r="UJC226" s="4"/>
      <c r="UJE226" s="4"/>
      <c r="UJG226" s="4"/>
      <c r="UJI226" s="4"/>
      <c r="UJK226" s="4"/>
      <c r="UJM226" s="4"/>
      <c r="UJO226" s="4"/>
      <c r="UJQ226" s="4"/>
      <c r="UJS226" s="4"/>
      <c r="UJU226" s="4"/>
      <c r="UJW226" s="4"/>
      <c r="UJY226" s="4"/>
      <c r="UKA226" s="4"/>
      <c r="UKC226" s="4"/>
      <c r="UKE226" s="4"/>
      <c r="UKG226" s="4"/>
      <c r="UKI226" s="4"/>
      <c r="UKK226" s="4"/>
      <c r="UKM226" s="4"/>
      <c r="UKO226" s="4"/>
      <c r="UKQ226" s="4"/>
      <c r="UKS226" s="4"/>
      <c r="UKU226" s="4"/>
      <c r="UKW226" s="4"/>
      <c r="UKY226" s="4"/>
      <c r="ULA226" s="4"/>
      <c r="ULC226" s="4"/>
      <c r="ULE226" s="4"/>
      <c r="ULG226" s="4"/>
      <c r="ULI226" s="4"/>
      <c r="ULK226" s="4"/>
      <c r="ULM226" s="4"/>
      <c r="ULO226" s="4"/>
      <c r="ULQ226" s="4"/>
      <c r="ULS226" s="4"/>
      <c r="ULU226" s="4"/>
      <c r="ULW226" s="4"/>
      <c r="ULY226" s="4"/>
      <c r="UMA226" s="4"/>
      <c r="UMC226" s="4"/>
      <c r="UME226" s="4"/>
      <c r="UMG226" s="4"/>
      <c r="UMI226" s="4"/>
      <c r="UMK226" s="4"/>
      <c r="UMM226" s="4"/>
      <c r="UMO226" s="4"/>
      <c r="UMQ226" s="4"/>
      <c r="UMS226" s="4"/>
      <c r="UMU226" s="4"/>
      <c r="UMW226" s="4"/>
      <c r="UMY226" s="4"/>
      <c r="UNA226" s="4"/>
      <c r="UNC226" s="4"/>
      <c r="UNE226" s="4"/>
      <c r="UNG226" s="4"/>
      <c r="UNI226" s="4"/>
      <c r="UNK226" s="4"/>
      <c r="UNM226" s="4"/>
      <c r="UNO226" s="4"/>
      <c r="UNQ226" s="4"/>
      <c r="UNS226" s="4"/>
      <c r="UNU226" s="4"/>
      <c r="UNW226" s="4"/>
      <c r="UNY226" s="4"/>
      <c r="UOA226" s="4"/>
      <c r="UOC226" s="4"/>
      <c r="UOE226" s="4"/>
      <c r="UOG226" s="4"/>
      <c r="UOI226" s="4"/>
      <c r="UOK226" s="4"/>
      <c r="UOM226" s="4"/>
      <c r="UOO226" s="4"/>
      <c r="UOQ226" s="4"/>
      <c r="UOS226" s="4"/>
      <c r="UOU226" s="4"/>
      <c r="UOW226" s="4"/>
      <c r="UOY226" s="4"/>
      <c r="UPA226" s="4"/>
      <c r="UPC226" s="4"/>
      <c r="UPE226" s="4"/>
      <c r="UPG226" s="4"/>
      <c r="UPI226" s="4"/>
      <c r="UPK226" s="4"/>
      <c r="UPM226" s="4"/>
      <c r="UPO226" s="4"/>
      <c r="UPQ226" s="4"/>
      <c r="UPS226" s="4"/>
      <c r="UPU226" s="4"/>
      <c r="UPW226" s="4"/>
      <c r="UPY226" s="4"/>
      <c r="UQA226" s="4"/>
      <c r="UQC226" s="4"/>
      <c r="UQE226" s="4"/>
      <c r="UQG226" s="4"/>
      <c r="UQI226" s="4"/>
      <c r="UQK226" s="4"/>
      <c r="UQM226" s="4"/>
      <c r="UQO226" s="4"/>
      <c r="UQQ226" s="4"/>
      <c r="UQS226" s="4"/>
      <c r="UQU226" s="4"/>
      <c r="UQW226" s="4"/>
      <c r="UQY226" s="4"/>
      <c r="URA226" s="4"/>
      <c r="URC226" s="4"/>
      <c r="URE226" s="4"/>
      <c r="URG226" s="4"/>
      <c r="URI226" s="4"/>
      <c r="URK226" s="4"/>
      <c r="URM226" s="4"/>
      <c r="URO226" s="4"/>
      <c r="URQ226" s="4"/>
      <c r="URS226" s="4"/>
      <c r="URU226" s="4"/>
      <c r="URW226" s="4"/>
      <c r="URY226" s="4"/>
      <c r="USA226" s="4"/>
      <c r="USC226" s="4"/>
      <c r="USE226" s="4"/>
      <c r="USG226" s="4"/>
      <c r="USI226" s="4"/>
      <c r="USK226" s="4"/>
      <c r="USM226" s="4"/>
      <c r="USO226" s="4"/>
      <c r="USQ226" s="4"/>
      <c r="USS226" s="4"/>
      <c r="USU226" s="4"/>
      <c r="USW226" s="4"/>
      <c r="USY226" s="4"/>
      <c r="UTA226" s="4"/>
      <c r="UTC226" s="4"/>
      <c r="UTE226" s="4"/>
      <c r="UTG226" s="4"/>
      <c r="UTI226" s="4"/>
      <c r="UTK226" s="4"/>
      <c r="UTM226" s="4"/>
      <c r="UTO226" s="4"/>
      <c r="UTQ226" s="4"/>
      <c r="UTS226" s="4"/>
      <c r="UTU226" s="4"/>
      <c r="UTW226" s="4"/>
      <c r="UTY226" s="4"/>
      <c r="UUA226" s="4"/>
      <c r="UUC226" s="4"/>
      <c r="UUE226" s="4"/>
      <c r="UUG226" s="4"/>
      <c r="UUI226" s="4"/>
      <c r="UUK226" s="4"/>
      <c r="UUM226" s="4"/>
      <c r="UUO226" s="4"/>
      <c r="UUQ226" s="4"/>
      <c r="UUS226" s="4"/>
      <c r="UUU226" s="4"/>
      <c r="UUW226" s="4"/>
      <c r="UUY226" s="4"/>
      <c r="UVA226" s="4"/>
      <c r="UVC226" s="4"/>
      <c r="UVE226" s="4"/>
      <c r="UVG226" s="4"/>
      <c r="UVI226" s="4"/>
      <c r="UVK226" s="4"/>
      <c r="UVM226" s="4"/>
      <c r="UVO226" s="4"/>
      <c r="UVQ226" s="4"/>
      <c r="UVS226" s="4"/>
      <c r="UVU226" s="4"/>
      <c r="UVW226" s="4"/>
      <c r="UVY226" s="4"/>
      <c r="UWA226" s="4"/>
      <c r="UWC226" s="4"/>
      <c r="UWE226" s="4"/>
      <c r="UWG226" s="4"/>
      <c r="UWI226" s="4"/>
      <c r="UWK226" s="4"/>
      <c r="UWM226" s="4"/>
      <c r="UWO226" s="4"/>
      <c r="UWQ226" s="4"/>
      <c r="UWS226" s="4"/>
      <c r="UWU226" s="4"/>
      <c r="UWW226" s="4"/>
      <c r="UWY226" s="4"/>
      <c r="UXA226" s="4"/>
      <c r="UXC226" s="4"/>
      <c r="UXE226" s="4"/>
      <c r="UXG226" s="4"/>
      <c r="UXI226" s="4"/>
      <c r="UXK226" s="4"/>
      <c r="UXM226" s="4"/>
      <c r="UXO226" s="4"/>
      <c r="UXQ226" s="4"/>
      <c r="UXS226" s="4"/>
      <c r="UXU226" s="4"/>
      <c r="UXW226" s="4"/>
      <c r="UXY226" s="4"/>
      <c r="UYA226" s="4"/>
      <c r="UYC226" s="4"/>
      <c r="UYE226" s="4"/>
      <c r="UYG226" s="4"/>
      <c r="UYI226" s="4"/>
      <c r="UYK226" s="4"/>
      <c r="UYM226" s="4"/>
      <c r="UYO226" s="4"/>
      <c r="UYQ226" s="4"/>
      <c r="UYS226" s="4"/>
      <c r="UYU226" s="4"/>
      <c r="UYW226" s="4"/>
      <c r="UYY226" s="4"/>
      <c r="UZA226" s="4"/>
      <c r="UZC226" s="4"/>
      <c r="UZE226" s="4"/>
      <c r="UZG226" s="4"/>
      <c r="UZI226" s="4"/>
      <c r="UZK226" s="4"/>
      <c r="UZM226" s="4"/>
      <c r="UZO226" s="4"/>
      <c r="UZQ226" s="4"/>
      <c r="UZS226" s="4"/>
      <c r="UZU226" s="4"/>
      <c r="UZW226" s="4"/>
      <c r="UZY226" s="4"/>
      <c r="VAA226" s="4"/>
      <c r="VAC226" s="4"/>
      <c r="VAE226" s="4"/>
      <c r="VAG226" s="4"/>
      <c r="VAI226" s="4"/>
      <c r="VAK226" s="4"/>
      <c r="VAM226" s="4"/>
      <c r="VAO226" s="4"/>
      <c r="VAQ226" s="4"/>
      <c r="VAS226" s="4"/>
      <c r="VAU226" s="4"/>
      <c r="VAW226" s="4"/>
      <c r="VAY226" s="4"/>
      <c r="VBA226" s="4"/>
      <c r="VBC226" s="4"/>
      <c r="VBE226" s="4"/>
      <c r="VBG226" s="4"/>
      <c r="VBI226" s="4"/>
      <c r="VBK226" s="4"/>
      <c r="VBM226" s="4"/>
      <c r="VBO226" s="4"/>
      <c r="VBQ226" s="4"/>
      <c r="VBS226" s="4"/>
      <c r="VBU226" s="4"/>
      <c r="VBW226" s="4"/>
      <c r="VBY226" s="4"/>
      <c r="VCA226" s="4"/>
      <c r="VCC226" s="4"/>
      <c r="VCE226" s="4"/>
      <c r="VCG226" s="4"/>
      <c r="VCI226" s="4"/>
      <c r="VCK226" s="4"/>
      <c r="VCM226" s="4"/>
      <c r="VCO226" s="4"/>
      <c r="VCQ226" s="4"/>
      <c r="VCS226" s="4"/>
      <c r="VCU226" s="4"/>
      <c r="VCW226" s="4"/>
      <c r="VCY226" s="4"/>
      <c r="VDA226" s="4"/>
      <c r="VDC226" s="4"/>
      <c r="VDE226" s="4"/>
      <c r="VDG226" s="4"/>
      <c r="VDI226" s="4"/>
      <c r="VDK226" s="4"/>
      <c r="VDM226" s="4"/>
      <c r="VDO226" s="4"/>
      <c r="VDQ226" s="4"/>
      <c r="VDS226" s="4"/>
      <c r="VDU226" s="4"/>
      <c r="VDW226" s="4"/>
      <c r="VDY226" s="4"/>
      <c r="VEA226" s="4"/>
      <c r="VEC226" s="4"/>
      <c r="VEE226" s="4"/>
      <c r="VEG226" s="4"/>
      <c r="VEI226" s="4"/>
      <c r="VEK226" s="4"/>
      <c r="VEM226" s="4"/>
      <c r="VEO226" s="4"/>
      <c r="VEQ226" s="4"/>
      <c r="VES226" s="4"/>
      <c r="VEU226" s="4"/>
      <c r="VEW226" s="4"/>
      <c r="VEY226" s="4"/>
      <c r="VFA226" s="4"/>
      <c r="VFC226" s="4"/>
      <c r="VFE226" s="4"/>
      <c r="VFG226" s="4"/>
      <c r="VFI226" s="4"/>
      <c r="VFK226" s="4"/>
      <c r="VFM226" s="4"/>
      <c r="VFO226" s="4"/>
      <c r="VFQ226" s="4"/>
      <c r="VFS226" s="4"/>
      <c r="VFU226" s="4"/>
      <c r="VFW226" s="4"/>
      <c r="VFY226" s="4"/>
      <c r="VGA226" s="4"/>
      <c r="VGC226" s="4"/>
      <c r="VGE226" s="4"/>
      <c r="VGG226" s="4"/>
      <c r="VGI226" s="4"/>
      <c r="VGK226" s="4"/>
      <c r="VGM226" s="4"/>
      <c r="VGO226" s="4"/>
      <c r="VGQ226" s="4"/>
      <c r="VGS226" s="4"/>
      <c r="VGU226" s="4"/>
      <c r="VGW226" s="4"/>
      <c r="VGY226" s="4"/>
      <c r="VHA226" s="4"/>
      <c r="VHC226" s="4"/>
      <c r="VHE226" s="4"/>
      <c r="VHG226" s="4"/>
      <c r="VHI226" s="4"/>
      <c r="VHK226" s="4"/>
      <c r="VHM226" s="4"/>
      <c r="VHO226" s="4"/>
      <c r="VHQ226" s="4"/>
      <c r="VHS226" s="4"/>
      <c r="VHU226" s="4"/>
      <c r="VHW226" s="4"/>
      <c r="VHY226" s="4"/>
      <c r="VIA226" s="4"/>
      <c r="VIC226" s="4"/>
      <c r="VIE226" s="4"/>
      <c r="VIG226" s="4"/>
      <c r="VII226" s="4"/>
      <c r="VIK226" s="4"/>
      <c r="VIM226" s="4"/>
      <c r="VIO226" s="4"/>
      <c r="VIQ226" s="4"/>
      <c r="VIS226" s="4"/>
      <c r="VIU226" s="4"/>
      <c r="VIW226" s="4"/>
      <c r="VIY226" s="4"/>
      <c r="VJA226" s="4"/>
      <c r="VJC226" s="4"/>
      <c r="VJE226" s="4"/>
      <c r="VJG226" s="4"/>
      <c r="VJI226" s="4"/>
      <c r="VJK226" s="4"/>
      <c r="VJM226" s="4"/>
      <c r="VJO226" s="4"/>
      <c r="VJQ226" s="4"/>
      <c r="VJS226" s="4"/>
      <c r="VJU226" s="4"/>
      <c r="VJW226" s="4"/>
      <c r="VJY226" s="4"/>
      <c r="VKA226" s="4"/>
      <c r="VKC226" s="4"/>
      <c r="VKE226" s="4"/>
      <c r="VKG226" s="4"/>
      <c r="VKI226" s="4"/>
      <c r="VKK226" s="4"/>
      <c r="VKM226" s="4"/>
      <c r="VKO226" s="4"/>
      <c r="VKQ226" s="4"/>
      <c r="VKS226" s="4"/>
      <c r="VKU226" s="4"/>
      <c r="VKW226" s="4"/>
      <c r="VKY226" s="4"/>
      <c r="VLA226" s="4"/>
      <c r="VLC226" s="4"/>
      <c r="VLE226" s="4"/>
      <c r="VLG226" s="4"/>
      <c r="VLI226" s="4"/>
      <c r="VLK226" s="4"/>
      <c r="VLM226" s="4"/>
      <c r="VLO226" s="4"/>
      <c r="VLQ226" s="4"/>
      <c r="VLS226" s="4"/>
      <c r="VLU226" s="4"/>
      <c r="VLW226" s="4"/>
      <c r="VLY226" s="4"/>
      <c r="VMA226" s="4"/>
      <c r="VMC226" s="4"/>
      <c r="VME226" s="4"/>
      <c r="VMG226" s="4"/>
      <c r="VMI226" s="4"/>
      <c r="VMK226" s="4"/>
      <c r="VMM226" s="4"/>
      <c r="VMO226" s="4"/>
      <c r="VMQ226" s="4"/>
      <c r="VMS226" s="4"/>
      <c r="VMU226" s="4"/>
      <c r="VMW226" s="4"/>
      <c r="VMY226" s="4"/>
      <c r="VNA226" s="4"/>
      <c r="VNC226" s="4"/>
      <c r="VNE226" s="4"/>
      <c r="VNG226" s="4"/>
      <c r="VNI226" s="4"/>
      <c r="VNK226" s="4"/>
      <c r="VNM226" s="4"/>
      <c r="VNO226" s="4"/>
      <c r="VNQ226" s="4"/>
      <c r="VNS226" s="4"/>
      <c r="VNU226" s="4"/>
      <c r="VNW226" s="4"/>
      <c r="VNY226" s="4"/>
      <c r="VOA226" s="4"/>
      <c r="VOC226" s="4"/>
      <c r="VOE226" s="4"/>
      <c r="VOG226" s="4"/>
      <c r="VOI226" s="4"/>
      <c r="VOK226" s="4"/>
      <c r="VOM226" s="4"/>
      <c r="VOO226" s="4"/>
      <c r="VOQ226" s="4"/>
      <c r="VOS226" s="4"/>
      <c r="VOU226" s="4"/>
      <c r="VOW226" s="4"/>
      <c r="VOY226" s="4"/>
      <c r="VPA226" s="4"/>
      <c r="VPC226" s="4"/>
      <c r="VPE226" s="4"/>
      <c r="VPG226" s="4"/>
      <c r="VPI226" s="4"/>
      <c r="VPK226" s="4"/>
      <c r="VPM226" s="4"/>
      <c r="VPO226" s="4"/>
      <c r="VPQ226" s="4"/>
      <c r="VPS226" s="4"/>
      <c r="VPU226" s="4"/>
      <c r="VPW226" s="4"/>
      <c r="VPY226" s="4"/>
      <c r="VQA226" s="4"/>
      <c r="VQC226" s="4"/>
      <c r="VQE226" s="4"/>
      <c r="VQG226" s="4"/>
      <c r="VQI226" s="4"/>
      <c r="VQK226" s="4"/>
      <c r="VQM226" s="4"/>
      <c r="VQO226" s="4"/>
      <c r="VQQ226" s="4"/>
      <c r="VQS226" s="4"/>
      <c r="VQU226" s="4"/>
      <c r="VQW226" s="4"/>
      <c r="VQY226" s="4"/>
      <c r="VRA226" s="4"/>
      <c r="VRC226" s="4"/>
      <c r="VRE226" s="4"/>
      <c r="VRG226" s="4"/>
      <c r="VRI226" s="4"/>
      <c r="VRK226" s="4"/>
      <c r="VRM226" s="4"/>
      <c r="VRO226" s="4"/>
      <c r="VRQ226" s="4"/>
      <c r="VRS226" s="4"/>
      <c r="VRU226" s="4"/>
      <c r="VRW226" s="4"/>
      <c r="VRY226" s="4"/>
      <c r="VSA226" s="4"/>
      <c r="VSC226" s="4"/>
      <c r="VSE226" s="4"/>
      <c r="VSG226" s="4"/>
      <c r="VSI226" s="4"/>
      <c r="VSK226" s="4"/>
      <c r="VSM226" s="4"/>
      <c r="VSO226" s="4"/>
      <c r="VSQ226" s="4"/>
      <c r="VSS226" s="4"/>
      <c r="VSU226" s="4"/>
      <c r="VSW226" s="4"/>
      <c r="VSY226" s="4"/>
      <c r="VTA226" s="4"/>
      <c r="VTC226" s="4"/>
      <c r="VTE226" s="4"/>
      <c r="VTG226" s="4"/>
      <c r="VTI226" s="4"/>
      <c r="VTK226" s="4"/>
      <c r="VTM226" s="4"/>
      <c r="VTO226" s="4"/>
      <c r="VTQ226" s="4"/>
      <c r="VTS226" s="4"/>
      <c r="VTU226" s="4"/>
      <c r="VTW226" s="4"/>
      <c r="VTY226" s="4"/>
      <c r="VUA226" s="4"/>
      <c r="VUC226" s="4"/>
      <c r="VUE226" s="4"/>
      <c r="VUG226" s="4"/>
      <c r="VUI226" s="4"/>
      <c r="VUK226" s="4"/>
      <c r="VUM226" s="4"/>
      <c r="VUO226" s="4"/>
      <c r="VUQ226" s="4"/>
      <c r="VUS226" s="4"/>
      <c r="VUU226" s="4"/>
      <c r="VUW226" s="4"/>
      <c r="VUY226" s="4"/>
      <c r="VVA226" s="4"/>
      <c r="VVC226" s="4"/>
      <c r="VVE226" s="4"/>
      <c r="VVG226" s="4"/>
      <c r="VVI226" s="4"/>
      <c r="VVK226" s="4"/>
      <c r="VVM226" s="4"/>
      <c r="VVO226" s="4"/>
      <c r="VVQ226" s="4"/>
      <c r="VVS226" s="4"/>
      <c r="VVU226" s="4"/>
      <c r="VVW226" s="4"/>
      <c r="VVY226" s="4"/>
      <c r="VWA226" s="4"/>
      <c r="VWC226" s="4"/>
      <c r="VWE226" s="4"/>
      <c r="VWG226" s="4"/>
      <c r="VWI226" s="4"/>
      <c r="VWK226" s="4"/>
      <c r="VWM226" s="4"/>
      <c r="VWO226" s="4"/>
      <c r="VWQ226" s="4"/>
      <c r="VWS226" s="4"/>
      <c r="VWU226" s="4"/>
      <c r="VWW226" s="4"/>
      <c r="VWY226" s="4"/>
      <c r="VXA226" s="4"/>
      <c r="VXC226" s="4"/>
      <c r="VXE226" s="4"/>
      <c r="VXG226" s="4"/>
      <c r="VXI226" s="4"/>
      <c r="VXK226" s="4"/>
      <c r="VXM226" s="4"/>
      <c r="VXO226" s="4"/>
      <c r="VXQ226" s="4"/>
      <c r="VXS226" s="4"/>
      <c r="VXU226" s="4"/>
      <c r="VXW226" s="4"/>
      <c r="VXY226" s="4"/>
      <c r="VYA226" s="4"/>
      <c r="VYC226" s="4"/>
      <c r="VYE226" s="4"/>
      <c r="VYG226" s="4"/>
      <c r="VYI226" s="4"/>
      <c r="VYK226" s="4"/>
      <c r="VYM226" s="4"/>
      <c r="VYO226" s="4"/>
      <c r="VYQ226" s="4"/>
      <c r="VYS226" s="4"/>
      <c r="VYU226" s="4"/>
      <c r="VYW226" s="4"/>
      <c r="VYY226" s="4"/>
      <c r="VZA226" s="4"/>
      <c r="VZC226" s="4"/>
      <c r="VZE226" s="4"/>
      <c r="VZG226" s="4"/>
      <c r="VZI226" s="4"/>
      <c r="VZK226" s="4"/>
      <c r="VZM226" s="4"/>
      <c r="VZO226" s="4"/>
      <c r="VZQ226" s="4"/>
      <c r="VZS226" s="4"/>
      <c r="VZU226" s="4"/>
      <c r="VZW226" s="4"/>
      <c r="VZY226" s="4"/>
      <c r="WAA226" s="4"/>
      <c r="WAC226" s="4"/>
      <c r="WAE226" s="4"/>
      <c r="WAG226" s="4"/>
      <c r="WAI226" s="4"/>
      <c r="WAK226" s="4"/>
      <c r="WAM226" s="4"/>
      <c r="WAO226" s="4"/>
      <c r="WAQ226" s="4"/>
      <c r="WAS226" s="4"/>
      <c r="WAU226" s="4"/>
      <c r="WAW226" s="4"/>
      <c r="WAY226" s="4"/>
      <c r="WBA226" s="4"/>
      <c r="WBC226" s="4"/>
      <c r="WBE226" s="4"/>
      <c r="WBG226" s="4"/>
      <c r="WBI226" s="4"/>
      <c r="WBK226" s="4"/>
      <c r="WBM226" s="4"/>
      <c r="WBO226" s="4"/>
      <c r="WBQ226" s="4"/>
      <c r="WBS226" s="4"/>
      <c r="WBU226" s="4"/>
      <c r="WBW226" s="4"/>
      <c r="WBY226" s="4"/>
      <c r="WCA226" s="4"/>
      <c r="WCC226" s="4"/>
      <c r="WCE226" s="4"/>
      <c r="WCG226" s="4"/>
      <c r="WCI226" s="4"/>
      <c r="WCK226" s="4"/>
      <c r="WCM226" s="4"/>
      <c r="WCO226" s="4"/>
      <c r="WCQ226" s="4"/>
      <c r="WCS226" s="4"/>
      <c r="WCU226" s="4"/>
      <c r="WCW226" s="4"/>
      <c r="WCY226" s="4"/>
      <c r="WDA226" s="4"/>
      <c r="WDC226" s="4"/>
      <c r="WDE226" s="4"/>
      <c r="WDG226" s="4"/>
      <c r="WDI226" s="4"/>
      <c r="WDK226" s="4"/>
      <c r="WDM226" s="4"/>
      <c r="WDO226" s="4"/>
      <c r="WDQ226" s="4"/>
      <c r="WDS226" s="4"/>
      <c r="WDU226" s="4"/>
      <c r="WDW226" s="4"/>
      <c r="WDY226" s="4"/>
      <c r="WEA226" s="4"/>
      <c r="WEC226" s="4"/>
      <c r="WEE226" s="4"/>
      <c r="WEG226" s="4"/>
      <c r="WEI226" s="4"/>
      <c r="WEK226" s="4"/>
      <c r="WEM226" s="4"/>
      <c r="WEO226" s="4"/>
      <c r="WEQ226" s="4"/>
      <c r="WES226" s="4"/>
      <c r="WEU226" s="4"/>
      <c r="WEW226" s="4"/>
      <c r="WEY226" s="4"/>
      <c r="WFA226" s="4"/>
      <c r="WFC226" s="4"/>
      <c r="WFE226" s="4"/>
      <c r="WFG226" s="4"/>
      <c r="WFI226" s="4"/>
      <c r="WFK226" s="4"/>
      <c r="WFM226" s="4"/>
      <c r="WFO226" s="4"/>
      <c r="WFQ226" s="4"/>
      <c r="WFS226" s="4"/>
      <c r="WFU226" s="4"/>
      <c r="WFW226" s="4"/>
      <c r="WFY226" s="4"/>
      <c r="WGA226" s="4"/>
      <c r="WGC226" s="4"/>
      <c r="WGE226" s="4"/>
      <c r="WGG226" s="4"/>
      <c r="WGI226" s="4"/>
      <c r="WGK226" s="4"/>
      <c r="WGM226" s="4"/>
      <c r="WGO226" s="4"/>
      <c r="WGQ226" s="4"/>
      <c r="WGS226" s="4"/>
      <c r="WGU226" s="4"/>
      <c r="WGW226" s="4"/>
      <c r="WGY226" s="4"/>
      <c r="WHA226" s="4"/>
      <c r="WHC226" s="4"/>
      <c r="WHE226" s="4"/>
      <c r="WHG226" s="4"/>
      <c r="WHI226" s="4"/>
      <c r="WHK226" s="4"/>
      <c r="WHM226" s="4"/>
      <c r="WHO226" s="4"/>
      <c r="WHQ226" s="4"/>
      <c r="WHS226" s="4"/>
      <c r="WHU226" s="4"/>
      <c r="WHW226" s="4"/>
      <c r="WHY226" s="4"/>
      <c r="WIA226" s="4"/>
      <c r="WIC226" s="4"/>
      <c r="WIE226" s="4"/>
      <c r="WIG226" s="4"/>
      <c r="WII226" s="4"/>
      <c r="WIK226" s="4"/>
      <c r="WIM226" s="4"/>
      <c r="WIO226" s="4"/>
      <c r="WIQ226" s="4"/>
      <c r="WIS226" s="4"/>
      <c r="WIU226" s="4"/>
      <c r="WIW226" s="4"/>
      <c r="WIY226" s="4"/>
      <c r="WJA226" s="4"/>
      <c r="WJC226" s="4"/>
      <c r="WJE226" s="4"/>
      <c r="WJG226" s="4"/>
      <c r="WJI226" s="4"/>
      <c r="WJK226" s="4"/>
      <c r="WJM226" s="4"/>
      <c r="WJO226" s="4"/>
      <c r="WJQ226" s="4"/>
      <c r="WJS226" s="4"/>
      <c r="WJU226" s="4"/>
      <c r="WJW226" s="4"/>
      <c r="WJY226" s="4"/>
      <c r="WKA226" s="4"/>
      <c r="WKC226" s="4"/>
      <c r="WKE226" s="4"/>
      <c r="WKG226" s="4"/>
      <c r="WKI226" s="4"/>
      <c r="WKK226" s="4"/>
      <c r="WKM226" s="4"/>
      <c r="WKO226" s="4"/>
      <c r="WKQ226" s="4"/>
      <c r="WKS226" s="4"/>
      <c r="WKU226" s="4"/>
      <c r="WKW226" s="4"/>
      <c r="WKY226" s="4"/>
      <c r="WLA226" s="4"/>
      <c r="WLC226" s="4"/>
      <c r="WLE226" s="4"/>
      <c r="WLG226" s="4"/>
      <c r="WLI226" s="4"/>
      <c r="WLK226" s="4"/>
      <c r="WLM226" s="4"/>
      <c r="WLO226" s="4"/>
      <c r="WLQ226" s="4"/>
      <c r="WLS226" s="4"/>
      <c r="WLU226" s="4"/>
      <c r="WLW226" s="4"/>
      <c r="WLY226" s="4"/>
      <c r="WMA226" s="4"/>
      <c r="WMC226" s="4"/>
      <c r="WME226" s="4"/>
      <c r="WMG226" s="4"/>
      <c r="WMI226" s="4"/>
      <c r="WMK226" s="4"/>
      <c r="WMM226" s="4"/>
      <c r="WMO226" s="4"/>
      <c r="WMQ226" s="4"/>
      <c r="WMS226" s="4"/>
      <c r="WMU226" s="4"/>
      <c r="WMW226" s="4"/>
      <c r="WMY226" s="4"/>
      <c r="WNA226" s="4"/>
      <c r="WNC226" s="4"/>
      <c r="WNE226" s="4"/>
      <c r="WNG226" s="4"/>
      <c r="WNI226" s="4"/>
      <c r="WNK226" s="4"/>
      <c r="WNM226" s="4"/>
      <c r="WNO226" s="4"/>
      <c r="WNQ226" s="4"/>
      <c r="WNS226" s="4"/>
      <c r="WNU226" s="4"/>
      <c r="WNW226" s="4"/>
      <c r="WNY226" s="4"/>
      <c r="WOA226" s="4"/>
      <c r="WOC226" s="4"/>
      <c r="WOE226" s="4"/>
      <c r="WOG226" s="4"/>
      <c r="WOI226" s="4"/>
      <c r="WOK226" s="4"/>
      <c r="WOM226" s="4"/>
      <c r="WOO226" s="4"/>
      <c r="WOQ226" s="4"/>
      <c r="WOS226" s="4"/>
      <c r="WOU226" s="4"/>
      <c r="WOW226" s="4"/>
      <c r="WOY226" s="4"/>
      <c r="WPA226" s="4"/>
      <c r="WPC226" s="4"/>
      <c r="WPE226" s="4"/>
      <c r="WPG226" s="4"/>
      <c r="WPI226" s="4"/>
      <c r="WPK226" s="4"/>
      <c r="WPM226" s="4"/>
      <c r="WPO226" s="4"/>
      <c r="WPQ226" s="4"/>
      <c r="WPS226" s="4"/>
      <c r="WPU226" s="4"/>
      <c r="WPW226" s="4"/>
      <c r="WPY226" s="4"/>
      <c r="WQA226" s="4"/>
      <c r="WQC226" s="4"/>
      <c r="WQE226" s="4"/>
      <c r="WQG226" s="4"/>
      <c r="WQI226" s="4"/>
      <c r="WQK226" s="4"/>
      <c r="WQM226" s="4"/>
      <c r="WQO226" s="4"/>
      <c r="WQQ226" s="4"/>
      <c r="WQS226" s="4"/>
      <c r="WQU226" s="4"/>
      <c r="WQW226" s="4"/>
      <c r="WQY226" s="4"/>
      <c r="WRA226" s="4"/>
      <c r="WRC226" s="4"/>
      <c r="WRE226" s="4"/>
      <c r="WRG226" s="4"/>
      <c r="WRI226" s="4"/>
      <c r="WRK226" s="4"/>
      <c r="WRM226" s="4"/>
      <c r="WRO226" s="4"/>
      <c r="WRQ226" s="4"/>
      <c r="WRS226" s="4"/>
      <c r="WRU226" s="4"/>
      <c r="WRW226" s="4"/>
      <c r="WRY226" s="4"/>
      <c r="WSA226" s="4"/>
      <c r="WSC226" s="4"/>
      <c r="WSE226" s="4"/>
      <c r="WSG226" s="4"/>
      <c r="WSI226" s="4"/>
      <c r="WSK226" s="4"/>
      <c r="WSM226" s="4"/>
      <c r="WSO226" s="4"/>
      <c r="WSQ226" s="4"/>
      <c r="WSS226" s="4"/>
      <c r="WSU226" s="4"/>
      <c r="WSW226" s="4"/>
      <c r="WSY226" s="4"/>
      <c r="WTA226" s="4"/>
      <c r="WTC226" s="4"/>
      <c r="WTE226" s="4"/>
      <c r="WTG226" s="4"/>
      <c r="WTI226" s="4"/>
      <c r="WTK226" s="4"/>
      <c r="WTM226" s="4"/>
      <c r="WTO226" s="4"/>
      <c r="WTQ226" s="4"/>
      <c r="WTS226" s="4"/>
      <c r="WTU226" s="4"/>
      <c r="WTW226" s="4"/>
      <c r="WTY226" s="4"/>
      <c r="WUA226" s="4"/>
      <c r="WUC226" s="4"/>
      <c r="WUE226" s="4"/>
      <c r="WUG226" s="4"/>
      <c r="WUI226" s="4"/>
      <c r="WUK226" s="4"/>
      <c r="WUM226" s="4"/>
      <c r="WUO226" s="4"/>
      <c r="WUQ226" s="4"/>
      <c r="WUS226" s="4"/>
      <c r="WUU226" s="4"/>
      <c r="WUW226" s="4"/>
      <c r="WUY226" s="4"/>
      <c r="WVA226" s="4"/>
      <c r="WVC226" s="4"/>
      <c r="WVE226" s="4"/>
      <c r="WVG226" s="4"/>
      <c r="WVI226" s="4"/>
      <c r="WVK226" s="4"/>
      <c r="WVM226" s="4"/>
      <c r="WVO226" s="4"/>
      <c r="WVQ226" s="4"/>
      <c r="WVS226" s="4"/>
      <c r="WVU226" s="4"/>
      <c r="WVW226" s="4"/>
      <c r="WVY226" s="4"/>
      <c r="WWA226" s="4"/>
      <c r="WWC226" s="4"/>
      <c r="WWE226" s="4"/>
      <c r="WWG226" s="4"/>
      <c r="WWI226" s="4"/>
      <c r="WWK226" s="4"/>
      <c r="WWM226" s="4"/>
      <c r="WWO226" s="4"/>
      <c r="WWQ226" s="4"/>
      <c r="WWS226" s="4"/>
      <c r="WWU226" s="4"/>
      <c r="WWW226" s="4"/>
      <c r="WWY226" s="4"/>
      <c r="WXA226" s="4"/>
      <c r="WXC226" s="4"/>
      <c r="WXE226" s="4"/>
      <c r="WXG226" s="4"/>
      <c r="WXI226" s="4"/>
      <c r="WXK226" s="4"/>
      <c r="WXM226" s="4"/>
      <c r="WXO226" s="4"/>
      <c r="WXQ226" s="4"/>
      <c r="WXS226" s="4"/>
      <c r="WXU226" s="4"/>
      <c r="WXW226" s="4"/>
      <c r="WXY226" s="4"/>
      <c r="WYA226" s="4"/>
      <c r="WYC226" s="4"/>
      <c r="WYE226" s="4"/>
      <c r="WYG226" s="4"/>
      <c r="WYI226" s="4"/>
      <c r="WYK226" s="4"/>
      <c r="WYM226" s="4"/>
      <c r="WYO226" s="4"/>
      <c r="WYQ226" s="4"/>
      <c r="WYS226" s="4"/>
      <c r="WYU226" s="4"/>
      <c r="WYW226" s="4"/>
      <c r="WYY226" s="4"/>
      <c r="WZA226" s="4"/>
      <c r="WZC226" s="4"/>
      <c r="WZE226" s="4"/>
      <c r="WZG226" s="4"/>
      <c r="WZI226" s="4"/>
      <c r="WZK226" s="4"/>
      <c r="WZM226" s="4"/>
      <c r="WZO226" s="4"/>
      <c r="WZQ226" s="4"/>
      <c r="WZS226" s="4"/>
      <c r="WZU226" s="4"/>
      <c r="WZW226" s="4"/>
      <c r="WZY226" s="4"/>
      <c r="XAA226" s="4"/>
      <c r="XAC226" s="4"/>
      <c r="XAE226" s="4"/>
      <c r="XAG226" s="4"/>
      <c r="XAI226" s="4"/>
      <c r="XAK226" s="4"/>
      <c r="XAM226" s="4"/>
      <c r="XAO226" s="4"/>
      <c r="XAQ226" s="4"/>
      <c r="XAS226" s="4"/>
      <c r="XAU226" s="4"/>
      <c r="XAW226" s="4"/>
      <c r="XAY226" s="4"/>
      <c r="XBA226" s="4"/>
      <c r="XBC226" s="4"/>
      <c r="XBE226" s="4"/>
      <c r="XBG226" s="4"/>
      <c r="XBI226" s="4"/>
      <c r="XBK226" s="4"/>
      <c r="XBM226" s="4"/>
      <c r="XBO226" s="4"/>
      <c r="XBQ226" s="4"/>
      <c r="XBS226" s="4"/>
      <c r="XBU226" s="4"/>
      <c r="XBW226" s="4"/>
      <c r="XBY226" s="4"/>
      <c r="XCA226" s="4"/>
      <c r="XCC226" s="4"/>
      <c r="XCE226" s="4"/>
      <c r="XCG226" s="4"/>
      <c r="XCI226" s="4"/>
      <c r="XCK226" s="4"/>
      <c r="XCM226" s="4"/>
      <c r="XCO226" s="4"/>
      <c r="XCQ226" s="4"/>
      <c r="XCS226" s="4"/>
      <c r="XCU226" s="4"/>
      <c r="XCW226" s="4"/>
      <c r="XCY226" s="4"/>
      <c r="XDA226" s="4"/>
      <c r="XDC226" s="4"/>
      <c r="XDE226" s="4"/>
      <c r="XDG226" s="4"/>
      <c r="XDI226" s="4"/>
      <c r="XDK226" s="4"/>
      <c r="XDM226" s="4"/>
      <c r="XDO226" s="4"/>
      <c r="XDQ226" s="4"/>
      <c r="XDS226" s="4"/>
      <c r="XDU226" s="4"/>
      <c r="XDW226" s="4"/>
      <c r="XDY226" s="4"/>
      <c r="XEA226" s="4"/>
      <c r="XEC226" s="4"/>
      <c r="XEE226" s="4"/>
      <c r="XEG226" s="4"/>
      <c r="XEI226" s="4"/>
      <c r="XEK226" s="4"/>
      <c r="XEM226" s="4"/>
      <c r="XEO226" s="4"/>
      <c r="XEQ226" s="4"/>
      <c r="XES226" s="4"/>
      <c r="XEU226" s="4"/>
      <c r="XEW226" s="4"/>
      <c r="XEY226" s="4"/>
      <c r="XFA226" s="4"/>
      <c r="XFC226" s="4"/>
    </row>
    <row r="227" spans="1:16383" s="9" customFormat="1">
      <c r="A227" s="4"/>
      <c r="B227" s="135" t="s">
        <v>163</v>
      </c>
      <c r="C227" s="4"/>
      <c r="E227" s="63" t="s">
        <v>164</v>
      </c>
      <c r="F227" s="159">
        <v>1</v>
      </c>
      <c r="G227" s="160">
        <f ca="1">$F$227*(G212+G215)</f>
        <v>22.676815692840393</v>
      </c>
      <c r="H227" s="160">
        <f t="shared" ref="H227:K227" ca="1" si="125">$F$227*(H212+H215)</f>
        <v>56.13273720786637</v>
      </c>
      <c r="I227" s="160">
        <f t="shared" ca="1" si="125"/>
        <v>122.78587644227864</v>
      </c>
      <c r="J227" s="160">
        <f t="shared" ca="1" si="125"/>
        <v>179.10822254200099</v>
      </c>
      <c r="K227" s="160">
        <f t="shared" ca="1" si="125"/>
        <v>233.68320004151855</v>
      </c>
      <c r="O227" s="4"/>
      <c r="Q227" s="4"/>
      <c r="S227" s="4"/>
      <c r="U227" s="4"/>
      <c r="W227" s="4"/>
      <c r="Y227" s="4"/>
      <c r="AA227" s="4"/>
      <c r="AC227" s="4"/>
      <c r="AE227" s="4"/>
      <c r="AG227" s="4"/>
      <c r="AI227" s="4"/>
      <c r="AK227" s="4"/>
      <c r="AM227" s="4"/>
      <c r="AO227" s="4"/>
      <c r="AQ227" s="4"/>
      <c r="AS227" s="4"/>
      <c r="AU227" s="4"/>
      <c r="AW227" s="4"/>
      <c r="AY227" s="4"/>
      <c r="BA227" s="4"/>
      <c r="BC227" s="4"/>
      <c r="BE227" s="4"/>
      <c r="BG227" s="4"/>
      <c r="BI227" s="4"/>
      <c r="BK227" s="4"/>
      <c r="BM227" s="4"/>
      <c r="BO227" s="4"/>
      <c r="BQ227" s="4"/>
      <c r="BS227" s="4"/>
      <c r="BU227" s="4"/>
      <c r="BW227" s="4"/>
      <c r="BY227" s="4"/>
      <c r="CA227" s="4"/>
      <c r="CC227" s="4"/>
      <c r="CE227" s="4"/>
      <c r="CG227" s="4"/>
      <c r="CI227" s="4"/>
      <c r="CK227" s="4"/>
      <c r="CM227" s="4"/>
      <c r="CO227" s="4"/>
      <c r="CQ227" s="4"/>
      <c r="CS227" s="4"/>
      <c r="CU227" s="4"/>
      <c r="CW227" s="4"/>
      <c r="CY227" s="4"/>
      <c r="DA227" s="4"/>
      <c r="DC227" s="4"/>
      <c r="DE227" s="4"/>
      <c r="DG227" s="4"/>
      <c r="DI227" s="4"/>
      <c r="DK227" s="4"/>
      <c r="DM227" s="4"/>
      <c r="DO227" s="4"/>
      <c r="DQ227" s="4"/>
      <c r="DS227" s="4"/>
      <c r="DU227" s="4"/>
      <c r="DW227" s="4"/>
      <c r="DY227" s="4"/>
      <c r="EA227" s="4"/>
      <c r="EC227" s="4"/>
      <c r="EE227" s="4"/>
      <c r="EG227" s="4"/>
      <c r="EI227" s="4"/>
      <c r="EK227" s="4"/>
      <c r="EM227" s="4"/>
      <c r="EO227" s="4"/>
      <c r="EQ227" s="4"/>
      <c r="ES227" s="4"/>
      <c r="EU227" s="4"/>
      <c r="EW227" s="4"/>
      <c r="EY227" s="4"/>
      <c r="FA227" s="4"/>
      <c r="FC227" s="4"/>
      <c r="FE227" s="4"/>
      <c r="FG227" s="4"/>
      <c r="FI227" s="4"/>
      <c r="FK227" s="4"/>
      <c r="FM227" s="4"/>
      <c r="FO227" s="4"/>
      <c r="FQ227" s="4"/>
      <c r="FS227" s="4"/>
      <c r="FU227" s="4"/>
      <c r="FW227" s="4"/>
      <c r="FY227" s="4"/>
      <c r="GA227" s="4"/>
      <c r="GC227" s="4"/>
      <c r="GE227" s="4"/>
      <c r="GG227" s="4"/>
      <c r="GI227" s="4"/>
      <c r="GK227" s="4"/>
      <c r="GM227" s="4"/>
      <c r="GO227" s="4"/>
      <c r="GQ227" s="4"/>
      <c r="GS227" s="4"/>
      <c r="GU227" s="4"/>
      <c r="GW227" s="4"/>
      <c r="GY227" s="4"/>
      <c r="HA227" s="4"/>
      <c r="HC227" s="4"/>
      <c r="HE227" s="4"/>
      <c r="HG227" s="4"/>
      <c r="HI227" s="4"/>
      <c r="HK227" s="4"/>
      <c r="HM227" s="4"/>
      <c r="HO227" s="4"/>
      <c r="HQ227" s="4"/>
      <c r="HS227" s="4"/>
      <c r="HU227" s="4"/>
      <c r="HW227" s="4"/>
      <c r="HY227" s="4"/>
      <c r="IA227" s="4"/>
      <c r="IC227" s="4"/>
      <c r="IE227" s="4"/>
      <c r="IG227" s="4"/>
      <c r="II227" s="4"/>
      <c r="IK227" s="4"/>
      <c r="IM227" s="4"/>
      <c r="IO227" s="4"/>
      <c r="IQ227" s="4"/>
      <c r="IS227" s="4"/>
      <c r="IU227" s="4"/>
      <c r="IW227" s="4"/>
      <c r="IY227" s="4"/>
      <c r="JA227" s="4"/>
      <c r="JC227" s="4"/>
      <c r="JE227" s="4"/>
      <c r="JG227" s="4"/>
      <c r="JI227" s="4"/>
      <c r="JK227" s="4"/>
      <c r="JM227" s="4"/>
      <c r="JO227" s="4"/>
      <c r="JQ227" s="4"/>
      <c r="JS227" s="4"/>
      <c r="JU227" s="4"/>
      <c r="JW227" s="4"/>
      <c r="JY227" s="4"/>
      <c r="KA227" s="4"/>
      <c r="KC227" s="4"/>
      <c r="KE227" s="4"/>
      <c r="KG227" s="4"/>
      <c r="KI227" s="4"/>
      <c r="KK227" s="4"/>
      <c r="KM227" s="4"/>
      <c r="KO227" s="4"/>
      <c r="KQ227" s="4"/>
      <c r="KS227" s="4"/>
      <c r="KU227" s="4"/>
      <c r="KW227" s="4"/>
      <c r="KY227" s="4"/>
      <c r="LA227" s="4"/>
      <c r="LC227" s="4"/>
      <c r="LE227" s="4"/>
      <c r="LG227" s="4"/>
      <c r="LI227" s="4"/>
      <c r="LK227" s="4"/>
      <c r="LM227" s="4"/>
      <c r="LO227" s="4"/>
      <c r="LQ227" s="4"/>
      <c r="LS227" s="4"/>
      <c r="LU227" s="4"/>
      <c r="LW227" s="4"/>
      <c r="LY227" s="4"/>
      <c r="MA227" s="4"/>
      <c r="MC227" s="4"/>
      <c r="ME227" s="4"/>
      <c r="MG227" s="4"/>
      <c r="MI227" s="4"/>
      <c r="MK227" s="4"/>
      <c r="MM227" s="4"/>
      <c r="MO227" s="4"/>
      <c r="MQ227" s="4"/>
      <c r="MS227" s="4"/>
      <c r="MU227" s="4"/>
      <c r="MW227" s="4"/>
      <c r="MY227" s="4"/>
      <c r="NA227" s="4"/>
      <c r="NC227" s="4"/>
      <c r="NE227" s="4"/>
      <c r="NG227" s="4"/>
      <c r="NI227" s="4"/>
      <c r="NK227" s="4"/>
      <c r="NM227" s="4"/>
      <c r="NO227" s="4"/>
      <c r="NQ227" s="4"/>
      <c r="NS227" s="4"/>
      <c r="NU227" s="4"/>
      <c r="NW227" s="4"/>
      <c r="NY227" s="4"/>
      <c r="OA227" s="4"/>
      <c r="OC227" s="4"/>
      <c r="OE227" s="4"/>
      <c r="OG227" s="4"/>
      <c r="OI227" s="4"/>
      <c r="OK227" s="4"/>
      <c r="OM227" s="4"/>
      <c r="OO227" s="4"/>
      <c r="OQ227" s="4"/>
      <c r="OS227" s="4"/>
      <c r="OU227" s="4"/>
      <c r="OW227" s="4"/>
      <c r="OY227" s="4"/>
      <c r="PA227" s="4"/>
      <c r="PC227" s="4"/>
      <c r="PE227" s="4"/>
      <c r="PG227" s="4"/>
      <c r="PI227" s="4"/>
      <c r="PK227" s="4"/>
      <c r="PM227" s="4"/>
      <c r="PO227" s="4"/>
      <c r="PQ227" s="4"/>
      <c r="PS227" s="4"/>
      <c r="PU227" s="4"/>
      <c r="PW227" s="4"/>
      <c r="PY227" s="4"/>
      <c r="QA227" s="4"/>
      <c r="QC227" s="4"/>
      <c r="QE227" s="4"/>
      <c r="QG227" s="4"/>
      <c r="QI227" s="4"/>
      <c r="QK227" s="4"/>
      <c r="QM227" s="4"/>
      <c r="QO227" s="4"/>
      <c r="QQ227" s="4"/>
      <c r="QS227" s="4"/>
      <c r="QU227" s="4"/>
      <c r="QW227" s="4"/>
      <c r="QY227" s="4"/>
      <c r="RA227" s="4"/>
      <c r="RC227" s="4"/>
      <c r="RE227" s="4"/>
      <c r="RG227" s="4"/>
      <c r="RI227" s="4"/>
      <c r="RK227" s="4"/>
      <c r="RM227" s="4"/>
      <c r="RO227" s="4"/>
      <c r="RQ227" s="4"/>
      <c r="RS227" s="4"/>
      <c r="RU227" s="4"/>
      <c r="RW227" s="4"/>
      <c r="RY227" s="4"/>
      <c r="SA227" s="4"/>
      <c r="SC227" s="4"/>
      <c r="SE227" s="4"/>
      <c r="SG227" s="4"/>
      <c r="SI227" s="4"/>
      <c r="SK227" s="4"/>
      <c r="SM227" s="4"/>
      <c r="SO227" s="4"/>
      <c r="SQ227" s="4"/>
      <c r="SS227" s="4"/>
      <c r="SU227" s="4"/>
      <c r="SW227" s="4"/>
      <c r="SY227" s="4"/>
      <c r="TA227" s="4"/>
      <c r="TC227" s="4"/>
      <c r="TE227" s="4"/>
      <c r="TG227" s="4"/>
      <c r="TI227" s="4"/>
      <c r="TK227" s="4"/>
      <c r="TM227" s="4"/>
      <c r="TO227" s="4"/>
      <c r="TQ227" s="4"/>
      <c r="TS227" s="4"/>
      <c r="TU227" s="4"/>
      <c r="TW227" s="4"/>
      <c r="TY227" s="4"/>
      <c r="UA227" s="4"/>
      <c r="UC227" s="4"/>
      <c r="UE227" s="4"/>
      <c r="UG227" s="4"/>
      <c r="UI227" s="4"/>
      <c r="UK227" s="4"/>
      <c r="UM227" s="4"/>
      <c r="UO227" s="4"/>
      <c r="UQ227" s="4"/>
      <c r="US227" s="4"/>
      <c r="UU227" s="4"/>
      <c r="UW227" s="4"/>
      <c r="UY227" s="4"/>
      <c r="VA227" s="4"/>
      <c r="VC227" s="4"/>
      <c r="VE227" s="4"/>
      <c r="VG227" s="4"/>
      <c r="VI227" s="4"/>
      <c r="VK227" s="4"/>
      <c r="VM227" s="4"/>
      <c r="VO227" s="4"/>
      <c r="VQ227" s="4"/>
      <c r="VS227" s="4"/>
      <c r="VU227" s="4"/>
      <c r="VW227" s="4"/>
      <c r="VY227" s="4"/>
      <c r="WA227" s="4"/>
      <c r="WC227" s="4"/>
      <c r="WE227" s="4"/>
      <c r="WG227" s="4"/>
      <c r="WI227" s="4"/>
      <c r="WK227" s="4"/>
      <c r="WM227" s="4"/>
      <c r="WO227" s="4"/>
      <c r="WQ227" s="4"/>
      <c r="WS227" s="4"/>
      <c r="WU227" s="4"/>
      <c r="WW227" s="4"/>
      <c r="WY227" s="4"/>
      <c r="XA227" s="4"/>
      <c r="XC227" s="4"/>
      <c r="XE227" s="4"/>
      <c r="XG227" s="4"/>
      <c r="XI227" s="4"/>
      <c r="XK227" s="4"/>
      <c r="XM227" s="4"/>
      <c r="XO227" s="4"/>
      <c r="XQ227" s="4"/>
      <c r="XS227" s="4"/>
      <c r="XU227" s="4"/>
      <c r="XW227" s="4"/>
      <c r="XY227" s="4"/>
      <c r="YA227" s="4"/>
      <c r="YC227" s="4"/>
      <c r="YE227" s="4"/>
      <c r="YG227" s="4"/>
      <c r="YI227" s="4"/>
      <c r="YK227" s="4"/>
      <c r="YM227" s="4"/>
      <c r="YO227" s="4"/>
      <c r="YQ227" s="4"/>
      <c r="YS227" s="4"/>
      <c r="YU227" s="4"/>
      <c r="YW227" s="4"/>
      <c r="YY227" s="4"/>
      <c r="ZA227" s="4"/>
      <c r="ZC227" s="4"/>
      <c r="ZE227" s="4"/>
      <c r="ZG227" s="4"/>
      <c r="ZI227" s="4"/>
      <c r="ZK227" s="4"/>
      <c r="ZM227" s="4"/>
      <c r="ZO227" s="4"/>
      <c r="ZQ227" s="4"/>
      <c r="ZS227" s="4"/>
      <c r="ZU227" s="4"/>
      <c r="ZW227" s="4"/>
      <c r="ZY227" s="4"/>
      <c r="AAA227" s="4"/>
      <c r="AAC227" s="4"/>
      <c r="AAE227" s="4"/>
      <c r="AAG227" s="4"/>
      <c r="AAI227" s="4"/>
      <c r="AAK227" s="4"/>
      <c r="AAM227" s="4"/>
      <c r="AAO227" s="4"/>
      <c r="AAQ227" s="4"/>
      <c r="AAS227" s="4"/>
      <c r="AAU227" s="4"/>
      <c r="AAW227" s="4"/>
      <c r="AAY227" s="4"/>
      <c r="ABA227" s="4"/>
      <c r="ABC227" s="4"/>
      <c r="ABE227" s="4"/>
      <c r="ABG227" s="4"/>
      <c r="ABI227" s="4"/>
      <c r="ABK227" s="4"/>
      <c r="ABM227" s="4"/>
      <c r="ABO227" s="4"/>
      <c r="ABQ227" s="4"/>
      <c r="ABS227" s="4"/>
      <c r="ABU227" s="4"/>
      <c r="ABW227" s="4"/>
      <c r="ABY227" s="4"/>
      <c r="ACA227" s="4"/>
      <c r="ACC227" s="4"/>
      <c r="ACE227" s="4"/>
      <c r="ACG227" s="4"/>
      <c r="ACI227" s="4"/>
      <c r="ACK227" s="4"/>
      <c r="ACM227" s="4"/>
      <c r="ACO227" s="4"/>
      <c r="ACQ227" s="4"/>
      <c r="ACS227" s="4"/>
      <c r="ACU227" s="4"/>
      <c r="ACW227" s="4"/>
      <c r="ACY227" s="4"/>
      <c r="ADA227" s="4"/>
      <c r="ADC227" s="4"/>
      <c r="ADE227" s="4"/>
      <c r="ADG227" s="4"/>
      <c r="ADI227" s="4"/>
      <c r="ADK227" s="4"/>
      <c r="ADM227" s="4"/>
      <c r="ADO227" s="4"/>
      <c r="ADQ227" s="4"/>
      <c r="ADS227" s="4"/>
      <c r="ADU227" s="4"/>
      <c r="ADW227" s="4"/>
      <c r="ADY227" s="4"/>
      <c r="AEA227" s="4"/>
      <c r="AEC227" s="4"/>
      <c r="AEE227" s="4"/>
      <c r="AEG227" s="4"/>
      <c r="AEI227" s="4"/>
      <c r="AEK227" s="4"/>
      <c r="AEM227" s="4"/>
      <c r="AEO227" s="4"/>
      <c r="AEQ227" s="4"/>
      <c r="AES227" s="4"/>
      <c r="AEU227" s="4"/>
      <c r="AEW227" s="4"/>
      <c r="AEY227" s="4"/>
      <c r="AFA227" s="4"/>
      <c r="AFC227" s="4"/>
      <c r="AFE227" s="4"/>
      <c r="AFG227" s="4"/>
      <c r="AFI227" s="4"/>
      <c r="AFK227" s="4"/>
      <c r="AFM227" s="4"/>
      <c r="AFO227" s="4"/>
      <c r="AFQ227" s="4"/>
      <c r="AFS227" s="4"/>
      <c r="AFU227" s="4"/>
      <c r="AFW227" s="4"/>
      <c r="AFY227" s="4"/>
      <c r="AGA227" s="4"/>
      <c r="AGC227" s="4"/>
      <c r="AGE227" s="4"/>
      <c r="AGG227" s="4"/>
      <c r="AGI227" s="4"/>
      <c r="AGK227" s="4"/>
      <c r="AGM227" s="4"/>
      <c r="AGO227" s="4"/>
      <c r="AGQ227" s="4"/>
      <c r="AGS227" s="4"/>
      <c r="AGU227" s="4"/>
      <c r="AGW227" s="4"/>
      <c r="AGY227" s="4"/>
      <c r="AHA227" s="4"/>
      <c r="AHC227" s="4"/>
      <c r="AHE227" s="4"/>
      <c r="AHG227" s="4"/>
      <c r="AHI227" s="4"/>
      <c r="AHK227" s="4"/>
      <c r="AHM227" s="4"/>
      <c r="AHO227" s="4"/>
      <c r="AHQ227" s="4"/>
      <c r="AHS227" s="4"/>
      <c r="AHU227" s="4"/>
      <c r="AHW227" s="4"/>
      <c r="AHY227" s="4"/>
      <c r="AIA227" s="4"/>
      <c r="AIC227" s="4"/>
      <c r="AIE227" s="4"/>
      <c r="AIG227" s="4"/>
      <c r="AII227" s="4"/>
      <c r="AIK227" s="4"/>
      <c r="AIM227" s="4"/>
      <c r="AIO227" s="4"/>
      <c r="AIQ227" s="4"/>
      <c r="AIS227" s="4"/>
      <c r="AIU227" s="4"/>
      <c r="AIW227" s="4"/>
      <c r="AIY227" s="4"/>
      <c r="AJA227" s="4"/>
      <c r="AJC227" s="4"/>
      <c r="AJE227" s="4"/>
      <c r="AJG227" s="4"/>
      <c r="AJI227" s="4"/>
      <c r="AJK227" s="4"/>
      <c r="AJM227" s="4"/>
      <c r="AJO227" s="4"/>
      <c r="AJQ227" s="4"/>
      <c r="AJS227" s="4"/>
      <c r="AJU227" s="4"/>
      <c r="AJW227" s="4"/>
      <c r="AJY227" s="4"/>
      <c r="AKA227" s="4"/>
      <c r="AKC227" s="4"/>
      <c r="AKE227" s="4"/>
      <c r="AKG227" s="4"/>
      <c r="AKI227" s="4"/>
      <c r="AKK227" s="4"/>
      <c r="AKM227" s="4"/>
      <c r="AKO227" s="4"/>
      <c r="AKQ227" s="4"/>
      <c r="AKS227" s="4"/>
      <c r="AKU227" s="4"/>
      <c r="AKW227" s="4"/>
      <c r="AKY227" s="4"/>
      <c r="ALA227" s="4"/>
      <c r="ALC227" s="4"/>
      <c r="ALE227" s="4"/>
      <c r="ALG227" s="4"/>
      <c r="ALI227" s="4"/>
      <c r="ALK227" s="4"/>
      <c r="ALM227" s="4"/>
      <c r="ALO227" s="4"/>
      <c r="ALQ227" s="4"/>
      <c r="ALS227" s="4"/>
      <c r="ALU227" s="4"/>
      <c r="ALW227" s="4"/>
      <c r="ALY227" s="4"/>
      <c r="AMA227" s="4"/>
      <c r="AMC227" s="4"/>
      <c r="AME227" s="4"/>
      <c r="AMG227" s="4"/>
      <c r="AMI227" s="4"/>
      <c r="AMK227" s="4"/>
      <c r="AMM227" s="4"/>
      <c r="AMO227" s="4"/>
      <c r="AMQ227" s="4"/>
      <c r="AMS227" s="4"/>
      <c r="AMU227" s="4"/>
      <c r="AMW227" s="4"/>
      <c r="AMY227" s="4"/>
      <c r="ANA227" s="4"/>
      <c r="ANC227" s="4"/>
      <c r="ANE227" s="4"/>
      <c r="ANG227" s="4"/>
      <c r="ANI227" s="4"/>
      <c r="ANK227" s="4"/>
      <c r="ANM227" s="4"/>
      <c r="ANO227" s="4"/>
      <c r="ANQ227" s="4"/>
      <c r="ANS227" s="4"/>
      <c r="ANU227" s="4"/>
      <c r="ANW227" s="4"/>
      <c r="ANY227" s="4"/>
      <c r="AOA227" s="4"/>
      <c r="AOC227" s="4"/>
      <c r="AOE227" s="4"/>
      <c r="AOG227" s="4"/>
      <c r="AOI227" s="4"/>
      <c r="AOK227" s="4"/>
      <c r="AOM227" s="4"/>
      <c r="AOO227" s="4"/>
      <c r="AOQ227" s="4"/>
      <c r="AOS227" s="4"/>
      <c r="AOU227" s="4"/>
      <c r="AOW227" s="4"/>
      <c r="AOY227" s="4"/>
      <c r="APA227" s="4"/>
      <c r="APC227" s="4"/>
      <c r="APE227" s="4"/>
      <c r="APG227" s="4"/>
      <c r="API227" s="4"/>
      <c r="APK227" s="4"/>
      <c r="APM227" s="4"/>
      <c r="APO227" s="4"/>
      <c r="APQ227" s="4"/>
      <c r="APS227" s="4"/>
      <c r="APU227" s="4"/>
      <c r="APW227" s="4"/>
      <c r="APY227" s="4"/>
      <c r="AQA227" s="4"/>
      <c r="AQC227" s="4"/>
      <c r="AQE227" s="4"/>
      <c r="AQG227" s="4"/>
      <c r="AQI227" s="4"/>
      <c r="AQK227" s="4"/>
      <c r="AQM227" s="4"/>
      <c r="AQO227" s="4"/>
      <c r="AQQ227" s="4"/>
      <c r="AQS227" s="4"/>
      <c r="AQU227" s="4"/>
      <c r="AQW227" s="4"/>
      <c r="AQY227" s="4"/>
      <c r="ARA227" s="4"/>
      <c r="ARC227" s="4"/>
      <c r="ARE227" s="4"/>
      <c r="ARG227" s="4"/>
      <c r="ARI227" s="4"/>
      <c r="ARK227" s="4"/>
      <c r="ARM227" s="4"/>
      <c r="ARO227" s="4"/>
      <c r="ARQ227" s="4"/>
      <c r="ARS227" s="4"/>
      <c r="ARU227" s="4"/>
      <c r="ARW227" s="4"/>
      <c r="ARY227" s="4"/>
      <c r="ASA227" s="4"/>
      <c r="ASC227" s="4"/>
      <c r="ASE227" s="4"/>
      <c r="ASG227" s="4"/>
      <c r="ASI227" s="4"/>
      <c r="ASK227" s="4"/>
      <c r="ASM227" s="4"/>
      <c r="ASO227" s="4"/>
      <c r="ASQ227" s="4"/>
      <c r="ASS227" s="4"/>
      <c r="ASU227" s="4"/>
      <c r="ASW227" s="4"/>
      <c r="ASY227" s="4"/>
      <c r="ATA227" s="4"/>
      <c r="ATC227" s="4"/>
      <c r="ATE227" s="4"/>
      <c r="ATG227" s="4"/>
      <c r="ATI227" s="4"/>
      <c r="ATK227" s="4"/>
      <c r="ATM227" s="4"/>
      <c r="ATO227" s="4"/>
      <c r="ATQ227" s="4"/>
      <c r="ATS227" s="4"/>
      <c r="ATU227" s="4"/>
      <c r="ATW227" s="4"/>
      <c r="ATY227" s="4"/>
      <c r="AUA227" s="4"/>
      <c r="AUC227" s="4"/>
      <c r="AUE227" s="4"/>
      <c r="AUG227" s="4"/>
      <c r="AUI227" s="4"/>
      <c r="AUK227" s="4"/>
      <c r="AUM227" s="4"/>
      <c r="AUO227" s="4"/>
      <c r="AUQ227" s="4"/>
      <c r="AUS227" s="4"/>
      <c r="AUU227" s="4"/>
      <c r="AUW227" s="4"/>
      <c r="AUY227" s="4"/>
      <c r="AVA227" s="4"/>
      <c r="AVC227" s="4"/>
      <c r="AVE227" s="4"/>
      <c r="AVG227" s="4"/>
      <c r="AVI227" s="4"/>
      <c r="AVK227" s="4"/>
      <c r="AVM227" s="4"/>
      <c r="AVO227" s="4"/>
      <c r="AVQ227" s="4"/>
      <c r="AVS227" s="4"/>
      <c r="AVU227" s="4"/>
      <c r="AVW227" s="4"/>
      <c r="AVY227" s="4"/>
      <c r="AWA227" s="4"/>
      <c r="AWC227" s="4"/>
      <c r="AWE227" s="4"/>
      <c r="AWG227" s="4"/>
      <c r="AWI227" s="4"/>
      <c r="AWK227" s="4"/>
      <c r="AWM227" s="4"/>
      <c r="AWO227" s="4"/>
      <c r="AWQ227" s="4"/>
      <c r="AWS227" s="4"/>
      <c r="AWU227" s="4"/>
      <c r="AWW227" s="4"/>
      <c r="AWY227" s="4"/>
      <c r="AXA227" s="4"/>
      <c r="AXC227" s="4"/>
      <c r="AXE227" s="4"/>
      <c r="AXG227" s="4"/>
      <c r="AXI227" s="4"/>
      <c r="AXK227" s="4"/>
      <c r="AXM227" s="4"/>
      <c r="AXO227" s="4"/>
      <c r="AXQ227" s="4"/>
      <c r="AXS227" s="4"/>
      <c r="AXU227" s="4"/>
      <c r="AXW227" s="4"/>
      <c r="AXY227" s="4"/>
      <c r="AYA227" s="4"/>
      <c r="AYC227" s="4"/>
      <c r="AYE227" s="4"/>
      <c r="AYG227" s="4"/>
      <c r="AYI227" s="4"/>
      <c r="AYK227" s="4"/>
      <c r="AYM227" s="4"/>
      <c r="AYO227" s="4"/>
      <c r="AYQ227" s="4"/>
      <c r="AYS227" s="4"/>
      <c r="AYU227" s="4"/>
      <c r="AYW227" s="4"/>
      <c r="AYY227" s="4"/>
      <c r="AZA227" s="4"/>
      <c r="AZC227" s="4"/>
      <c r="AZE227" s="4"/>
      <c r="AZG227" s="4"/>
      <c r="AZI227" s="4"/>
      <c r="AZK227" s="4"/>
      <c r="AZM227" s="4"/>
      <c r="AZO227" s="4"/>
      <c r="AZQ227" s="4"/>
      <c r="AZS227" s="4"/>
      <c r="AZU227" s="4"/>
      <c r="AZW227" s="4"/>
      <c r="AZY227" s="4"/>
      <c r="BAA227" s="4"/>
      <c r="BAC227" s="4"/>
      <c r="BAE227" s="4"/>
      <c r="BAG227" s="4"/>
      <c r="BAI227" s="4"/>
      <c r="BAK227" s="4"/>
      <c r="BAM227" s="4"/>
      <c r="BAO227" s="4"/>
      <c r="BAQ227" s="4"/>
      <c r="BAS227" s="4"/>
      <c r="BAU227" s="4"/>
      <c r="BAW227" s="4"/>
      <c r="BAY227" s="4"/>
      <c r="BBA227" s="4"/>
      <c r="BBC227" s="4"/>
      <c r="BBE227" s="4"/>
      <c r="BBG227" s="4"/>
      <c r="BBI227" s="4"/>
      <c r="BBK227" s="4"/>
      <c r="BBM227" s="4"/>
      <c r="BBO227" s="4"/>
      <c r="BBQ227" s="4"/>
      <c r="BBS227" s="4"/>
      <c r="BBU227" s="4"/>
      <c r="BBW227" s="4"/>
      <c r="BBY227" s="4"/>
      <c r="BCA227" s="4"/>
      <c r="BCC227" s="4"/>
      <c r="BCE227" s="4"/>
      <c r="BCG227" s="4"/>
      <c r="BCI227" s="4"/>
      <c r="BCK227" s="4"/>
      <c r="BCM227" s="4"/>
      <c r="BCO227" s="4"/>
      <c r="BCQ227" s="4"/>
      <c r="BCS227" s="4"/>
      <c r="BCU227" s="4"/>
      <c r="BCW227" s="4"/>
      <c r="BCY227" s="4"/>
      <c r="BDA227" s="4"/>
      <c r="BDC227" s="4"/>
      <c r="BDE227" s="4"/>
      <c r="BDG227" s="4"/>
      <c r="BDI227" s="4"/>
      <c r="BDK227" s="4"/>
      <c r="BDM227" s="4"/>
      <c r="BDO227" s="4"/>
      <c r="BDQ227" s="4"/>
      <c r="BDS227" s="4"/>
      <c r="BDU227" s="4"/>
      <c r="BDW227" s="4"/>
      <c r="BDY227" s="4"/>
      <c r="BEA227" s="4"/>
      <c r="BEC227" s="4"/>
      <c r="BEE227" s="4"/>
      <c r="BEG227" s="4"/>
      <c r="BEI227" s="4"/>
      <c r="BEK227" s="4"/>
      <c r="BEM227" s="4"/>
      <c r="BEO227" s="4"/>
      <c r="BEQ227" s="4"/>
      <c r="BES227" s="4"/>
      <c r="BEU227" s="4"/>
      <c r="BEW227" s="4"/>
      <c r="BEY227" s="4"/>
      <c r="BFA227" s="4"/>
      <c r="BFC227" s="4"/>
      <c r="BFE227" s="4"/>
      <c r="BFG227" s="4"/>
      <c r="BFI227" s="4"/>
      <c r="BFK227" s="4"/>
      <c r="BFM227" s="4"/>
      <c r="BFO227" s="4"/>
      <c r="BFQ227" s="4"/>
      <c r="BFS227" s="4"/>
      <c r="BFU227" s="4"/>
      <c r="BFW227" s="4"/>
      <c r="BFY227" s="4"/>
      <c r="BGA227" s="4"/>
      <c r="BGC227" s="4"/>
      <c r="BGE227" s="4"/>
      <c r="BGG227" s="4"/>
      <c r="BGI227" s="4"/>
      <c r="BGK227" s="4"/>
      <c r="BGM227" s="4"/>
      <c r="BGO227" s="4"/>
      <c r="BGQ227" s="4"/>
      <c r="BGS227" s="4"/>
      <c r="BGU227" s="4"/>
      <c r="BGW227" s="4"/>
      <c r="BGY227" s="4"/>
      <c r="BHA227" s="4"/>
      <c r="BHC227" s="4"/>
      <c r="BHE227" s="4"/>
      <c r="BHG227" s="4"/>
      <c r="BHI227" s="4"/>
      <c r="BHK227" s="4"/>
      <c r="BHM227" s="4"/>
      <c r="BHO227" s="4"/>
      <c r="BHQ227" s="4"/>
      <c r="BHS227" s="4"/>
      <c r="BHU227" s="4"/>
      <c r="BHW227" s="4"/>
      <c r="BHY227" s="4"/>
      <c r="BIA227" s="4"/>
      <c r="BIC227" s="4"/>
      <c r="BIE227" s="4"/>
      <c r="BIG227" s="4"/>
      <c r="BII227" s="4"/>
      <c r="BIK227" s="4"/>
      <c r="BIM227" s="4"/>
      <c r="BIO227" s="4"/>
      <c r="BIQ227" s="4"/>
      <c r="BIS227" s="4"/>
      <c r="BIU227" s="4"/>
      <c r="BIW227" s="4"/>
      <c r="BIY227" s="4"/>
      <c r="BJA227" s="4"/>
      <c r="BJC227" s="4"/>
      <c r="BJE227" s="4"/>
      <c r="BJG227" s="4"/>
      <c r="BJI227" s="4"/>
      <c r="BJK227" s="4"/>
      <c r="BJM227" s="4"/>
      <c r="BJO227" s="4"/>
      <c r="BJQ227" s="4"/>
      <c r="BJS227" s="4"/>
      <c r="BJU227" s="4"/>
      <c r="BJW227" s="4"/>
      <c r="BJY227" s="4"/>
      <c r="BKA227" s="4"/>
      <c r="BKC227" s="4"/>
      <c r="BKE227" s="4"/>
      <c r="BKG227" s="4"/>
      <c r="BKI227" s="4"/>
      <c r="BKK227" s="4"/>
      <c r="BKM227" s="4"/>
      <c r="BKO227" s="4"/>
      <c r="BKQ227" s="4"/>
      <c r="BKS227" s="4"/>
      <c r="BKU227" s="4"/>
      <c r="BKW227" s="4"/>
      <c r="BKY227" s="4"/>
      <c r="BLA227" s="4"/>
      <c r="BLC227" s="4"/>
      <c r="BLE227" s="4"/>
      <c r="BLG227" s="4"/>
      <c r="BLI227" s="4"/>
      <c r="BLK227" s="4"/>
      <c r="BLM227" s="4"/>
      <c r="BLO227" s="4"/>
      <c r="BLQ227" s="4"/>
      <c r="BLS227" s="4"/>
      <c r="BLU227" s="4"/>
      <c r="BLW227" s="4"/>
      <c r="BLY227" s="4"/>
      <c r="BMA227" s="4"/>
      <c r="BMC227" s="4"/>
      <c r="BME227" s="4"/>
      <c r="BMG227" s="4"/>
      <c r="BMI227" s="4"/>
      <c r="BMK227" s="4"/>
      <c r="BMM227" s="4"/>
      <c r="BMO227" s="4"/>
      <c r="BMQ227" s="4"/>
      <c r="BMS227" s="4"/>
      <c r="BMU227" s="4"/>
      <c r="BMW227" s="4"/>
      <c r="BMY227" s="4"/>
      <c r="BNA227" s="4"/>
      <c r="BNC227" s="4"/>
      <c r="BNE227" s="4"/>
      <c r="BNG227" s="4"/>
      <c r="BNI227" s="4"/>
      <c r="BNK227" s="4"/>
      <c r="BNM227" s="4"/>
      <c r="BNO227" s="4"/>
      <c r="BNQ227" s="4"/>
      <c r="BNS227" s="4"/>
      <c r="BNU227" s="4"/>
      <c r="BNW227" s="4"/>
      <c r="BNY227" s="4"/>
      <c r="BOA227" s="4"/>
      <c r="BOC227" s="4"/>
      <c r="BOE227" s="4"/>
      <c r="BOG227" s="4"/>
      <c r="BOI227" s="4"/>
      <c r="BOK227" s="4"/>
      <c r="BOM227" s="4"/>
      <c r="BOO227" s="4"/>
      <c r="BOQ227" s="4"/>
      <c r="BOS227" s="4"/>
      <c r="BOU227" s="4"/>
      <c r="BOW227" s="4"/>
      <c r="BOY227" s="4"/>
      <c r="BPA227" s="4"/>
      <c r="BPC227" s="4"/>
      <c r="BPE227" s="4"/>
      <c r="BPG227" s="4"/>
      <c r="BPI227" s="4"/>
      <c r="BPK227" s="4"/>
      <c r="BPM227" s="4"/>
      <c r="BPO227" s="4"/>
      <c r="BPQ227" s="4"/>
      <c r="BPS227" s="4"/>
      <c r="BPU227" s="4"/>
      <c r="BPW227" s="4"/>
      <c r="BPY227" s="4"/>
      <c r="BQA227" s="4"/>
      <c r="BQC227" s="4"/>
      <c r="BQE227" s="4"/>
      <c r="BQG227" s="4"/>
      <c r="BQI227" s="4"/>
      <c r="BQK227" s="4"/>
      <c r="BQM227" s="4"/>
      <c r="BQO227" s="4"/>
      <c r="BQQ227" s="4"/>
      <c r="BQS227" s="4"/>
      <c r="BQU227" s="4"/>
      <c r="BQW227" s="4"/>
      <c r="BQY227" s="4"/>
      <c r="BRA227" s="4"/>
      <c r="BRC227" s="4"/>
      <c r="BRE227" s="4"/>
      <c r="BRG227" s="4"/>
      <c r="BRI227" s="4"/>
      <c r="BRK227" s="4"/>
      <c r="BRM227" s="4"/>
      <c r="BRO227" s="4"/>
      <c r="BRQ227" s="4"/>
      <c r="BRS227" s="4"/>
      <c r="BRU227" s="4"/>
      <c r="BRW227" s="4"/>
      <c r="BRY227" s="4"/>
      <c r="BSA227" s="4"/>
      <c r="BSC227" s="4"/>
      <c r="BSE227" s="4"/>
      <c r="BSG227" s="4"/>
      <c r="BSI227" s="4"/>
      <c r="BSK227" s="4"/>
      <c r="BSM227" s="4"/>
      <c r="BSO227" s="4"/>
      <c r="BSQ227" s="4"/>
      <c r="BSS227" s="4"/>
      <c r="BSU227" s="4"/>
      <c r="BSW227" s="4"/>
      <c r="BSY227" s="4"/>
      <c r="BTA227" s="4"/>
      <c r="BTC227" s="4"/>
      <c r="BTE227" s="4"/>
      <c r="BTG227" s="4"/>
      <c r="BTI227" s="4"/>
      <c r="BTK227" s="4"/>
      <c r="BTM227" s="4"/>
      <c r="BTO227" s="4"/>
      <c r="BTQ227" s="4"/>
      <c r="BTS227" s="4"/>
      <c r="BTU227" s="4"/>
      <c r="BTW227" s="4"/>
      <c r="BTY227" s="4"/>
      <c r="BUA227" s="4"/>
      <c r="BUC227" s="4"/>
      <c r="BUE227" s="4"/>
      <c r="BUG227" s="4"/>
      <c r="BUI227" s="4"/>
      <c r="BUK227" s="4"/>
      <c r="BUM227" s="4"/>
      <c r="BUO227" s="4"/>
      <c r="BUQ227" s="4"/>
      <c r="BUS227" s="4"/>
      <c r="BUU227" s="4"/>
      <c r="BUW227" s="4"/>
      <c r="BUY227" s="4"/>
      <c r="BVA227" s="4"/>
      <c r="BVC227" s="4"/>
      <c r="BVE227" s="4"/>
      <c r="BVG227" s="4"/>
      <c r="BVI227" s="4"/>
      <c r="BVK227" s="4"/>
      <c r="BVM227" s="4"/>
      <c r="BVO227" s="4"/>
      <c r="BVQ227" s="4"/>
      <c r="BVS227" s="4"/>
      <c r="BVU227" s="4"/>
      <c r="BVW227" s="4"/>
      <c r="BVY227" s="4"/>
      <c r="BWA227" s="4"/>
      <c r="BWC227" s="4"/>
      <c r="BWE227" s="4"/>
      <c r="BWG227" s="4"/>
      <c r="BWI227" s="4"/>
      <c r="BWK227" s="4"/>
      <c r="BWM227" s="4"/>
      <c r="BWO227" s="4"/>
      <c r="BWQ227" s="4"/>
      <c r="BWS227" s="4"/>
      <c r="BWU227" s="4"/>
      <c r="BWW227" s="4"/>
      <c r="BWY227" s="4"/>
      <c r="BXA227" s="4"/>
      <c r="BXC227" s="4"/>
      <c r="BXE227" s="4"/>
      <c r="BXG227" s="4"/>
      <c r="BXI227" s="4"/>
      <c r="BXK227" s="4"/>
      <c r="BXM227" s="4"/>
      <c r="BXO227" s="4"/>
      <c r="BXQ227" s="4"/>
      <c r="BXS227" s="4"/>
      <c r="BXU227" s="4"/>
      <c r="BXW227" s="4"/>
      <c r="BXY227" s="4"/>
      <c r="BYA227" s="4"/>
      <c r="BYC227" s="4"/>
      <c r="BYE227" s="4"/>
      <c r="BYG227" s="4"/>
      <c r="BYI227" s="4"/>
      <c r="BYK227" s="4"/>
      <c r="BYM227" s="4"/>
      <c r="BYO227" s="4"/>
      <c r="BYQ227" s="4"/>
      <c r="BYS227" s="4"/>
      <c r="BYU227" s="4"/>
      <c r="BYW227" s="4"/>
      <c r="BYY227" s="4"/>
      <c r="BZA227" s="4"/>
      <c r="BZC227" s="4"/>
      <c r="BZE227" s="4"/>
      <c r="BZG227" s="4"/>
      <c r="BZI227" s="4"/>
      <c r="BZK227" s="4"/>
      <c r="BZM227" s="4"/>
      <c r="BZO227" s="4"/>
      <c r="BZQ227" s="4"/>
      <c r="BZS227" s="4"/>
      <c r="BZU227" s="4"/>
      <c r="BZW227" s="4"/>
      <c r="BZY227" s="4"/>
      <c r="CAA227" s="4"/>
      <c r="CAC227" s="4"/>
      <c r="CAE227" s="4"/>
      <c r="CAG227" s="4"/>
      <c r="CAI227" s="4"/>
      <c r="CAK227" s="4"/>
      <c r="CAM227" s="4"/>
      <c r="CAO227" s="4"/>
      <c r="CAQ227" s="4"/>
      <c r="CAS227" s="4"/>
      <c r="CAU227" s="4"/>
      <c r="CAW227" s="4"/>
      <c r="CAY227" s="4"/>
      <c r="CBA227" s="4"/>
      <c r="CBC227" s="4"/>
      <c r="CBE227" s="4"/>
      <c r="CBG227" s="4"/>
      <c r="CBI227" s="4"/>
      <c r="CBK227" s="4"/>
      <c r="CBM227" s="4"/>
      <c r="CBO227" s="4"/>
      <c r="CBQ227" s="4"/>
      <c r="CBS227" s="4"/>
      <c r="CBU227" s="4"/>
      <c r="CBW227" s="4"/>
      <c r="CBY227" s="4"/>
      <c r="CCA227" s="4"/>
      <c r="CCC227" s="4"/>
      <c r="CCE227" s="4"/>
      <c r="CCG227" s="4"/>
      <c r="CCI227" s="4"/>
      <c r="CCK227" s="4"/>
      <c r="CCM227" s="4"/>
      <c r="CCO227" s="4"/>
      <c r="CCQ227" s="4"/>
      <c r="CCS227" s="4"/>
      <c r="CCU227" s="4"/>
      <c r="CCW227" s="4"/>
      <c r="CCY227" s="4"/>
      <c r="CDA227" s="4"/>
      <c r="CDC227" s="4"/>
      <c r="CDE227" s="4"/>
      <c r="CDG227" s="4"/>
      <c r="CDI227" s="4"/>
      <c r="CDK227" s="4"/>
      <c r="CDM227" s="4"/>
      <c r="CDO227" s="4"/>
      <c r="CDQ227" s="4"/>
      <c r="CDS227" s="4"/>
      <c r="CDU227" s="4"/>
      <c r="CDW227" s="4"/>
      <c r="CDY227" s="4"/>
      <c r="CEA227" s="4"/>
      <c r="CEC227" s="4"/>
      <c r="CEE227" s="4"/>
      <c r="CEG227" s="4"/>
      <c r="CEI227" s="4"/>
      <c r="CEK227" s="4"/>
      <c r="CEM227" s="4"/>
      <c r="CEO227" s="4"/>
      <c r="CEQ227" s="4"/>
      <c r="CES227" s="4"/>
      <c r="CEU227" s="4"/>
      <c r="CEW227" s="4"/>
      <c r="CEY227" s="4"/>
      <c r="CFA227" s="4"/>
      <c r="CFC227" s="4"/>
      <c r="CFE227" s="4"/>
      <c r="CFG227" s="4"/>
      <c r="CFI227" s="4"/>
      <c r="CFK227" s="4"/>
      <c r="CFM227" s="4"/>
      <c r="CFO227" s="4"/>
      <c r="CFQ227" s="4"/>
      <c r="CFS227" s="4"/>
      <c r="CFU227" s="4"/>
      <c r="CFW227" s="4"/>
      <c r="CFY227" s="4"/>
      <c r="CGA227" s="4"/>
      <c r="CGC227" s="4"/>
      <c r="CGE227" s="4"/>
      <c r="CGG227" s="4"/>
      <c r="CGI227" s="4"/>
      <c r="CGK227" s="4"/>
      <c r="CGM227" s="4"/>
      <c r="CGO227" s="4"/>
      <c r="CGQ227" s="4"/>
      <c r="CGS227" s="4"/>
      <c r="CGU227" s="4"/>
      <c r="CGW227" s="4"/>
      <c r="CGY227" s="4"/>
      <c r="CHA227" s="4"/>
      <c r="CHC227" s="4"/>
      <c r="CHE227" s="4"/>
      <c r="CHG227" s="4"/>
      <c r="CHI227" s="4"/>
      <c r="CHK227" s="4"/>
      <c r="CHM227" s="4"/>
      <c r="CHO227" s="4"/>
      <c r="CHQ227" s="4"/>
      <c r="CHS227" s="4"/>
      <c r="CHU227" s="4"/>
      <c r="CHW227" s="4"/>
      <c r="CHY227" s="4"/>
      <c r="CIA227" s="4"/>
      <c r="CIC227" s="4"/>
      <c r="CIE227" s="4"/>
      <c r="CIG227" s="4"/>
      <c r="CII227" s="4"/>
      <c r="CIK227" s="4"/>
      <c r="CIM227" s="4"/>
      <c r="CIO227" s="4"/>
      <c r="CIQ227" s="4"/>
      <c r="CIS227" s="4"/>
      <c r="CIU227" s="4"/>
      <c r="CIW227" s="4"/>
      <c r="CIY227" s="4"/>
      <c r="CJA227" s="4"/>
      <c r="CJC227" s="4"/>
      <c r="CJE227" s="4"/>
      <c r="CJG227" s="4"/>
      <c r="CJI227" s="4"/>
      <c r="CJK227" s="4"/>
      <c r="CJM227" s="4"/>
      <c r="CJO227" s="4"/>
      <c r="CJQ227" s="4"/>
      <c r="CJS227" s="4"/>
      <c r="CJU227" s="4"/>
      <c r="CJW227" s="4"/>
      <c r="CJY227" s="4"/>
      <c r="CKA227" s="4"/>
      <c r="CKC227" s="4"/>
      <c r="CKE227" s="4"/>
      <c r="CKG227" s="4"/>
      <c r="CKI227" s="4"/>
      <c r="CKK227" s="4"/>
      <c r="CKM227" s="4"/>
      <c r="CKO227" s="4"/>
      <c r="CKQ227" s="4"/>
      <c r="CKS227" s="4"/>
      <c r="CKU227" s="4"/>
      <c r="CKW227" s="4"/>
      <c r="CKY227" s="4"/>
      <c r="CLA227" s="4"/>
      <c r="CLC227" s="4"/>
      <c r="CLE227" s="4"/>
      <c r="CLG227" s="4"/>
      <c r="CLI227" s="4"/>
      <c r="CLK227" s="4"/>
      <c r="CLM227" s="4"/>
      <c r="CLO227" s="4"/>
      <c r="CLQ227" s="4"/>
      <c r="CLS227" s="4"/>
      <c r="CLU227" s="4"/>
      <c r="CLW227" s="4"/>
      <c r="CLY227" s="4"/>
      <c r="CMA227" s="4"/>
      <c r="CMC227" s="4"/>
      <c r="CME227" s="4"/>
      <c r="CMG227" s="4"/>
      <c r="CMI227" s="4"/>
      <c r="CMK227" s="4"/>
      <c r="CMM227" s="4"/>
      <c r="CMO227" s="4"/>
      <c r="CMQ227" s="4"/>
      <c r="CMS227" s="4"/>
      <c r="CMU227" s="4"/>
      <c r="CMW227" s="4"/>
      <c r="CMY227" s="4"/>
      <c r="CNA227" s="4"/>
      <c r="CNC227" s="4"/>
      <c r="CNE227" s="4"/>
      <c r="CNG227" s="4"/>
      <c r="CNI227" s="4"/>
      <c r="CNK227" s="4"/>
      <c r="CNM227" s="4"/>
      <c r="CNO227" s="4"/>
      <c r="CNQ227" s="4"/>
      <c r="CNS227" s="4"/>
      <c r="CNU227" s="4"/>
      <c r="CNW227" s="4"/>
      <c r="CNY227" s="4"/>
      <c r="COA227" s="4"/>
      <c r="COC227" s="4"/>
      <c r="COE227" s="4"/>
      <c r="COG227" s="4"/>
      <c r="COI227" s="4"/>
      <c r="COK227" s="4"/>
      <c r="COM227" s="4"/>
      <c r="COO227" s="4"/>
      <c r="COQ227" s="4"/>
      <c r="COS227" s="4"/>
      <c r="COU227" s="4"/>
      <c r="COW227" s="4"/>
      <c r="COY227" s="4"/>
      <c r="CPA227" s="4"/>
      <c r="CPC227" s="4"/>
      <c r="CPE227" s="4"/>
      <c r="CPG227" s="4"/>
      <c r="CPI227" s="4"/>
      <c r="CPK227" s="4"/>
      <c r="CPM227" s="4"/>
      <c r="CPO227" s="4"/>
      <c r="CPQ227" s="4"/>
      <c r="CPS227" s="4"/>
      <c r="CPU227" s="4"/>
      <c r="CPW227" s="4"/>
      <c r="CPY227" s="4"/>
      <c r="CQA227" s="4"/>
      <c r="CQC227" s="4"/>
      <c r="CQE227" s="4"/>
      <c r="CQG227" s="4"/>
      <c r="CQI227" s="4"/>
      <c r="CQK227" s="4"/>
      <c r="CQM227" s="4"/>
      <c r="CQO227" s="4"/>
      <c r="CQQ227" s="4"/>
      <c r="CQS227" s="4"/>
      <c r="CQU227" s="4"/>
      <c r="CQW227" s="4"/>
      <c r="CQY227" s="4"/>
      <c r="CRA227" s="4"/>
      <c r="CRC227" s="4"/>
      <c r="CRE227" s="4"/>
      <c r="CRG227" s="4"/>
      <c r="CRI227" s="4"/>
      <c r="CRK227" s="4"/>
      <c r="CRM227" s="4"/>
      <c r="CRO227" s="4"/>
      <c r="CRQ227" s="4"/>
      <c r="CRS227" s="4"/>
      <c r="CRU227" s="4"/>
      <c r="CRW227" s="4"/>
      <c r="CRY227" s="4"/>
      <c r="CSA227" s="4"/>
      <c r="CSC227" s="4"/>
      <c r="CSE227" s="4"/>
      <c r="CSG227" s="4"/>
      <c r="CSI227" s="4"/>
      <c r="CSK227" s="4"/>
      <c r="CSM227" s="4"/>
      <c r="CSO227" s="4"/>
      <c r="CSQ227" s="4"/>
      <c r="CSS227" s="4"/>
      <c r="CSU227" s="4"/>
      <c r="CSW227" s="4"/>
      <c r="CSY227" s="4"/>
      <c r="CTA227" s="4"/>
      <c r="CTC227" s="4"/>
      <c r="CTE227" s="4"/>
      <c r="CTG227" s="4"/>
      <c r="CTI227" s="4"/>
      <c r="CTK227" s="4"/>
      <c r="CTM227" s="4"/>
      <c r="CTO227" s="4"/>
      <c r="CTQ227" s="4"/>
      <c r="CTS227" s="4"/>
      <c r="CTU227" s="4"/>
      <c r="CTW227" s="4"/>
      <c r="CTY227" s="4"/>
      <c r="CUA227" s="4"/>
      <c r="CUC227" s="4"/>
      <c r="CUE227" s="4"/>
      <c r="CUG227" s="4"/>
      <c r="CUI227" s="4"/>
      <c r="CUK227" s="4"/>
      <c r="CUM227" s="4"/>
      <c r="CUO227" s="4"/>
      <c r="CUQ227" s="4"/>
      <c r="CUS227" s="4"/>
      <c r="CUU227" s="4"/>
      <c r="CUW227" s="4"/>
      <c r="CUY227" s="4"/>
      <c r="CVA227" s="4"/>
      <c r="CVC227" s="4"/>
      <c r="CVE227" s="4"/>
      <c r="CVG227" s="4"/>
      <c r="CVI227" s="4"/>
      <c r="CVK227" s="4"/>
      <c r="CVM227" s="4"/>
      <c r="CVO227" s="4"/>
      <c r="CVQ227" s="4"/>
      <c r="CVS227" s="4"/>
      <c r="CVU227" s="4"/>
      <c r="CVW227" s="4"/>
      <c r="CVY227" s="4"/>
      <c r="CWA227" s="4"/>
      <c r="CWC227" s="4"/>
      <c r="CWE227" s="4"/>
      <c r="CWG227" s="4"/>
      <c r="CWI227" s="4"/>
      <c r="CWK227" s="4"/>
      <c r="CWM227" s="4"/>
      <c r="CWO227" s="4"/>
      <c r="CWQ227" s="4"/>
      <c r="CWS227" s="4"/>
      <c r="CWU227" s="4"/>
      <c r="CWW227" s="4"/>
      <c r="CWY227" s="4"/>
      <c r="CXA227" s="4"/>
      <c r="CXC227" s="4"/>
      <c r="CXE227" s="4"/>
      <c r="CXG227" s="4"/>
      <c r="CXI227" s="4"/>
      <c r="CXK227" s="4"/>
      <c r="CXM227" s="4"/>
      <c r="CXO227" s="4"/>
      <c r="CXQ227" s="4"/>
      <c r="CXS227" s="4"/>
      <c r="CXU227" s="4"/>
      <c r="CXW227" s="4"/>
      <c r="CXY227" s="4"/>
      <c r="CYA227" s="4"/>
      <c r="CYC227" s="4"/>
      <c r="CYE227" s="4"/>
      <c r="CYG227" s="4"/>
      <c r="CYI227" s="4"/>
      <c r="CYK227" s="4"/>
      <c r="CYM227" s="4"/>
      <c r="CYO227" s="4"/>
      <c r="CYQ227" s="4"/>
      <c r="CYS227" s="4"/>
      <c r="CYU227" s="4"/>
      <c r="CYW227" s="4"/>
      <c r="CYY227" s="4"/>
      <c r="CZA227" s="4"/>
      <c r="CZC227" s="4"/>
      <c r="CZE227" s="4"/>
      <c r="CZG227" s="4"/>
      <c r="CZI227" s="4"/>
      <c r="CZK227" s="4"/>
      <c r="CZM227" s="4"/>
      <c r="CZO227" s="4"/>
      <c r="CZQ227" s="4"/>
      <c r="CZS227" s="4"/>
      <c r="CZU227" s="4"/>
      <c r="CZW227" s="4"/>
      <c r="CZY227" s="4"/>
      <c r="DAA227" s="4"/>
      <c r="DAC227" s="4"/>
      <c r="DAE227" s="4"/>
      <c r="DAG227" s="4"/>
      <c r="DAI227" s="4"/>
      <c r="DAK227" s="4"/>
      <c r="DAM227" s="4"/>
      <c r="DAO227" s="4"/>
      <c r="DAQ227" s="4"/>
      <c r="DAS227" s="4"/>
      <c r="DAU227" s="4"/>
      <c r="DAW227" s="4"/>
      <c r="DAY227" s="4"/>
      <c r="DBA227" s="4"/>
      <c r="DBC227" s="4"/>
      <c r="DBE227" s="4"/>
      <c r="DBG227" s="4"/>
      <c r="DBI227" s="4"/>
      <c r="DBK227" s="4"/>
      <c r="DBM227" s="4"/>
      <c r="DBO227" s="4"/>
      <c r="DBQ227" s="4"/>
      <c r="DBS227" s="4"/>
      <c r="DBU227" s="4"/>
      <c r="DBW227" s="4"/>
      <c r="DBY227" s="4"/>
      <c r="DCA227" s="4"/>
      <c r="DCC227" s="4"/>
      <c r="DCE227" s="4"/>
      <c r="DCG227" s="4"/>
      <c r="DCI227" s="4"/>
      <c r="DCK227" s="4"/>
      <c r="DCM227" s="4"/>
      <c r="DCO227" s="4"/>
      <c r="DCQ227" s="4"/>
      <c r="DCS227" s="4"/>
      <c r="DCU227" s="4"/>
      <c r="DCW227" s="4"/>
      <c r="DCY227" s="4"/>
      <c r="DDA227" s="4"/>
      <c r="DDC227" s="4"/>
      <c r="DDE227" s="4"/>
      <c r="DDG227" s="4"/>
      <c r="DDI227" s="4"/>
      <c r="DDK227" s="4"/>
      <c r="DDM227" s="4"/>
      <c r="DDO227" s="4"/>
      <c r="DDQ227" s="4"/>
      <c r="DDS227" s="4"/>
      <c r="DDU227" s="4"/>
      <c r="DDW227" s="4"/>
      <c r="DDY227" s="4"/>
      <c r="DEA227" s="4"/>
      <c r="DEC227" s="4"/>
      <c r="DEE227" s="4"/>
      <c r="DEG227" s="4"/>
      <c r="DEI227" s="4"/>
      <c r="DEK227" s="4"/>
      <c r="DEM227" s="4"/>
      <c r="DEO227" s="4"/>
      <c r="DEQ227" s="4"/>
      <c r="DES227" s="4"/>
      <c r="DEU227" s="4"/>
      <c r="DEW227" s="4"/>
      <c r="DEY227" s="4"/>
      <c r="DFA227" s="4"/>
      <c r="DFC227" s="4"/>
      <c r="DFE227" s="4"/>
      <c r="DFG227" s="4"/>
      <c r="DFI227" s="4"/>
      <c r="DFK227" s="4"/>
      <c r="DFM227" s="4"/>
      <c r="DFO227" s="4"/>
      <c r="DFQ227" s="4"/>
      <c r="DFS227" s="4"/>
      <c r="DFU227" s="4"/>
      <c r="DFW227" s="4"/>
      <c r="DFY227" s="4"/>
      <c r="DGA227" s="4"/>
      <c r="DGC227" s="4"/>
      <c r="DGE227" s="4"/>
      <c r="DGG227" s="4"/>
      <c r="DGI227" s="4"/>
      <c r="DGK227" s="4"/>
      <c r="DGM227" s="4"/>
      <c r="DGO227" s="4"/>
      <c r="DGQ227" s="4"/>
      <c r="DGS227" s="4"/>
      <c r="DGU227" s="4"/>
      <c r="DGW227" s="4"/>
      <c r="DGY227" s="4"/>
      <c r="DHA227" s="4"/>
      <c r="DHC227" s="4"/>
      <c r="DHE227" s="4"/>
      <c r="DHG227" s="4"/>
      <c r="DHI227" s="4"/>
      <c r="DHK227" s="4"/>
      <c r="DHM227" s="4"/>
      <c r="DHO227" s="4"/>
      <c r="DHQ227" s="4"/>
      <c r="DHS227" s="4"/>
      <c r="DHU227" s="4"/>
      <c r="DHW227" s="4"/>
      <c r="DHY227" s="4"/>
      <c r="DIA227" s="4"/>
      <c r="DIC227" s="4"/>
      <c r="DIE227" s="4"/>
      <c r="DIG227" s="4"/>
      <c r="DII227" s="4"/>
      <c r="DIK227" s="4"/>
      <c r="DIM227" s="4"/>
      <c r="DIO227" s="4"/>
      <c r="DIQ227" s="4"/>
      <c r="DIS227" s="4"/>
      <c r="DIU227" s="4"/>
      <c r="DIW227" s="4"/>
      <c r="DIY227" s="4"/>
      <c r="DJA227" s="4"/>
      <c r="DJC227" s="4"/>
      <c r="DJE227" s="4"/>
      <c r="DJG227" s="4"/>
      <c r="DJI227" s="4"/>
      <c r="DJK227" s="4"/>
      <c r="DJM227" s="4"/>
      <c r="DJO227" s="4"/>
      <c r="DJQ227" s="4"/>
      <c r="DJS227" s="4"/>
      <c r="DJU227" s="4"/>
      <c r="DJW227" s="4"/>
      <c r="DJY227" s="4"/>
      <c r="DKA227" s="4"/>
      <c r="DKC227" s="4"/>
      <c r="DKE227" s="4"/>
      <c r="DKG227" s="4"/>
      <c r="DKI227" s="4"/>
      <c r="DKK227" s="4"/>
      <c r="DKM227" s="4"/>
      <c r="DKO227" s="4"/>
      <c r="DKQ227" s="4"/>
      <c r="DKS227" s="4"/>
      <c r="DKU227" s="4"/>
      <c r="DKW227" s="4"/>
      <c r="DKY227" s="4"/>
      <c r="DLA227" s="4"/>
      <c r="DLC227" s="4"/>
      <c r="DLE227" s="4"/>
      <c r="DLG227" s="4"/>
      <c r="DLI227" s="4"/>
      <c r="DLK227" s="4"/>
      <c r="DLM227" s="4"/>
      <c r="DLO227" s="4"/>
      <c r="DLQ227" s="4"/>
      <c r="DLS227" s="4"/>
      <c r="DLU227" s="4"/>
      <c r="DLW227" s="4"/>
      <c r="DLY227" s="4"/>
      <c r="DMA227" s="4"/>
      <c r="DMC227" s="4"/>
      <c r="DME227" s="4"/>
      <c r="DMG227" s="4"/>
      <c r="DMI227" s="4"/>
      <c r="DMK227" s="4"/>
      <c r="DMM227" s="4"/>
      <c r="DMO227" s="4"/>
      <c r="DMQ227" s="4"/>
      <c r="DMS227" s="4"/>
      <c r="DMU227" s="4"/>
      <c r="DMW227" s="4"/>
      <c r="DMY227" s="4"/>
      <c r="DNA227" s="4"/>
      <c r="DNC227" s="4"/>
      <c r="DNE227" s="4"/>
      <c r="DNG227" s="4"/>
      <c r="DNI227" s="4"/>
      <c r="DNK227" s="4"/>
      <c r="DNM227" s="4"/>
      <c r="DNO227" s="4"/>
      <c r="DNQ227" s="4"/>
      <c r="DNS227" s="4"/>
      <c r="DNU227" s="4"/>
      <c r="DNW227" s="4"/>
      <c r="DNY227" s="4"/>
      <c r="DOA227" s="4"/>
      <c r="DOC227" s="4"/>
      <c r="DOE227" s="4"/>
      <c r="DOG227" s="4"/>
      <c r="DOI227" s="4"/>
      <c r="DOK227" s="4"/>
      <c r="DOM227" s="4"/>
      <c r="DOO227" s="4"/>
      <c r="DOQ227" s="4"/>
      <c r="DOS227" s="4"/>
      <c r="DOU227" s="4"/>
      <c r="DOW227" s="4"/>
      <c r="DOY227" s="4"/>
      <c r="DPA227" s="4"/>
      <c r="DPC227" s="4"/>
      <c r="DPE227" s="4"/>
      <c r="DPG227" s="4"/>
      <c r="DPI227" s="4"/>
      <c r="DPK227" s="4"/>
      <c r="DPM227" s="4"/>
      <c r="DPO227" s="4"/>
      <c r="DPQ227" s="4"/>
      <c r="DPS227" s="4"/>
      <c r="DPU227" s="4"/>
      <c r="DPW227" s="4"/>
      <c r="DPY227" s="4"/>
      <c r="DQA227" s="4"/>
      <c r="DQC227" s="4"/>
      <c r="DQE227" s="4"/>
      <c r="DQG227" s="4"/>
      <c r="DQI227" s="4"/>
      <c r="DQK227" s="4"/>
      <c r="DQM227" s="4"/>
      <c r="DQO227" s="4"/>
      <c r="DQQ227" s="4"/>
      <c r="DQS227" s="4"/>
      <c r="DQU227" s="4"/>
      <c r="DQW227" s="4"/>
      <c r="DQY227" s="4"/>
      <c r="DRA227" s="4"/>
      <c r="DRC227" s="4"/>
      <c r="DRE227" s="4"/>
      <c r="DRG227" s="4"/>
      <c r="DRI227" s="4"/>
      <c r="DRK227" s="4"/>
      <c r="DRM227" s="4"/>
      <c r="DRO227" s="4"/>
      <c r="DRQ227" s="4"/>
      <c r="DRS227" s="4"/>
      <c r="DRU227" s="4"/>
      <c r="DRW227" s="4"/>
      <c r="DRY227" s="4"/>
      <c r="DSA227" s="4"/>
      <c r="DSC227" s="4"/>
      <c r="DSE227" s="4"/>
      <c r="DSG227" s="4"/>
      <c r="DSI227" s="4"/>
      <c r="DSK227" s="4"/>
      <c r="DSM227" s="4"/>
      <c r="DSO227" s="4"/>
      <c r="DSQ227" s="4"/>
      <c r="DSS227" s="4"/>
      <c r="DSU227" s="4"/>
      <c r="DSW227" s="4"/>
      <c r="DSY227" s="4"/>
      <c r="DTA227" s="4"/>
      <c r="DTC227" s="4"/>
      <c r="DTE227" s="4"/>
      <c r="DTG227" s="4"/>
      <c r="DTI227" s="4"/>
      <c r="DTK227" s="4"/>
      <c r="DTM227" s="4"/>
      <c r="DTO227" s="4"/>
      <c r="DTQ227" s="4"/>
      <c r="DTS227" s="4"/>
      <c r="DTU227" s="4"/>
      <c r="DTW227" s="4"/>
      <c r="DTY227" s="4"/>
      <c r="DUA227" s="4"/>
      <c r="DUC227" s="4"/>
      <c r="DUE227" s="4"/>
      <c r="DUG227" s="4"/>
      <c r="DUI227" s="4"/>
      <c r="DUK227" s="4"/>
      <c r="DUM227" s="4"/>
      <c r="DUO227" s="4"/>
      <c r="DUQ227" s="4"/>
      <c r="DUS227" s="4"/>
      <c r="DUU227" s="4"/>
      <c r="DUW227" s="4"/>
      <c r="DUY227" s="4"/>
      <c r="DVA227" s="4"/>
      <c r="DVC227" s="4"/>
      <c r="DVE227" s="4"/>
      <c r="DVG227" s="4"/>
      <c r="DVI227" s="4"/>
      <c r="DVK227" s="4"/>
      <c r="DVM227" s="4"/>
      <c r="DVO227" s="4"/>
      <c r="DVQ227" s="4"/>
      <c r="DVS227" s="4"/>
      <c r="DVU227" s="4"/>
      <c r="DVW227" s="4"/>
      <c r="DVY227" s="4"/>
      <c r="DWA227" s="4"/>
      <c r="DWC227" s="4"/>
      <c r="DWE227" s="4"/>
      <c r="DWG227" s="4"/>
      <c r="DWI227" s="4"/>
      <c r="DWK227" s="4"/>
      <c r="DWM227" s="4"/>
      <c r="DWO227" s="4"/>
      <c r="DWQ227" s="4"/>
      <c r="DWS227" s="4"/>
      <c r="DWU227" s="4"/>
      <c r="DWW227" s="4"/>
      <c r="DWY227" s="4"/>
      <c r="DXA227" s="4"/>
      <c r="DXC227" s="4"/>
      <c r="DXE227" s="4"/>
      <c r="DXG227" s="4"/>
      <c r="DXI227" s="4"/>
      <c r="DXK227" s="4"/>
      <c r="DXM227" s="4"/>
      <c r="DXO227" s="4"/>
      <c r="DXQ227" s="4"/>
      <c r="DXS227" s="4"/>
      <c r="DXU227" s="4"/>
      <c r="DXW227" s="4"/>
      <c r="DXY227" s="4"/>
      <c r="DYA227" s="4"/>
      <c r="DYC227" s="4"/>
      <c r="DYE227" s="4"/>
      <c r="DYG227" s="4"/>
      <c r="DYI227" s="4"/>
      <c r="DYK227" s="4"/>
      <c r="DYM227" s="4"/>
      <c r="DYO227" s="4"/>
      <c r="DYQ227" s="4"/>
      <c r="DYS227" s="4"/>
      <c r="DYU227" s="4"/>
      <c r="DYW227" s="4"/>
      <c r="DYY227" s="4"/>
      <c r="DZA227" s="4"/>
      <c r="DZC227" s="4"/>
      <c r="DZE227" s="4"/>
      <c r="DZG227" s="4"/>
      <c r="DZI227" s="4"/>
      <c r="DZK227" s="4"/>
      <c r="DZM227" s="4"/>
      <c r="DZO227" s="4"/>
      <c r="DZQ227" s="4"/>
      <c r="DZS227" s="4"/>
      <c r="DZU227" s="4"/>
      <c r="DZW227" s="4"/>
      <c r="DZY227" s="4"/>
      <c r="EAA227" s="4"/>
      <c r="EAC227" s="4"/>
      <c r="EAE227" s="4"/>
      <c r="EAG227" s="4"/>
      <c r="EAI227" s="4"/>
      <c r="EAK227" s="4"/>
      <c r="EAM227" s="4"/>
      <c r="EAO227" s="4"/>
      <c r="EAQ227" s="4"/>
      <c r="EAS227" s="4"/>
      <c r="EAU227" s="4"/>
      <c r="EAW227" s="4"/>
      <c r="EAY227" s="4"/>
      <c r="EBA227" s="4"/>
      <c r="EBC227" s="4"/>
      <c r="EBE227" s="4"/>
      <c r="EBG227" s="4"/>
      <c r="EBI227" s="4"/>
      <c r="EBK227" s="4"/>
      <c r="EBM227" s="4"/>
      <c r="EBO227" s="4"/>
      <c r="EBQ227" s="4"/>
      <c r="EBS227" s="4"/>
      <c r="EBU227" s="4"/>
      <c r="EBW227" s="4"/>
      <c r="EBY227" s="4"/>
      <c r="ECA227" s="4"/>
      <c r="ECC227" s="4"/>
      <c r="ECE227" s="4"/>
      <c r="ECG227" s="4"/>
      <c r="ECI227" s="4"/>
      <c r="ECK227" s="4"/>
      <c r="ECM227" s="4"/>
      <c r="ECO227" s="4"/>
      <c r="ECQ227" s="4"/>
      <c r="ECS227" s="4"/>
      <c r="ECU227" s="4"/>
      <c r="ECW227" s="4"/>
      <c r="ECY227" s="4"/>
      <c r="EDA227" s="4"/>
      <c r="EDC227" s="4"/>
      <c r="EDE227" s="4"/>
      <c r="EDG227" s="4"/>
      <c r="EDI227" s="4"/>
      <c r="EDK227" s="4"/>
      <c r="EDM227" s="4"/>
      <c r="EDO227" s="4"/>
      <c r="EDQ227" s="4"/>
      <c r="EDS227" s="4"/>
      <c r="EDU227" s="4"/>
      <c r="EDW227" s="4"/>
      <c r="EDY227" s="4"/>
      <c r="EEA227" s="4"/>
      <c r="EEC227" s="4"/>
      <c r="EEE227" s="4"/>
      <c r="EEG227" s="4"/>
      <c r="EEI227" s="4"/>
      <c r="EEK227" s="4"/>
      <c r="EEM227" s="4"/>
      <c r="EEO227" s="4"/>
      <c r="EEQ227" s="4"/>
      <c r="EES227" s="4"/>
      <c r="EEU227" s="4"/>
      <c r="EEW227" s="4"/>
      <c r="EEY227" s="4"/>
      <c r="EFA227" s="4"/>
      <c r="EFC227" s="4"/>
      <c r="EFE227" s="4"/>
      <c r="EFG227" s="4"/>
      <c r="EFI227" s="4"/>
      <c r="EFK227" s="4"/>
      <c r="EFM227" s="4"/>
      <c r="EFO227" s="4"/>
      <c r="EFQ227" s="4"/>
      <c r="EFS227" s="4"/>
      <c r="EFU227" s="4"/>
      <c r="EFW227" s="4"/>
      <c r="EFY227" s="4"/>
      <c r="EGA227" s="4"/>
      <c r="EGC227" s="4"/>
      <c r="EGE227" s="4"/>
      <c r="EGG227" s="4"/>
      <c r="EGI227" s="4"/>
      <c r="EGK227" s="4"/>
      <c r="EGM227" s="4"/>
      <c r="EGO227" s="4"/>
      <c r="EGQ227" s="4"/>
      <c r="EGS227" s="4"/>
      <c r="EGU227" s="4"/>
      <c r="EGW227" s="4"/>
      <c r="EGY227" s="4"/>
      <c r="EHA227" s="4"/>
      <c r="EHC227" s="4"/>
      <c r="EHE227" s="4"/>
      <c r="EHG227" s="4"/>
      <c r="EHI227" s="4"/>
      <c r="EHK227" s="4"/>
      <c r="EHM227" s="4"/>
      <c r="EHO227" s="4"/>
      <c r="EHQ227" s="4"/>
      <c r="EHS227" s="4"/>
      <c r="EHU227" s="4"/>
      <c r="EHW227" s="4"/>
      <c r="EHY227" s="4"/>
      <c r="EIA227" s="4"/>
      <c r="EIC227" s="4"/>
      <c r="EIE227" s="4"/>
      <c r="EIG227" s="4"/>
      <c r="EII227" s="4"/>
      <c r="EIK227" s="4"/>
      <c r="EIM227" s="4"/>
      <c r="EIO227" s="4"/>
      <c r="EIQ227" s="4"/>
      <c r="EIS227" s="4"/>
      <c r="EIU227" s="4"/>
      <c r="EIW227" s="4"/>
      <c r="EIY227" s="4"/>
      <c r="EJA227" s="4"/>
      <c r="EJC227" s="4"/>
      <c r="EJE227" s="4"/>
      <c r="EJG227" s="4"/>
      <c r="EJI227" s="4"/>
      <c r="EJK227" s="4"/>
      <c r="EJM227" s="4"/>
      <c r="EJO227" s="4"/>
      <c r="EJQ227" s="4"/>
      <c r="EJS227" s="4"/>
      <c r="EJU227" s="4"/>
      <c r="EJW227" s="4"/>
      <c r="EJY227" s="4"/>
      <c r="EKA227" s="4"/>
      <c r="EKC227" s="4"/>
      <c r="EKE227" s="4"/>
      <c r="EKG227" s="4"/>
      <c r="EKI227" s="4"/>
      <c r="EKK227" s="4"/>
      <c r="EKM227" s="4"/>
      <c r="EKO227" s="4"/>
      <c r="EKQ227" s="4"/>
      <c r="EKS227" s="4"/>
      <c r="EKU227" s="4"/>
      <c r="EKW227" s="4"/>
      <c r="EKY227" s="4"/>
      <c r="ELA227" s="4"/>
      <c r="ELC227" s="4"/>
      <c r="ELE227" s="4"/>
      <c r="ELG227" s="4"/>
      <c r="ELI227" s="4"/>
      <c r="ELK227" s="4"/>
      <c r="ELM227" s="4"/>
      <c r="ELO227" s="4"/>
      <c r="ELQ227" s="4"/>
      <c r="ELS227" s="4"/>
      <c r="ELU227" s="4"/>
      <c r="ELW227" s="4"/>
      <c r="ELY227" s="4"/>
      <c r="EMA227" s="4"/>
      <c r="EMC227" s="4"/>
      <c r="EME227" s="4"/>
      <c r="EMG227" s="4"/>
      <c r="EMI227" s="4"/>
      <c r="EMK227" s="4"/>
      <c r="EMM227" s="4"/>
      <c r="EMO227" s="4"/>
      <c r="EMQ227" s="4"/>
      <c r="EMS227" s="4"/>
      <c r="EMU227" s="4"/>
      <c r="EMW227" s="4"/>
      <c r="EMY227" s="4"/>
      <c r="ENA227" s="4"/>
      <c r="ENC227" s="4"/>
      <c r="ENE227" s="4"/>
      <c r="ENG227" s="4"/>
      <c r="ENI227" s="4"/>
      <c r="ENK227" s="4"/>
      <c r="ENM227" s="4"/>
      <c r="ENO227" s="4"/>
      <c r="ENQ227" s="4"/>
      <c r="ENS227" s="4"/>
      <c r="ENU227" s="4"/>
      <c r="ENW227" s="4"/>
      <c r="ENY227" s="4"/>
      <c r="EOA227" s="4"/>
      <c r="EOC227" s="4"/>
      <c r="EOE227" s="4"/>
      <c r="EOG227" s="4"/>
      <c r="EOI227" s="4"/>
      <c r="EOK227" s="4"/>
      <c r="EOM227" s="4"/>
      <c r="EOO227" s="4"/>
      <c r="EOQ227" s="4"/>
      <c r="EOS227" s="4"/>
      <c r="EOU227" s="4"/>
      <c r="EOW227" s="4"/>
      <c r="EOY227" s="4"/>
      <c r="EPA227" s="4"/>
      <c r="EPC227" s="4"/>
      <c r="EPE227" s="4"/>
      <c r="EPG227" s="4"/>
      <c r="EPI227" s="4"/>
      <c r="EPK227" s="4"/>
      <c r="EPM227" s="4"/>
      <c r="EPO227" s="4"/>
      <c r="EPQ227" s="4"/>
      <c r="EPS227" s="4"/>
      <c r="EPU227" s="4"/>
      <c r="EPW227" s="4"/>
      <c r="EPY227" s="4"/>
      <c r="EQA227" s="4"/>
      <c r="EQC227" s="4"/>
      <c r="EQE227" s="4"/>
      <c r="EQG227" s="4"/>
      <c r="EQI227" s="4"/>
      <c r="EQK227" s="4"/>
      <c r="EQM227" s="4"/>
      <c r="EQO227" s="4"/>
      <c r="EQQ227" s="4"/>
      <c r="EQS227" s="4"/>
      <c r="EQU227" s="4"/>
      <c r="EQW227" s="4"/>
      <c r="EQY227" s="4"/>
      <c r="ERA227" s="4"/>
      <c r="ERC227" s="4"/>
      <c r="ERE227" s="4"/>
      <c r="ERG227" s="4"/>
      <c r="ERI227" s="4"/>
      <c r="ERK227" s="4"/>
      <c r="ERM227" s="4"/>
      <c r="ERO227" s="4"/>
      <c r="ERQ227" s="4"/>
      <c r="ERS227" s="4"/>
      <c r="ERU227" s="4"/>
      <c r="ERW227" s="4"/>
      <c r="ERY227" s="4"/>
      <c r="ESA227" s="4"/>
      <c r="ESC227" s="4"/>
      <c r="ESE227" s="4"/>
      <c r="ESG227" s="4"/>
      <c r="ESI227" s="4"/>
      <c r="ESK227" s="4"/>
      <c r="ESM227" s="4"/>
      <c r="ESO227" s="4"/>
      <c r="ESQ227" s="4"/>
      <c r="ESS227" s="4"/>
      <c r="ESU227" s="4"/>
      <c r="ESW227" s="4"/>
      <c r="ESY227" s="4"/>
      <c r="ETA227" s="4"/>
      <c r="ETC227" s="4"/>
      <c r="ETE227" s="4"/>
      <c r="ETG227" s="4"/>
      <c r="ETI227" s="4"/>
      <c r="ETK227" s="4"/>
      <c r="ETM227" s="4"/>
      <c r="ETO227" s="4"/>
      <c r="ETQ227" s="4"/>
      <c r="ETS227" s="4"/>
      <c r="ETU227" s="4"/>
      <c r="ETW227" s="4"/>
      <c r="ETY227" s="4"/>
      <c r="EUA227" s="4"/>
      <c r="EUC227" s="4"/>
      <c r="EUE227" s="4"/>
      <c r="EUG227" s="4"/>
      <c r="EUI227" s="4"/>
      <c r="EUK227" s="4"/>
      <c r="EUM227" s="4"/>
      <c r="EUO227" s="4"/>
      <c r="EUQ227" s="4"/>
      <c r="EUS227" s="4"/>
      <c r="EUU227" s="4"/>
      <c r="EUW227" s="4"/>
      <c r="EUY227" s="4"/>
      <c r="EVA227" s="4"/>
      <c r="EVC227" s="4"/>
      <c r="EVE227" s="4"/>
      <c r="EVG227" s="4"/>
      <c r="EVI227" s="4"/>
      <c r="EVK227" s="4"/>
      <c r="EVM227" s="4"/>
      <c r="EVO227" s="4"/>
      <c r="EVQ227" s="4"/>
      <c r="EVS227" s="4"/>
      <c r="EVU227" s="4"/>
      <c r="EVW227" s="4"/>
      <c r="EVY227" s="4"/>
      <c r="EWA227" s="4"/>
      <c r="EWC227" s="4"/>
      <c r="EWE227" s="4"/>
      <c r="EWG227" s="4"/>
      <c r="EWI227" s="4"/>
      <c r="EWK227" s="4"/>
      <c r="EWM227" s="4"/>
      <c r="EWO227" s="4"/>
      <c r="EWQ227" s="4"/>
      <c r="EWS227" s="4"/>
      <c r="EWU227" s="4"/>
      <c r="EWW227" s="4"/>
      <c r="EWY227" s="4"/>
      <c r="EXA227" s="4"/>
      <c r="EXC227" s="4"/>
      <c r="EXE227" s="4"/>
      <c r="EXG227" s="4"/>
      <c r="EXI227" s="4"/>
      <c r="EXK227" s="4"/>
      <c r="EXM227" s="4"/>
      <c r="EXO227" s="4"/>
      <c r="EXQ227" s="4"/>
      <c r="EXS227" s="4"/>
      <c r="EXU227" s="4"/>
      <c r="EXW227" s="4"/>
      <c r="EXY227" s="4"/>
      <c r="EYA227" s="4"/>
      <c r="EYC227" s="4"/>
      <c r="EYE227" s="4"/>
      <c r="EYG227" s="4"/>
      <c r="EYI227" s="4"/>
      <c r="EYK227" s="4"/>
      <c r="EYM227" s="4"/>
      <c r="EYO227" s="4"/>
      <c r="EYQ227" s="4"/>
      <c r="EYS227" s="4"/>
      <c r="EYU227" s="4"/>
      <c r="EYW227" s="4"/>
      <c r="EYY227" s="4"/>
      <c r="EZA227" s="4"/>
      <c r="EZC227" s="4"/>
      <c r="EZE227" s="4"/>
      <c r="EZG227" s="4"/>
      <c r="EZI227" s="4"/>
      <c r="EZK227" s="4"/>
      <c r="EZM227" s="4"/>
      <c r="EZO227" s="4"/>
      <c r="EZQ227" s="4"/>
      <c r="EZS227" s="4"/>
      <c r="EZU227" s="4"/>
      <c r="EZW227" s="4"/>
      <c r="EZY227" s="4"/>
      <c r="FAA227" s="4"/>
      <c r="FAC227" s="4"/>
      <c r="FAE227" s="4"/>
      <c r="FAG227" s="4"/>
      <c r="FAI227" s="4"/>
      <c r="FAK227" s="4"/>
      <c r="FAM227" s="4"/>
      <c r="FAO227" s="4"/>
      <c r="FAQ227" s="4"/>
      <c r="FAS227" s="4"/>
      <c r="FAU227" s="4"/>
      <c r="FAW227" s="4"/>
      <c r="FAY227" s="4"/>
      <c r="FBA227" s="4"/>
      <c r="FBC227" s="4"/>
      <c r="FBE227" s="4"/>
      <c r="FBG227" s="4"/>
      <c r="FBI227" s="4"/>
      <c r="FBK227" s="4"/>
      <c r="FBM227" s="4"/>
      <c r="FBO227" s="4"/>
      <c r="FBQ227" s="4"/>
      <c r="FBS227" s="4"/>
      <c r="FBU227" s="4"/>
      <c r="FBW227" s="4"/>
      <c r="FBY227" s="4"/>
      <c r="FCA227" s="4"/>
      <c r="FCC227" s="4"/>
      <c r="FCE227" s="4"/>
      <c r="FCG227" s="4"/>
      <c r="FCI227" s="4"/>
      <c r="FCK227" s="4"/>
      <c r="FCM227" s="4"/>
      <c r="FCO227" s="4"/>
      <c r="FCQ227" s="4"/>
      <c r="FCS227" s="4"/>
      <c r="FCU227" s="4"/>
      <c r="FCW227" s="4"/>
      <c r="FCY227" s="4"/>
      <c r="FDA227" s="4"/>
      <c r="FDC227" s="4"/>
      <c r="FDE227" s="4"/>
      <c r="FDG227" s="4"/>
      <c r="FDI227" s="4"/>
      <c r="FDK227" s="4"/>
      <c r="FDM227" s="4"/>
      <c r="FDO227" s="4"/>
      <c r="FDQ227" s="4"/>
      <c r="FDS227" s="4"/>
      <c r="FDU227" s="4"/>
      <c r="FDW227" s="4"/>
      <c r="FDY227" s="4"/>
      <c r="FEA227" s="4"/>
      <c r="FEC227" s="4"/>
      <c r="FEE227" s="4"/>
      <c r="FEG227" s="4"/>
      <c r="FEI227" s="4"/>
      <c r="FEK227" s="4"/>
      <c r="FEM227" s="4"/>
      <c r="FEO227" s="4"/>
      <c r="FEQ227" s="4"/>
      <c r="FES227" s="4"/>
      <c r="FEU227" s="4"/>
      <c r="FEW227" s="4"/>
      <c r="FEY227" s="4"/>
      <c r="FFA227" s="4"/>
      <c r="FFC227" s="4"/>
      <c r="FFE227" s="4"/>
      <c r="FFG227" s="4"/>
      <c r="FFI227" s="4"/>
      <c r="FFK227" s="4"/>
      <c r="FFM227" s="4"/>
      <c r="FFO227" s="4"/>
      <c r="FFQ227" s="4"/>
      <c r="FFS227" s="4"/>
      <c r="FFU227" s="4"/>
      <c r="FFW227" s="4"/>
      <c r="FFY227" s="4"/>
      <c r="FGA227" s="4"/>
      <c r="FGC227" s="4"/>
      <c r="FGE227" s="4"/>
      <c r="FGG227" s="4"/>
      <c r="FGI227" s="4"/>
      <c r="FGK227" s="4"/>
      <c r="FGM227" s="4"/>
      <c r="FGO227" s="4"/>
      <c r="FGQ227" s="4"/>
      <c r="FGS227" s="4"/>
      <c r="FGU227" s="4"/>
      <c r="FGW227" s="4"/>
      <c r="FGY227" s="4"/>
      <c r="FHA227" s="4"/>
      <c r="FHC227" s="4"/>
      <c r="FHE227" s="4"/>
      <c r="FHG227" s="4"/>
      <c r="FHI227" s="4"/>
      <c r="FHK227" s="4"/>
      <c r="FHM227" s="4"/>
      <c r="FHO227" s="4"/>
      <c r="FHQ227" s="4"/>
      <c r="FHS227" s="4"/>
      <c r="FHU227" s="4"/>
      <c r="FHW227" s="4"/>
      <c r="FHY227" s="4"/>
      <c r="FIA227" s="4"/>
      <c r="FIC227" s="4"/>
      <c r="FIE227" s="4"/>
      <c r="FIG227" s="4"/>
      <c r="FII227" s="4"/>
      <c r="FIK227" s="4"/>
      <c r="FIM227" s="4"/>
      <c r="FIO227" s="4"/>
      <c r="FIQ227" s="4"/>
      <c r="FIS227" s="4"/>
      <c r="FIU227" s="4"/>
      <c r="FIW227" s="4"/>
      <c r="FIY227" s="4"/>
      <c r="FJA227" s="4"/>
      <c r="FJC227" s="4"/>
      <c r="FJE227" s="4"/>
      <c r="FJG227" s="4"/>
      <c r="FJI227" s="4"/>
      <c r="FJK227" s="4"/>
      <c r="FJM227" s="4"/>
      <c r="FJO227" s="4"/>
      <c r="FJQ227" s="4"/>
      <c r="FJS227" s="4"/>
      <c r="FJU227" s="4"/>
      <c r="FJW227" s="4"/>
      <c r="FJY227" s="4"/>
      <c r="FKA227" s="4"/>
      <c r="FKC227" s="4"/>
      <c r="FKE227" s="4"/>
      <c r="FKG227" s="4"/>
      <c r="FKI227" s="4"/>
      <c r="FKK227" s="4"/>
      <c r="FKM227" s="4"/>
      <c r="FKO227" s="4"/>
      <c r="FKQ227" s="4"/>
      <c r="FKS227" s="4"/>
      <c r="FKU227" s="4"/>
      <c r="FKW227" s="4"/>
      <c r="FKY227" s="4"/>
      <c r="FLA227" s="4"/>
      <c r="FLC227" s="4"/>
      <c r="FLE227" s="4"/>
      <c r="FLG227" s="4"/>
      <c r="FLI227" s="4"/>
      <c r="FLK227" s="4"/>
      <c r="FLM227" s="4"/>
      <c r="FLO227" s="4"/>
      <c r="FLQ227" s="4"/>
      <c r="FLS227" s="4"/>
      <c r="FLU227" s="4"/>
      <c r="FLW227" s="4"/>
      <c r="FLY227" s="4"/>
      <c r="FMA227" s="4"/>
      <c r="FMC227" s="4"/>
      <c r="FME227" s="4"/>
      <c r="FMG227" s="4"/>
      <c r="FMI227" s="4"/>
      <c r="FMK227" s="4"/>
      <c r="FMM227" s="4"/>
      <c r="FMO227" s="4"/>
      <c r="FMQ227" s="4"/>
      <c r="FMS227" s="4"/>
      <c r="FMU227" s="4"/>
      <c r="FMW227" s="4"/>
      <c r="FMY227" s="4"/>
      <c r="FNA227" s="4"/>
      <c r="FNC227" s="4"/>
      <c r="FNE227" s="4"/>
      <c r="FNG227" s="4"/>
      <c r="FNI227" s="4"/>
      <c r="FNK227" s="4"/>
      <c r="FNM227" s="4"/>
      <c r="FNO227" s="4"/>
      <c r="FNQ227" s="4"/>
      <c r="FNS227" s="4"/>
      <c r="FNU227" s="4"/>
      <c r="FNW227" s="4"/>
      <c r="FNY227" s="4"/>
      <c r="FOA227" s="4"/>
      <c r="FOC227" s="4"/>
      <c r="FOE227" s="4"/>
      <c r="FOG227" s="4"/>
      <c r="FOI227" s="4"/>
      <c r="FOK227" s="4"/>
      <c r="FOM227" s="4"/>
      <c r="FOO227" s="4"/>
      <c r="FOQ227" s="4"/>
      <c r="FOS227" s="4"/>
      <c r="FOU227" s="4"/>
      <c r="FOW227" s="4"/>
      <c r="FOY227" s="4"/>
      <c r="FPA227" s="4"/>
      <c r="FPC227" s="4"/>
      <c r="FPE227" s="4"/>
      <c r="FPG227" s="4"/>
      <c r="FPI227" s="4"/>
      <c r="FPK227" s="4"/>
      <c r="FPM227" s="4"/>
      <c r="FPO227" s="4"/>
      <c r="FPQ227" s="4"/>
      <c r="FPS227" s="4"/>
      <c r="FPU227" s="4"/>
      <c r="FPW227" s="4"/>
      <c r="FPY227" s="4"/>
      <c r="FQA227" s="4"/>
      <c r="FQC227" s="4"/>
      <c r="FQE227" s="4"/>
      <c r="FQG227" s="4"/>
      <c r="FQI227" s="4"/>
      <c r="FQK227" s="4"/>
      <c r="FQM227" s="4"/>
      <c r="FQO227" s="4"/>
      <c r="FQQ227" s="4"/>
      <c r="FQS227" s="4"/>
      <c r="FQU227" s="4"/>
      <c r="FQW227" s="4"/>
      <c r="FQY227" s="4"/>
      <c r="FRA227" s="4"/>
      <c r="FRC227" s="4"/>
      <c r="FRE227" s="4"/>
      <c r="FRG227" s="4"/>
      <c r="FRI227" s="4"/>
      <c r="FRK227" s="4"/>
      <c r="FRM227" s="4"/>
      <c r="FRO227" s="4"/>
      <c r="FRQ227" s="4"/>
      <c r="FRS227" s="4"/>
      <c r="FRU227" s="4"/>
      <c r="FRW227" s="4"/>
      <c r="FRY227" s="4"/>
      <c r="FSA227" s="4"/>
      <c r="FSC227" s="4"/>
      <c r="FSE227" s="4"/>
      <c r="FSG227" s="4"/>
      <c r="FSI227" s="4"/>
      <c r="FSK227" s="4"/>
      <c r="FSM227" s="4"/>
      <c r="FSO227" s="4"/>
      <c r="FSQ227" s="4"/>
      <c r="FSS227" s="4"/>
      <c r="FSU227" s="4"/>
      <c r="FSW227" s="4"/>
      <c r="FSY227" s="4"/>
      <c r="FTA227" s="4"/>
      <c r="FTC227" s="4"/>
      <c r="FTE227" s="4"/>
      <c r="FTG227" s="4"/>
      <c r="FTI227" s="4"/>
      <c r="FTK227" s="4"/>
      <c r="FTM227" s="4"/>
      <c r="FTO227" s="4"/>
      <c r="FTQ227" s="4"/>
      <c r="FTS227" s="4"/>
      <c r="FTU227" s="4"/>
      <c r="FTW227" s="4"/>
      <c r="FTY227" s="4"/>
      <c r="FUA227" s="4"/>
      <c r="FUC227" s="4"/>
      <c r="FUE227" s="4"/>
      <c r="FUG227" s="4"/>
      <c r="FUI227" s="4"/>
      <c r="FUK227" s="4"/>
      <c r="FUM227" s="4"/>
      <c r="FUO227" s="4"/>
      <c r="FUQ227" s="4"/>
      <c r="FUS227" s="4"/>
      <c r="FUU227" s="4"/>
      <c r="FUW227" s="4"/>
      <c r="FUY227" s="4"/>
      <c r="FVA227" s="4"/>
      <c r="FVC227" s="4"/>
      <c r="FVE227" s="4"/>
      <c r="FVG227" s="4"/>
      <c r="FVI227" s="4"/>
      <c r="FVK227" s="4"/>
      <c r="FVM227" s="4"/>
      <c r="FVO227" s="4"/>
      <c r="FVQ227" s="4"/>
      <c r="FVS227" s="4"/>
      <c r="FVU227" s="4"/>
      <c r="FVW227" s="4"/>
      <c r="FVY227" s="4"/>
      <c r="FWA227" s="4"/>
      <c r="FWC227" s="4"/>
      <c r="FWE227" s="4"/>
      <c r="FWG227" s="4"/>
      <c r="FWI227" s="4"/>
      <c r="FWK227" s="4"/>
      <c r="FWM227" s="4"/>
      <c r="FWO227" s="4"/>
      <c r="FWQ227" s="4"/>
      <c r="FWS227" s="4"/>
      <c r="FWU227" s="4"/>
      <c r="FWW227" s="4"/>
      <c r="FWY227" s="4"/>
      <c r="FXA227" s="4"/>
      <c r="FXC227" s="4"/>
      <c r="FXE227" s="4"/>
      <c r="FXG227" s="4"/>
      <c r="FXI227" s="4"/>
      <c r="FXK227" s="4"/>
      <c r="FXM227" s="4"/>
      <c r="FXO227" s="4"/>
      <c r="FXQ227" s="4"/>
      <c r="FXS227" s="4"/>
      <c r="FXU227" s="4"/>
      <c r="FXW227" s="4"/>
      <c r="FXY227" s="4"/>
      <c r="FYA227" s="4"/>
      <c r="FYC227" s="4"/>
      <c r="FYE227" s="4"/>
      <c r="FYG227" s="4"/>
      <c r="FYI227" s="4"/>
      <c r="FYK227" s="4"/>
      <c r="FYM227" s="4"/>
      <c r="FYO227" s="4"/>
      <c r="FYQ227" s="4"/>
      <c r="FYS227" s="4"/>
      <c r="FYU227" s="4"/>
      <c r="FYW227" s="4"/>
      <c r="FYY227" s="4"/>
      <c r="FZA227" s="4"/>
      <c r="FZC227" s="4"/>
      <c r="FZE227" s="4"/>
      <c r="FZG227" s="4"/>
      <c r="FZI227" s="4"/>
      <c r="FZK227" s="4"/>
      <c r="FZM227" s="4"/>
      <c r="FZO227" s="4"/>
      <c r="FZQ227" s="4"/>
      <c r="FZS227" s="4"/>
      <c r="FZU227" s="4"/>
      <c r="FZW227" s="4"/>
      <c r="FZY227" s="4"/>
      <c r="GAA227" s="4"/>
      <c r="GAC227" s="4"/>
      <c r="GAE227" s="4"/>
      <c r="GAG227" s="4"/>
      <c r="GAI227" s="4"/>
      <c r="GAK227" s="4"/>
      <c r="GAM227" s="4"/>
      <c r="GAO227" s="4"/>
      <c r="GAQ227" s="4"/>
      <c r="GAS227" s="4"/>
      <c r="GAU227" s="4"/>
      <c r="GAW227" s="4"/>
      <c r="GAY227" s="4"/>
      <c r="GBA227" s="4"/>
      <c r="GBC227" s="4"/>
      <c r="GBE227" s="4"/>
      <c r="GBG227" s="4"/>
      <c r="GBI227" s="4"/>
      <c r="GBK227" s="4"/>
      <c r="GBM227" s="4"/>
      <c r="GBO227" s="4"/>
      <c r="GBQ227" s="4"/>
      <c r="GBS227" s="4"/>
      <c r="GBU227" s="4"/>
      <c r="GBW227" s="4"/>
      <c r="GBY227" s="4"/>
      <c r="GCA227" s="4"/>
      <c r="GCC227" s="4"/>
      <c r="GCE227" s="4"/>
      <c r="GCG227" s="4"/>
      <c r="GCI227" s="4"/>
      <c r="GCK227" s="4"/>
      <c r="GCM227" s="4"/>
      <c r="GCO227" s="4"/>
      <c r="GCQ227" s="4"/>
      <c r="GCS227" s="4"/>
      <c r="GCU227" s="4"/>
      <c r="GCW227" s="4"/>
      <c r="GCY227" s="4"/>
      <c r="GDA227" s="4"/>
      <c r="GDC227" s="4"/>
      <c r="GDE227" s="4"/>
      <c r="GDG227" s="4"/>
      <c r="GDI227" s="4"/>
      <c r="GDK227" s="4"/>
      <c r="GDM227" s="4"/>
      <c r="GDO227" s="4"/>
      <c r="GDQ227" s="4"/>
      <c r="GDS227" s="4"/>
      <c r="GDU227" s="4"/>
      <c r="GDW227" s="4"/>
      <c r="GDY227" s="4"/>
      <c r="GEA227" s="4"/>
      <c r="GEC227" s="4"/>
      <c r="GEE227" s="4"/>
      <c r="GEG227" s="4"/>
      <c r="GEI227" s="4"/>
      <c r="GEK227" s="4"/>
      <c r="GEM227" s="4"/>
      <c r="GEO227" s="4"/>
      <c r="GEQ227" s="4"/>
      <c r="GES227" s="4"/>
      <c r="GEU227" s="4"/>
      <c r="GEW227" s="4"/>
      <c r="GEY227" s="4"/>
      <c r="GFA227" s="4"/>
      <c r="GFC227" s="4"/>
      <c r="GFE227" s="4"/>
      <c r="GFG227" s="4"/>
      <c r="GFI227" s="4"/>
      <c r="GFK227" s="4"/>
      <c r="GFM227" s="4"/>
      <c r="GFO227" s="4"/>
      <c r="GFQ227" s="4"/>
      <c r="GFS227" s="4"/>
      <c r="GFU227" s="4"/>
      <c r="GFW227" s="4"/>
      <c r="GFY227" s="4"/>
      <c r="GGA227" s="4"/>
      <c r="GGC227" s="4"/>
      <c r="GGE227" s="4"/>
      <c r="GGG227" s="4"/>
      <c r="GGI227" s="4"/>
      <c r="GGK227" s="4"/>
      <c r="GGM227" s="4"/>
      <c r="GGO227" s="4"/>
      <c r="GGQ227" s="4"/>
      <c r="GGS227" s="4"/>
      <c r="GGU227" s="4"/>
      <c r="GGW227" s="4"/>
      <c r="GGY227" s="4"/>
      <c r="GHA227" s="4"/>
      <c r="GHC227" s="4"/>
      <c r="GHE227" s="4"/>
      <c r="GHG227" s="4"/>
      <c r="GHI227" s="4"/>
      <c r="GHK227" s="4"/>
      <c r="GHM227" s="4"/>
      <c r="GHO227" s="4"/>
      <c r="GHQ227" s="4"/>
      <c r="GHS227" s="4"/>
      <c r="GHU227" s="4"/>
      <c r="GHW227" s="4"/>
      <c r="GHY227" s="4"/>
      <c r="GIA227" s="4"/>
      <c r="GIC227" s="4"/>
      <c r="GIE227" s="4"/>
      <c r="GIG227" s="4"/>
      <c r="GII227" s="4"/>
      <c r="GIK227" s="4"/>
      <c r="GIM227" s="4"/>
      <c r="GIO227" s="4"/>
      <c r="GIQ227" s="4"/>
      <c r="GIS227" s="4"/>
      <c r="GIU227" s="4"/>
      <c r="GIW227" s="4"/>
      <c r="GIY227" s="4"/>
      <c r="GJA227" s="4"/>
      <c r="GJC227" s="4"/>
      <c r="GJE227" s="4"/>
      <c r="GJG227" s="4"/>
      <c r="GJI227" s="4"/>
      <c r="GJK227" s="4"/>
      <c r="GJM227" s="4"/>
      <c r="GJO227" s="4"/>
      <c r="GJQ227" s="4"/>
      <c r="GJS227" s="4"/>
      <c r="GJU227" s="4"/>
      <c r="GJW227" s="4"/>
      <c r="GJY227" s="4"/>
      <c r="GKA227" s="4"/>
      <c r="GKC227" s="4"/>
      <c r="GKE227" s="4"/>
      <c r="GKG227" s="4"/>
      <c r="GKI227" s="4"/>
      <c r="GKK227" s="4"/>
      <c r="GKM227" s="4"/>
      <c r="GKO227" s="4"/>
      <c r="GKQ227" s="4"/>
      <c r="GKS227" s="4"/>
      <c r="GKU227" s="4"/>
      <c r="GKW227" s="4"/>
      <c r="GKY227" s="4"/>
      <c r="GLA227" s="4"/>
      <c r="GLC227" s="4"/>
      <c r="GLE227" s="4"/>
      <c r="GLG227" s="4"/>
      <c r="GLI227" s="4"/>
      <c r="GLK227" s="4"/>
      <c r="GLM227" s="4"/>
      <c r="GLO227" s="4"/>
      <c r="GLQ227" s="4"/>
      <c r="GLS227" s="4"/>
      <c r="GLU227" s="4"/>
      <c r="GLW227" s="4"/>
      <c r="GLY227" s="4"/>
      <c r="GMA227" s="4"/>
      <c r="GMC227" s="4"/>
      <c r="GME227" s="4"/>
      <c r="GMG227" s="4"/>
      <c r="GMI227" s="4"/>
      <c r="GMK227" s="4"/>
      <c r="GMM227" s="4"/>
      <c r="GMO227" s="4"/>
      <c r="GMQ227" s="4"/>
      <c r="GMS227" s="4"/>
      <c r="GMU227" s="4"/>
      <c r="GMW227" s="4"/>
      <c r="GMY227" s="4"/>
      <c r="GNA227" s="4"/>
      <c r="GNC227" s="4"/>
      <c r="GNE227" s="4"/>
      <c r="GNG227" s="4"/>
      <c r="GNI227" s="4"/>
      <c r="GNK227" s="4"/>
      <c r="GNM227" s="4"/>
      <c r="GNO227" s="4"/>
      <c r="GNQ227" s="4"/>
      <c r="GNS227" s="4"/>
      <c r="GNU227" s="4"/>
      <c r="GNW227" s="4"/>
      <c r="GNY227" s="4"/>
      <c r="GOA227" s="4"/>
      <c r="GOC227" s="4"/>
      <c r="GOE227" s="4"/>
      <c r="GOG227" s="4"/>
      <c r="GOI227" s="4"/>
      <c r="GOK227" s="4"/>
      <c r="GOM227" s="4"/>
      <c r="GOO227" s="4"/>
      <c r="GOQ227" s="4"/>
      <c r="GOS227" s="4"/>
      <c r="GOU227" s="4"/>
      <c r="GOW227" s="4"/>
      <c r="GOY227" s="4"/>
      <c r="GPA227" s="4"/>
      <c r="GPC227" s="4"/>
      <c r="GPE227" s="4"/>
      <c r="GPG227" s="4"/>
      <c r="GPI227" s="4"/>
      <c r="GPK227" s="4"/>
      <c r="GPM227" s="4"/>
      <c r="GPO227" s="4"/>
      <c r="GPQ227" s="4"/>
      <c r="GPS227" s="4"/>
      <c r="GPU227" s="4"/>
      <c r="GPW227" s="4"/>
      <c r="GPY227" s="4"/>
      <c r="GQA227" s="4"/>
      <c r="GQC227" s="4"/>
      <c r="GQE227" s="4"/>
      <c r="GQG227" s="4"/>
      <c r="GQI227" s="4"/>
      <c r="GQK227" s="4"/>
      <c r="GQM227" s="4"/>
      <c r="GQO227" s="4"/>
      <c r="GQQ227" s="4"/>
      <c r="GQS227" s="4"/>
      <c r="GQU227" s="4"/>
      <c r="GQW227" s="4"/>
      <c r="GQY227" s="4"/>
      <c r="GRA227" s="4"/>
      <c r="GRC227" s="4"/>
      <c r="GRE227" s="4"/>
      <c r="GRG227" s="4"/>
      <c r="GRI227" s="4"/>
      <c r="GRK227" s="4"/>
      <c r="GRM227" s="4"/>
      <c r="GRO227" s="4"/>
      <c r="GRQ227" s="4"/>
      <c r="GRS227" s="4"/>
      <c r="GRU227" s="4"/>
      <c r="GRW227" s="4"/>
      <c r="GRY227" s="4"/>
      <c r="GSA227" s="4"/>
      <c r="GSC227" s="4"/>
      <c r="GSE227" s="4"/>
      <c r="GSG227" s="4"/>
      <c r="GSI227" s="4"/>
      <c r="GSK227" s="4"/>
      <c r="GSM227" s="4"/>
      <c r="GSO227" s="4"/>
      <c r="GSQ227" s="4"/>
      <c r="GSS227" s="4"/>
      <c r="GSU227" s="4"/>
      <c r="GSW227" s="4"/>
      <c r="GSY227" s="4"/>
      <c r="GTA227" s="4"/>
      <c r="GTC227" s="4"/>
      <c r="GTE227" s="4"/>
      <c r="GTG227" s="4"/>
      <c r="GTI227" s="4"/>
      <c r="GTK227" s="4"/>
      <c r="GTM227" s="4"/>
      <c r="GTO227" s="4"/>
      <c r="GTQ227" s="4"/>
      <c r="GTS227" s="4"/>
      <c r="GTU227" s="4"/>
      <c r="GTW227" s="4"/>
      <c r="GTY227" s="4"/>
      <c r="GUA227" s="4"/>
      <c r="GUC227" s="4"/>
      <c r="GUE227" s="4"/>
      <c r="GUG227" s="4"/>
      <c r="GUI227" s="4"/>
      <c r="GUK227" s="4"/>
      <c r="GUM227" s="4"/>
      <c r="GUO227" s="4"/>
      <c r="GUQ227" s="4"/>
      <c r="GUS227" s="4"/>
      <c r="GUU227" s="4"/>
      <c r="GUW227" s="4"/>
      <c r="GUY227" s="4"/>
      <c r="GVA227" s="4"/>
      <c r="GVC227" s="4"/>
      <c r="GVE227" s="4"/>
      <c r="GVG227" s="4"/>
      <c r="GVI227" s="4"/>
      <c r="GVK227" s="4"/>
      <c r="GVM227" s="4"/>
      <c r="GVO227" s="4"/>
      <c r="GVQ227" s="4"/>
      <c r="GVS227" s="4"/>
      <c r="GVU227" s="4"/>
      <c r="GVW227" s="4"/>
      <c r="GVY227" s="4"/>
      <c r="GWA227" s="4"/>
      <c r="GWC227" s="4"/>
      <c r="GWE227" s="4"/>
      <c r="GWG227" s="4"/>
      <c r="GWI227" s="4"/>
      <c r="GWK227" s="4"/>
      <c r="GWM227" s="4"/>
      <c r="GWO227" s="4"/>
      <c r="GWQ227" s="4"/>
      <c r="GWS227" s="4"/>
      <c r="GWU227" s="4"/>
      <c r="GWW227" s="4"/>
      <c r="GWY227" s="4"/>
      <c r="GXA227" s="4"/>
      <c r="GXC227" s="4"/>
      <c r="GXE227" s="4"/>
      <c r="GXG227" s="4"/>
      <c r="GXI227" s="4"/>
      <c r="GXK227" s="4"/>
      <c r="GXM227" s="4"/>
      <c r="GXO227" s="4"/>
      <c r="GXQ227" s="4"/>
      <c r="GXS227" s="4"/>
      <c r="GXU227" s="4"/>
      <c r="GXW227" s="4"/>
      <c r="GXY227" s="4"/>
      <c r="GYA227" s="4"/>
      <c r="GYC227" s="4"/>
      <c r="GYE227" s="4"/>
      <c r="GYG227" s="4"/>
      <c r="GYI227" s="4"/>
      <c r="GYK227" s="4"/>
      <c r="GYM227" s="4"/>
      <c r="GYO227" s="4"/>
      <c r="GYQ227" s="4"/>
      <c r="GYS227" s="4"/>
      <c r="GYU227" s="4"/>
      <c r="GYW227" s="4"/>
      <c r="GYY227" s="4"/>
      <c r="GZA227" s="4"/>
      <c r="GZC227" s="4"/>
      <c r="GZE227" s="4"/>
      <c r="GZG227" s="4"/>
      <c r="GZI227" s="4"/>
      <c r="GZK227" s="4"/>
      <c r="GZM227" s="4"/>
      <c r="GZO227" s="4"/>
      <c r="GZQ227" s="4"/>
      <c r="GZS227" s="4"/>
      <c r="GZU227" s="4"/>
      <c r="GZW227" s="4"/>
      <c r="GZY227" s="4"/>
      <c r="HAA227" s="4"/>
      <c r="HAC227" s="4"/>
      <c r="HAE227" s="4"/>
      <c r="HAG227" s="4"/>
      <c r="HAI227" s="4"/>
      <c r="HAK227" s="4"/>
      <c r="HAM227" s="4"/>
      <c r="HAO227" s="4"/>
      <c r="HAQ227" s="4"/>
      <c r="HAS227" s="4"/>
      <c r="HAU227" s="4"/>
      <c r="HAW227" s="4"/>
      <c r="HAY227" s="4"/>
      <c r="HBA227" s="4"/>
      <c r="HBC227" s="4"/>
      <c r="HBE227" s="4"/>
      <c r="HBG227" s="4"/>
      <c r="HBI227" s="4"/>
      <c r="HBK227" s="4"/>
      <c r="HBM227" s="4"/>
      <c r="HBO227" s="4"/>
      <c r="HBQ227" s="4"/>
      <c r="HBS227" s="4"/>
      <c r="HBU227" s="4"/>
      <c r="HBW227" s="4"/>
      <c r="HBY227" s="4"/>
      <c r="HCA227" s="4"/>
      <c r="HCC227" s="4"/>
      <c r="HCE227" s="4"/>
      <c r="HCG227" s="4"/>
      <c r="HCI227" s="4"/>
      <c r="HCK227" s="4"/>
      <c r="HCM227" s="4"/>
      <c r="HCO227" s="4"/>
      <c r="HCQ227" s="4"/>
      <c r="HCS227" s="4"/>
      <c r="HCU227" s="4"/>
      <c r="HCW227" s="4"/>
      <c r="HCY227" s="4"/>
      <c r="HDA227" s="4"/>
      <c r="HDC227" s="4"/>
      <c r="HDE227" s="4"/>
      <c r="HDG227" s="4"/>
      <c r="HDI227" s="4"/>
      <c r="HDK227" s="4"/>
      <c r="HDM227" s="4"/>
      <c r="HDO227" s="4"/>
      <c r="HDQ227" s="4"/>
      <c r="HDS227" s="4"/>
      <c r="HDU227" s="4"/>
      <c r="HDW227" s="4"/>
      <c r="HDY227" s="4"/>
      <c r="HEA227" s="4"/>
      <c r="HEC227" s="4"/>
      <c r="HEE227" s="4"/>
      <c r="HEG227" s="4"/>
      <c r="HEI227" s="4"/>
      <c r="HEK227" s="4"/>
      <c r="HEM227" s="4"/>
      <c r="HEO227" s="4"/>
      <c r="HEQ227" s="4"/>
      <c r="HES227" s="4"/>
      <c r="HEU227" s="4"/>
      <c r="HEW227" s="4"/>
      <c r="HEY227" s="4"/>
      <c r="HFA227" s="4"/>
      <c r="HFC227" s="4"/>
      <c r="HFE227" s="4"/>
      <c r="HFG227" s="4"/>
      <c r="HFI227" s="4"/>
      <c r="HFK227" s="4"/>
      <c r="HFM227" s="4"/>
      <c r="HFO227" s="4"/>
      <c r="HFQ227" s="4"/>
      <c r="HFS227" s="4"/>
      <c r="HFU227" s="4"/>
      <c r="HFW227" s="4"/>
      <c r="HFY227" s="4"/>
      <c r="HGA227" s="4"/>
      <c r="HGC227" s="4"/>
      <c r="HGE227" s="4"/>
      <c r="HGG227" s="4"/>
      <c r="HGI227" s="4"/>
      <c r="HGK227" s="4"/>
      <c r="HGM227" s="4"/>
      <c r="HGO227" s="4"/>
      <c r="HGQ227" s="4"/>
      <c r="HGS227" s="4"/>
      <c r="HGU227" s="4"/>
      <c r="HGW227" s="4"/>
      <c r="HGY227" s="4"/>
      <c r="HHA227" s="4"/>
      <c r="HHC227" s="4"/>
      <c r="HHE227" s="4"/>
      <c r="HHG227" s="4"/>
      <c r="HHI227" s="4"/>
      <c r="HHK227" s="4"/>
      <c r="HHM227" s="4"/>
      <c r="HHO227" s="4"/>
      <c r="HHQ227" s="4"/>
      <c r="HHS227" s="4"/>
      <c r="HHU227" s="4"/>
      <c r="HHW227" s="4"/>
      <c r="HHY227" s="4"/>
      <c r="HIA227" s="4"/>
      <c r="HIC227" s="4"/>
      <c r="HIE227" s="4"/>
      <c r="HIG227" s="4"/>
      <c r="HII227" s="4"/>
      <c r="HIK227" s="4"/>
      <c r="HIM227" s="4"/>
      <c r="HIO227" s="4"/>
      <c r="HIQ227" s="4"/>
      <c r="HIS227" s="4"/>
      <c r="HIU227" s="4"/>
      <c r="HIW227" s="4"/>
      <c r="HIY227" s="4"/>
      <c r="HJA227" s="4"/>
      <c r="HJC227" s="4"/>
      <c r="HJE227" s="4"/>
      <c r="HJG227" s="4"/>
      <c r="HJI227" s="4"/>
      <c r="HJK227" s="4"/>
      <c r="HJM227" s="4"/>
      <c r="HJO227" s="4"/>
      <c r="HJQ227" s="4"/>
      <c r="HJS227" s="4"/>
      <c r="HJU227" s="4"/>
      <c r="HJW227" s="4"/>
      <c r="HJY227" s="4"/>
      <c r="HKA227" s="4"/>
      <c r="HKC227" s="4"/>
      <c r="HKE227" s="4"/>
      <c r="HKG227" s="4"/>
      <c r="HKI227" s="4"/>
      <c r="HKK227" s="4"/>
      <c r="HKM227" s="4"/>
      <c r="HKO227" s="4"/>
      <c r="HKQ227" s="4"/>
      <c r="HKS227" s="4"/>
      <c r="HKU227" s="4"/>
      <c r="HKW227" s="4"/>
      <c r="HKY227" s="4"/>
      <c r="HLA227" s="4"/>
      <c r="HLC227" s="4"/>
      <c r="HLE227" s="4"/>
      <c r="HLG227" s="4"/>
      <c r="HLI227" s="4"/>
      <c r="HLK227" s="4"/>
      <c r="HLM227" s="4"/>
      <c r="HLO227" s="4"/>
      <c r="HLQ227" s="4"/>
      <c r="HLS227" s="4"/>
      <c r="HLU227" s="4"/>
      <c r="HLW227" s="4"/>
      <c r="HLY227" s="4"/>
      <c r="HMA227" s="4"/>
      <c r="HMC227" s="4"/>
      <c r="HME227" s="4"/>
      <c r="HMG227" s="4"/>
      <c r="HMI227" s="4"/>
      <c r="HMK227" s="4"/>
      <c r="HMM227" s="4"/>
      <c r="HMO227" s="4"/>
      <c r="HMQ227" s="4"/>
      <c r="HMS227" s="4"/>
      <c r="HMU227" s="4"/>
      <c r="HMW227" s="4"/>
      <c r="HMY227" s="4"/>
      <c r="HNA227" s="4"/>
      <c r="HNC227" s="4"/>
      <c r="HNE227" s="4"/>
      <c r="HNG227" s="4"/>
      <c r="HNI227" s="4"/>
      <c r="HNK227" s="4"/>
      <c r="HNM227" s="4"/>
      <c r="HNO227" s="4"/>
      <c r="HNQ227" s="4"/>
      <c r="HNS227" s="4"/>
      <c r="HNU227" s="4"/>
      <c r="HNW227" s="4"/>
      <c r="HNY227" s="4"/>
      <c r="HOA227" s="4"/>
      <c r="HOC227" s="4"/>
      <c r="HOE227" s="4"/>
      <c r="HOG227" s="4"/>
      <c r="HOI227" s="4"/>
      <c r="HOK227" s="4"/>
      <c r="HOM227" s="4"/>
      <c r="HOO227" s="4"/>
      <c r="HOQ227" s="4"/>
      <c r="HOS227" s="4"/>
      <c r="HOU227" s="4"/>
      <c r="HOW227" s="4"/>
      <c r="HOY227" s="4"/>
      <c r="HPA227" s="4"/>
      <c r="HPC227" s="4"/>
      <c r="HPE227" s="4"/>
      <c r="HPG227" s="4"/>
      <c r="HPI227" s="4"/>
      <c r="HPK227" s="4"/>
      <c r="HPM227" s="4"/>
      <c r="HPO227" s="4"/>
      <c r="HPQ227" s="4"/>
      <c r="HPS227" s="4"/>
      <c r="HPU227" s="4"/>
      <c r="HPW227" s="4"/>
      <c r="HPY227" s="4"/>
      <c r="HQA227" s="4"/>
      <c r="HQC227" s="4"/>
      <c r="HQE227" s="4"/>
      <c r="HQG227" s="4"/>
      <c r="HQI227" s="4"/>
      <c r="HQK227" s="4"/>
      <c r="HQM227" s="4"/>
      <c r="HQO227" s="4"/>
      <c r="HQQ227" s="4"/>
      <c r="HQS227" s="4"/>
      <c r="HQU227" s="4"/>
      <c r="HQW227" s="4"/>
      <c r="HQY227" s="4"/>
      <c r="HRA227" s="4"/>
      <c r="HRC227" s="4"/>
      <c r="HRE227" s="4"/>
      <c r="HRG227" s="4"/>
      <c r="HRI227" s="4"/>
      <c r="HRK227" s="4"/>
      <c r="HRM227" s="4"/>
      <c r="HRO227" s="4"/>
      <c r="HRQ227" s="4"/>
      <c r="HRS227" s="4"/>
      <c r="HRU227" s="4"/>
      <c r="HRW227" s="4"/>
      <c r="HRY227" s="4"/>
      <c r="HSA227" s="4"/>
      <c r="HSC227" s="4"/>
      <c r="HSE227" s="4"/>
      <c r="HSG227" s="4"/>
      <c r="HSI227" s="4"/>
      <c r="HSK227" s="4"/>
      <c r="HSM227" s="4"/>
      <c r="HSO227" s="4"/>
      <c r="HSQ227" s="4"/>
      <c r="HSS227" s="4"/>
      <c r="HSU227" s="4"/>
      <c r="HSW227" s="4"/>
      <c r="HSY227" s="4"/>
      <c r="HTA227" s="4"/>
      <c r="HTC227" s="4"/>
      <c r="HTE227" s="4"/>
      <c r="HTG227" s="4"/>
      <c r="HTI227" s="4"/>
      <c r="HTK227" s="4"/>
      <c r="HTM227" s="4"/>
      <c r="HTO227" s="4"/>
      <c r="HTQ227" s="4"/>
      <c r="HTS227" s="4"/>
      <c r="HTU227" s="4"/>
      <c r="HTW227" s="4"/>
      <c r="HTY227" s="4"/>
      <c r="HUA227" s="4"/>
      <c r="HUC227" s="4"/>
      <c r="HUE227" s="4"/>
      <c r="HUG227" s="4"/>
      <c r="HUI227" s="4"/>
      <c r="HUK227" s="4"/>
      <c r="HUM227" s="4"/>
      <c r="HUO227" s="4"/>
      <c r="HUQ227" s="4"/>
      <c r="HUS227" s="4"/>
      <c r="HUU227" s="4"/>
      <c r="HUW227" s="4"/>
      <c r="HUY227" s="4"/>
      <c r="HVA227" s="4"/>
      <c r="HVC227" s="4"/>
      <c r="HVE227" s="4"/>
      <c r="HVG227" s="4"/>
      <c r="HVI227" s="4"/>
      <c r="HVK227" s="4"/>
      <c r="HVM227" s="4"/>
      <c r="HVO227" s="4"/>
      <c r="HVQ227" s="4"/>
      <c r="HVS227" s="4"/>
      <c r="HVU227" s="4"/>
      <c r="HVW227" s="4"/>
      <c r="HVY227" s="4"/>
      <c r="HWA227" s="4"/>
      <c r="HWC227" s="4"/>
      <c r="HWE227" s="4"/>
      <c r="HWG227" s="4"/>
      <c r="HWI227" s="4"/>
      <c r="HWK227" s="4"/>
      <c r="HWM227" s="4"/>
      <c r="HWO227" s="4"/>
      <c r="HWQ227" s="4"/>
      <c r="HWS227" s="4"/>
      <c r="HWU227" s="4"/>
      <c r="HWW227" s="4"/>
      <c r="HWY227" s="4"/>
      <c r="HXA227" s="4"/>
      <c r="HXC227" s="4"/>
      <c r="HXE227" s="4"/>
      <c r="HXG227" s="4"/>
      <c r="HXI227" s="4"/>
      <c r="HXK227" s="4"/>
      <c r="HXM227" s="4"/>
      <c r="HXO227" s="4"/>
      <c r="HXQ227" s="4"/>
      <c r="HXS227" s="4"/>
      <c r="HXU227" s="4"/>
      <c r="HXW227" s="4"/>
      <c r="HXY227" s="4"/>
      <c r="HYA227" s="4"/>
      <c r="HYC227" s="4"/>
      <c r="HYE227" s="4"/>
      <c r="HYG227" s="4"/>
      <c r="HYI227" s="4"/>
      <c r="HYK227" s="4"/>
      <c r="HYM227" s="4"/>
      <c r="HYO227" s="4"/>
      <c r="HYQ227" s="4"/>
      <c r="HYS227" s="4"/>
      <c r="HYU227" s="4"/>
      <c r="HYW227" s="4"/>
      <c r="HYY227" s="4"/>
      <c r="HZA227" s="4"/>
      <c r="HZC227" s="4"/>
      <c r="HZE227" s="4"/>
      <c r="HZG227" s="4"/>
      <c r="HZI227" s="4"/>
      <c r="HZK227" s="4"/>
      <c r="HZM227" s="4"/>
      <c r="HZO227" s="4"/>
      <c r="HZQ227" s="4"/>
      <c r="HZS227" s="4"/>
      <c r="HZU227" s="4"/>
      <c r="HZW227" s="4"/>
      <c r="HZY227" s="4"/>
      <c r="IAA227" s="4"/>
      <c r="IAC227" s="4"/>
      <c r="IAE227" s="4"/>
      <c r="IAG227" s="4"/>
      <c r="IAI227" s="4"/>
      <c r="IAK227" s="4"/>
      <c r="IAM227" s="4"/>
      <c r="IAO227" s="4"/>
      <c r="IAQ227" s="4"/>
      <c r="IAS227" s="4"/>
      <c r="IAU227" s="4"/>
      <c r="IAW227" s="4"/>
      <c r="IAY227" s="4"/>
      <c r="IBA227" s="4"/>
      <c r="IBC227" s="4"/>
      <c r="IBE227" s="4"/>
      <c r="IBG227" s="4"/>
      <c r="IBI227" s="4"/>
      <c r="IBK227" s="4"/>
      <c r="IBM227" s="4"/>
      <c r="IBO227" s="4"/>
      <c r="IBQ227" s="4"/>
      <c r="IBS227" s="4"/>
      <c r="IBU227" s="4"/>
      <c r="IBW227" s="4"/>
      <c r="IBY227" s="4"/>
      <c r="ICA227" s="4"/>
      <c r="ICC227" s="4"/>
      <c r="ICE227" s="4"/>
      <c r="ICG227" s="4"/>
      <c r="ICI227" s="4"/>
      <c r="ICK227" s="4"/>
      <c r="ICM227" s="4"/>
      <c r="ICO227" s="4"/>
      <c r="ICQ227" s="4"/>
      <c r="ICS227" s="4"/>
      <c r="ICU227" s="4"/>
      <c r="ICW227" s="4"/>
      <c r="ICY227" s="4"/>
      <c r="IDA227" s="4"/>
      <c r="IDC227" s="4"/>
      <c r="IDE227" s="4"/>
      <c r="IDG227" s="4"/>
      <c r="IDI227" s="4"/>
      <c r="IDK227" s="4"/>
      <c r="IDM227" s="4"/>
      <c r="IDO227" s="4"/>
      <c r="IDQ227" s="4"/>
      <c r="IDS227" s="4"/>
      <c r="IDU227" s="4"/>
      <c r="IDW227" s="4"/>
      <c r="IDY227" s="4"/>
      <c r="IEA227" s="4"/>
      <c r="IEC227" s="4"/>
      <c r="IEE227" s="4"/>
      <c r="IEG227" s="4"/>
      <c r="IEI227" s="4"/>
      <c r="IEK227" s="4"/>
      <c r="IEM227" s="4"/>
      <c r="IEO227" s="4"/>
      <c r="IEQ227" s="4"/>
      <c r="IES227" s="4"/>
      <c r="IEU227" s="4"/>
      <c r="IEW227" s="4"/>
      <c r="IEY227" s="4"/>
      <c r="IFA227" s="4"/>
      <c r="IFC227" s="4"/>
      <c r="IFE227" s="4"/>
      <c r="IFG227" s="4"/>
      <c r="IFI227" s="4"/>
      <c r="IFK227" s="4"/>
      <c r="IFM227" s="4"/>
      <c r="IFO227" s="4"/>
      <c r="IFQ227" s="4"/>
      <c r="IFS227" s="4"/>
      <c r="IFU227" s="4"/>
      <c r="IFW227" s="4"/>
      <c r="IFY227" s="4"/>
      <c r="IGA227" s="4"/>
      <c r="IGC227" s="4"/>
      <c r="IGE227" s="4"/>
      <c r="IGG227" s="4"/>
      <c r="IGI227" s="4"/>
      <c r="IGK227" s="4"/>
      <c r="IGM227" s="4"/>
      <c r="IGO227" s="4"/>
      <c r="IGQ227" s="4"/>
      <c r="IGS227" s="4"/>
      <c r="IGU227" s="4"/>
      <c r="IGW227" s="4"/>
      <c r="IGY227" s="4"/>
      <c r="IHA227" s="4"/>
      <c r="IHC227" s="4"/>
      <c r="IHE227" s="4"/>
      <c r="IHG227" s="4"/>
      <c r="IHI227" s="4"/>
      <c r="IHK227" s="4"/>
      <c r="IHM227" s="4"/>
      <c r="IHO227" s="4"/>
      <c r="IHQ227" s="4"/>
      <c r="IHS227" s="4"/>
      <c r="IHU227" s="4"/>
      <c r="IHW227" s="4"/>
      <c r="IHY227" s="4"/>
      <c r="IIA227" s="4"/>
      <c r="IIC227" s="4"/>
      <c r="IIE227" s="4"/>
      <c r="IIG227" s="4"/>
      <c r="III227" s="4"/>
      <c r="IIK227" s="4"/>
      <c r="IIM227" s="4"/>
      <c r="IIO227" s="4"/>
      <c r="IIQ227" s="4"/>
      <c r="IIS227" s="4"/>
      <c r="IIU227" s="4"/>
      <c r="IIW227" s="4"/>
      <c r="IIY227" s="4"/>
      <c r="IJA227" s="4"/>
      <c r="IJC227" s="4"/>
      <c r="IJE227" s="4"/>
      <c r="IJG227" s="4"/>
      <c r="IJI227" s="4"/>
      <c r="IJK227" s="4"/>
      <c r="IJM227" s="4"/>
      <c r="IJO227" s="4"/>
      <c r="IJQ227" s="4"/>
      <c r="IJS227" s="4"/>
      <c r="IJU227" s="4"/>
      <c r="IJW227" s="4"/>
      <c r="IJY227" s="4"/>
      <c r="IKA227" s="4"/>
      <c r="IKC227" s="4"/>
      <c r="IKE227" s="4"/>
      <c r="IKG227" s="4"/>
      <c r="IKI227" s="4"/>
      <c r="IKK227" s="4"/>
      <c r="IKM227" s="4"/>
      <c r="IKO227" s="4"/>
      <c r="IKQ227" s="4"/>
      <c r="IKS227" s="4"/>
      <c r="IKU227" s="4"/>
      <c r="IKW227" s="4"/>
      <c r="IKY227" s="4"/>
      <c r="ILA227" s="4"/>
      <c r="ILC227" s="4"/>
      <c r="ILE227" s="4"/>
      <c r="ILG227" s="4"/>
      <c r="ILI227" s="4"/>
      <c r="ILK227" s="4"/>
      <c r="ILM227" s="4"/>
      <c r="ILO227" s="4"/>
      <c r="ILQ227" s="4"/>
      <c r="ILS227" s="4"/>
      <c r="ILU227" s="4"/>
      <c r="ILW227" s="4"/>
      <c r="ILY227" s="4"/>
      <c r="IMA227" s="4"/>
      <c r="IMC227" s="4"/>
      <c r="IME227" s="4"/>
      <c r="IMG227" s="4"/>
      <c r="IMI227" s="4"/>
      <c r="IMK227" s="4"/>
      <c r="IMM227" s="4"/>
      <c r="IMO227" s="4"/>
      <c r="IMQ227" s="4"/>
      <c r="IMS227" s="4"/>
      <c r="IMU227" s="4"/>
      <c r="IMW227" s="4"/>
      <c r="IMY227" s="4"/>
      <c r="INA227" s="4"/>
      <c r="INC227" s="4"/>
      <c r="INE227" s="4"/>
      <c r="ING227" s="4"/>
      <c r="INI227" s="4"/>
      <c r="INK227" s="4"/>
      <c r="INM227" s="4"/>
      <c r="INO227" s="4"/>
      <c r="INQ227" s="4"/>
      <c r="INS227" s="4"/>
      <c r="INU227" s="4"/>
      <c r="INW227" s="4"/>
      <c r="INY227" s="4"/>
      <c r="IOA227" s="4"/>
      <c r="IOC227" s="4"/>
      <c r="IOE227" s="4"/>
      <c r="IOG227" s="4"/>
      <c r="IOI227" s="4"/>
      <c r="IOK227" s="4"/>
      <c r="IOM227" s="4"/>
      <c r="IOO227" s="4"/>
      <c r="IOQ227" s="4"/>
      <c r="IOS227" s="4"/>
      <c r="IOU227" s="4"/>
      <c r="IOW227" s="4"/>
      <c r="IOY227" s="4"/>
      <c r="IPA227" s="4"/>
      <c r="IPC227" s="4"/>
      <c r="IPE227" s="4"/>
      <c r="IPG227" s="4"/>
      <c r="IPI227" s="4"/>
      <c r="IPK227" s="4"/>
      <c r="IPM227" s="4"/>
      <c r="IPO227" s="4"/>
      <c r="IPQ227" s="4"/>
      <c r="IPS227" s="4"/>
      <c r="IPU227" s="4"/>
      <c r="IPW227" s="4"/>
      <c r="IPY227" s="4"/>
      <c r="IQA227" s="4"/>
      <c r="IQC227" s="4"/>
      <c r="IQE227" s="4"/>
      <c r="IQG227" s="4"/>
      <c r="IQI227" s="4"/>
      <c r="IQK227" s="4"/>
      <c r="IQM227" s="4"/>
      <c r="IQO227" s="4"/>
      <c r="IQQ227" s="4"/>
      <c r="IQS227" s="4"/>
      <c r="IQU227" s="4"/>
      <c r="IQW227" s="4"/>
      <c r="IQY227" s="4"/>
      <c r="IRA227" s="4"/>
      <c r="IRC227" s="4"/>
      <c r="IRE227" s="4"/>
      <c r="IRG227" s="4"/>
      <c r="IRI227" s="4"/>
      <c r="IRK227" s="4"/>
      <c r="IRM227" s="4"/>
      <c r="IRO227" s="4"/>
      <c r="IRQ227" s="4"/>
      <c r="IRS227" s="4"/>
      <c r="IRU227" s="4"/>
      <c r="IRW227" s="4"/>
      <c r="IRY227" s="4"/>
      <c r="ISA227" s="4"/>
      <c r="ISC227" s="4"/>
      <c r="ISE227" s="4"/>
      <c r="ISG227" s="4"/>
      <c r="ISI227" s="4"/>
      <c r="ISK227" s="4"/>
      <c r="ISM227" s="4"/>
      <c r="ISO227" s="4"/>
      <c r="ISQ227" s="4"/>
      <c r="ISS227" s="4"/>
      <c r="ISU227" s="4"/>
      <c r="ISW227" s="4"/>
      <c r="ISY227" s="4"/>
      <c r="ITA227" s="4"/>
      <c r="ITC227" s="4"/>
      <c r="ITE227" s="4"/>
      <c r="ITG227" s="4"/>
      <c r="ITI227" s="4"/>
      <c r="ITK227" s="4"/>
      <c r="ITM227" s="4"/>
      <c r="ITO227" s="4"/>
      <c r="ITQ227" s="4"/>
      <c r="ITS227" s="4"/>
      <c r="ITU227" s="4"/>
      <c r="ITW227" s="4"/>
      <c r="ITY227" s="4"/>
      <c r="IUA227" s="4"/>
      <c r="IUC227" s="4"/>
      <c r="IUE227" s="4"/>
      <c r="IUG227" s="4"/>
      <c r="IUI227" s="4"/>
      <c r="IUK227" s="4"/>
      <c r="IUM227" s="4"/>
      <c r="IUO227" s="4"/>
      <c r="IUQ227" s="4"/>
      <c r="IUS227" s="4"/>
      <c r="IUU227" s="4"/>
      <c r="IUW227" s="4"/>
      <c r="IUY227" s="4"/>
      <c r="IVA227" s="4"/>
      <c r="IVC227" s="4"/>
      <c r="IVE227" s="4"/>
      <c r="IVG227" s="4"/>
      <c r="IVI227" s="4"/>
      <c r="IVK227" s="4"/>
      <c r="IVM227" s="4"/>
      <c r="IVO227" s="4"/>
      <c r="IVQ227" s="4"/>
      <c r="IVS227" s="4"/>
      <c r="IVU227" s="4"/>
      <c r="IVW227" s="4"/>
      <c r="IVY227" s="4"/>
      <c r="IWA227" s="4"/>
      <c r="IWC227" s="4"/>
      <c r="IWE227" s="4"/>
      <c r="IWG227" s="4"/>
      <c r="IWI227" s="4"/>
      <c r="IWK227" s="4"/>
      <c r="IWM227" s="4"/>
      <c r="IWO227" s="4"/>
      <c r="IWQ227" s="4"/>
      <c r="IWS227" s="4"/>
      <c r="IWU227" s="4"/>
      <c r="IWW227" s="4"/>
      <c r="IWY227" s="4"/>
      <c r="IXA227" s="4"/>
      <c r="IXC227" s="4"/>
      <c r="IXE227" s="4"/>
      <c r="IXG227" s="4"/>
      <c r="IXI227" s="4"/>
      <c r="IXK227" s="4"/>
      <c r="IXM227" s="4"/>
      <c r="IXO227" s="4"/>
      <c r="IXQ227" s="4"/>
      <c r="IXS227" s="4"/>
      <c r="IXU227" s="4"/>
      <c r="IXW227" s="4"/>
      <c r="IXY227" s="4"/>
      <c r="IYA227" s="4"/>
      <c r="IYC227" s="4"/>
      <c r="IYE227" s="4"/>
      <c r="IYG227" s="4"/>
      <c r="IYI227" s="4"/>
      <c r="IYK227" s="4"/>
      <c r="IYM227" s="4"/>
      <c r="IYO227" s="4"/>
      <c r="IYQ227" s="4"/>
      <c r="IYS227" s="4"/>
      <c r="IYU227" s="4"/>
      <c r="IYW227" s="4"/>
      <c r="IYY227" s="4"/>
      <c r="IZA227" s="4"/>
      <c r="IZC227" s="4"/>
      <c r="IZE227" s="4"/>
      <c r="IZG227" s="4"/>
      <c r="IZI227" s="4"/>
      <c r="IZK227" s="4"/>
      <c r="IZM227" s="4"/>
      <c r="IZO227" s="4"/>
      <c r="IZQ227" s="4"/>
      <c r="IZS227" s="4"/>
      <c r="IZU227" s="4"/>
      <c r="IZW227" s="4"/>
      <c r="IZY227" s="4"/>
      <c r="JAA227" s="4"/>
      <c r="JAC227" s="4"/>
      <c r="JAE227" s="4"/>
      <c r="JAG227" s="4"/>
      <c r="JAI227" s="4"/>
      <c r="JAK227" s="4"/>
      <c r="JAM227" s="4"/>
      <c r="JAO227" s="4"/>
      <c r="JAQ227" s="4"/>
      <c r="JAS227" s="4"/>
      <c r="JAU227" s="4"/>
      <c r="JAW227" s="4"/>
      <c r="JAY227" s="4"/>
      <c r="JBA227" s="4"/>
      <c r="JBC227" s="4"/>
      <c r="JBE227" s="4"/>
      <c r="JBG227" s="4"/>
      <c r="JBI227" s="4"/>
      <c r="JBK227" s="4"/>
      <c r="JBM227" s="4"/>
      <c r="JBO227" s="4"/>
      <c r="JBQ227" s="4"/>
      <c r="JBS227" s="4"/>
      <c r="JBU227" s="4"/>
      <c r="JBW227" s="4"/>
      <c r="JBY227" s="4"/>
      <c r="JCA227" s="4"/>
      <c r="JCC227" s="4"/>
      <c r="JCE227" s="4"/>
      <c r="JCG227" s="4"/>
      <c r="JCI227" s="4"/>
      <c r="JCK227" s="4"/>
      <c r="JCM227" s="4"/>
      <c r="JCO227" s="4"/>
      <c r="JCQ227" s="4"/>
      <c r="JCS227" s="4"/>
      <c r="JCU227" s="4"/>
      <c r="JCW227" s="4"/>
      <c r="JCY227" s="4"/>
      <c r="JDA227" s="4"/>
      <c r="JDC227" s="4"/>
      <c r="JDE227" s="4"/>
      <c r="JDG227" s="4"/>
      <c r="JDI227" s="4"/>
      <c r="JDK227" s="4"/>
      <c r="JDM227" s="4"/>
      <c r="JDO227" s="4"/>
      <c r="JDQ227" s="4"/>
      <c r="JDS227" s="4"/>
      <c r="JDU227" s="4"/>
      <c r="JDW227" s="4"/>
      <c r="JDY227" s="4"/>
      <c r="JEA227" s="4"/>
      <c r="JEC227" s="4"/>
      <c r="JEE227" s="4"/>
      <c r="JEG227" s="4"/>
      <c r="JEI227" s="4"/>
      <c r="JEK227" s="4"/>
      <c r="JEM227" s="4"/>
      <c r="JEO227" s="4"/>
      <c r="JEQ227" s="4"/>
      <c r="JES227" s="4"/>
      <c r="JEU227" s="4"/>
      <c r="JEW227" s="4"/>
      <c r="JEY227" s="4"/>
      <c r="JFA227" s="4"/>
      <c r="JFC227" s="4"/>
      <c r="JFE227" s="4"/>
      <c r="JFG227" s="4"/>
      <c r="JFI227" s="4"/>
      <c r="JFK227" s="4"/>
      <c r="JFM227" s="4"/>
      <c r="JFO227" s="4"/>
      <c r="JFQ227" s="4"/>
      <c r="JFS227" s="4"/>
      <c r="JFU227" s="4"/>
      <c r="JFW227" s="4"/>
      <c r="JFY227" s="4"/>
      <c r="JGA227" s="4"/>
      <c r="JGC227" s="4"/>
      <c r="JGE227" s="4"/>
      <c r="JGG227" s="4"/>
      <c r="JGI227" s="4"/>
      <c r="JGK227" s="4"/>
      <c r="JGM227" s="4"/>
      <c r="JGO227" s="4"/>
      <c r="JGQ227" s="4"/>
      <c r="JGS227" s="4"/>
      <c r="JGU227" s="4"/>
      <c r="JGW227" s="4"/>
      <c r="JGY227" s="4"/>
      <c r="JHA227" s="4"/>
      <c r="JHC227" s="4"/>
      <c r="JHE227" s="4"/>
      <c r="JHG227" s="4"/>
      <c r="JHI227" s="4"/>
      <c r="JHK227" s="4"/>
      <c r="JHM227" s="4"/>
      <c r="JHO227" s="4"/>
      <c r="JHQ227" s="4"/>
      <c r="JHS227" s="4"/>
      <c r="JHU227" s="4"/>
      <c r="JHW227" s="4"/>
      <c r="JHY227" s="4"/>
      <c r="JIA227" s="4"/>
      <c r="JIC227" s="4"/>
      <c r="JIE227" s="4"/>
      <c r="JIG227" s="4"/>
      <c r="JII227" s="4"/>
      <c r="JIK227" s="4"/>
      <c r="JIM227" s="4"/>
      <c r="JIO227" s="4"/>
      <c r="JIQ227" s="4"/>
      <c r="JIS227" s="4"/>
      <c r="JIU227" s="4"/>
      <c r="JIW227" s="4"/>
      <c r="JIY227" s="4"/>
      <c r="JJA227" s="4"/>
      <c r="JJC227" s="4"/>
      <c r="JJE227" s="4"/>
      <c r="JJG227" s="4"/>
      <c r="JJI227" s="4"/>
      <c r="JJK227" s="4"/>
      <c r="JJM227" s="4"/>
      <c r="JJO227" s="4"/>
      <c r="JJQ227" s="4"/>
      <c r="JJS227" s="4"/>
      <c r="JJU227" s="4"/>
      <c r="JJW227" s="4"/>
      <c r="JJY227" s="4"/>
      <c r="JKA227" s="4"/>
      <c r="JKC227" s="4"/>
      <c r="JKE227" s="4"/>
      <c r="JKG227" s="4"/>
      <c r="JKI227" s="4"/>
      <c r="JKK227" s="4"/>
      <c r="JKM227" s="4"/>
      <c r="JKO227" s="4"/>
      <c r="JKQ227" s="4"/>
      <c r="JKS227" s="4"/>
      <c r="JKU227" s="4"/>
      <c r="JKW227" s="4"/>
      <c r="JKY227" s="4"/>
      <c r="JLA227" s="4"/>
      <c r="JLC227" s="4"/>
      <c r="JLE227" s="4"/>
      <c r="JLG227" s="4"/>
      <c r="JLI227" s="4"/>
      <c r="JLK227" s="4"/>
      <c r="JLM227" s="4"/>
      <c r="JLO227" s="4"/>
      <c r="JLQ227" s="4"/>
      <c r="JLS227" s="4"/>
      <c r="JLU227" s="4"/>
      <c r="JLW227" s="4"/>
      <c r="JLY227" s="4"/>
      <c r="JMA227" s="4"/>
      <c r="JMC227" s="4"/>
      <c r="JME227" s="4"/>
      <c r="JMG227" s="4"/>
      <c r="JMI227" s="4"/>
      <c r="JMK227" s="4"/>
      <c r="JMM227" s="4"/>
      <c r="JMO227" s="4"/>
      <c r="JMQ227" s="4"/>
      <c r="JMS227" s="4"/>
      <c r="JMU227" s="4"/>
      <c r="JMW227" s="4"/>
      <c r="JMY227" s="4"/>
      <c r="JNA227" s="4"/>
      <c r="JNC227" s="4"/>
      <c r="JNE227" s="4"/>
      <c r="JNG227" s="4"/>
      <c r="JNI227" s="4"/>
      <c r="JNK227" s="4"/>
      <c r="JNM227" s="4"/>
      <c r="JNO227" s="4"/>
      <c r="JNQ227" s="4"/>
      <c r="JNS227" s="4"/>
      <c r="JNU227" s="4"/>
      <c r="JNW227" s="4"/>
      <c r="JNY227" s="4"/>
      <c r="JOA227" s="4"/>
      <c r="JOC227" s="4"/>
      <c r="JOE227" s="4"/>
      <c r="JOG227" s="4"/>
      <c r="JOI227" s="4"/>
      <c r="JOK227" s="4"/>
      <c r="JOM227" s="4"/>
      <c r="JOO227" s="4"/>
      <c r="JOQ227" s="4"/>
      <c r="JOS227" s="4"/>
      <c r="JOU227" s="4"/>
      <c r="JOW227" s="4"/>
      <c r="JOY227" s="4"/>
      <c r="JPA227" s="4"/>
      <c r="JPC227" s="4"/>
      <c r="JPE227" s="4"/>
      <c r="JPG227" s="4"/>
      <c r="JPI227" s="4"/>
      <c r="JPK227" s="4"/>
      <c r="JPM227" s="4"/>
      <c r="JPO227" s="4"/>
      <c r="JPQ227" s="4"/>
      <c r="JPS227" s="4"/>
      <c r="JPU227" s="4"/>
      <c r="JPW227" s="4"/>
      <c r="JPY227" s="4"/>
      <c r="JQA227" s="4"/>
      <c r="JQC227" s="4"/>
      <c r="JQE227" s="4"/>
      <c r="JQG227" s="4"/>
      <c r="JQI227" s="4"/>
      <c r="JQK227" s="4"/>
      <c r="JQM227" s="4"/>
      <c r="JQO227" s="4"/>
      <c r="JQQ227" s="4"/>
      <c r="JQS227" s="4"/>
      <c r="JQU227" s="4"/>
      <c r="JQW227" s="4"/>
      <c r="JQY227" s="4"/>
      <c r="JRA227" s="4"/>
      <c r="JRC227" s="4"/>
      <c r="JRE227" s="4"/>
      <c r="JRG227" s="4"/>
      <c r="JRI227" s="4"/>
      <c r="JRK227" s="4"/>
      <c r="JRM227" s="4"/>
      <c r="JRO227" s="4"/>
      <c r="JRQ227" s="4"/>
      <c r="JRS227" s="4"/>
      <c r="JRU227" s="4"/>
      <c r="JRW227" s="4"/>
      <c r="JRY227" s="4"/>
      <c r="JSA227" s="4"/>
      <c r="JSC227" s="4"/>
      <c r="JSE227" s="4"/>
      <c r="JSG227" s="4"/>
      <c r="JSI227" s="4"/>
      <c r="JSK227" s="4"/>
      <c r="JSM227" s="4"/>
      <c r="JSO227" s="4"/>
      <c r="JSQ227" s="4"/>
      <c r="JSS227" s="4"/>
      <c r="JSU227" s="4"/>
      <c r="JSW227" s="4"/>
      <c r="JSY227" s="4"/>
      <c r="JTA227" s="4"/>
      <c r="JTC227" s="4"/>
      <c r="JTE227" s="4"/>
      <c r="JTG227" s="4"/>
      <c r="JTI227" s="4"/>
      <c r="JTK227" s="4"/>
      <c r="JTM227" s="4"/>
      <c r="JTO227" s="4"/>
      <c r="JTQ227" s="4"/>
      <c r="JTS227" s="4"/>
      <c r="JTU227" s="4"/>
      <c r="JTW227" s="4"/>
      <c r="JTY227" s="4"/>
      <c r="JUA227" s="4"/>
      <c r="JUC227" s="4"/>
      <c r="JUE227" s="4"/>
      <c r="JUG227" s="4"/>
      <c r="JUI227" s="4"/>
      <c r="JUK227" s="4"/>
      <c r="JUM227" s="4"/>
      <c r="JUO227" s="4"/>
      <c r="JUQ227" s="4"/>
      <c r="JUS227" s="4"/>
      <c r="JUU227" s="4"/>
      <c r="JUW227" s="4"/>
      <c r="JUY227" s="4"/>
      <c r="JVA227" s="4"/>
      <c r="JVC227" s="4"/>
      <c r="JVE227" s="4"/>
      <c r="JVG227" s="4"/>
      <c r="JVI227" s="4"/>
      <c r="JVK227" s="4"/>
      <c r="JVM227" s="4"/>
      <c r="JVO227" s="4"/>
      <c r="JVQ227" s="4"/>
      <c r="JVS227" s="4"/>
      <c r="JVU227" s="4"/>
      <c r="JVW227" s="4"/>
      <c r="JVY227" s="4"/>
      <c r="JWA227" s="4"/>
      <c r="JWC227" s="4"/>
      <c r="JWE227" s="4"/>
      <c r="JWG227" s="4"/>
      <c r="JWI227" s="4"/>
      <c r="JWK227" s="4"/>
      <c r="JWM227" s="4"/>
      <c r="JWO227" s="4"/>
      <c r="JWQ227" s="4"/>
      <c r="JWS227" s="4"/>
      <c r="JWU227" s="4"/>
      <c r="JWW227" s="4"/>
      <c r="JWY227" s="4"/>
      <c r="JXA227" s="4"/>
      <c r="JXC227" s="4"/>
      <c r="JXE227" s="4"/>
      <c r="JXG227" s="4"/>
      <c r="JXI227" s="4"/>
      <c r="JXK227" s="4"/>
      <c r="JXM227" s="4"/>
      <c r="JXO227" s="4"/>
      <c r="JXQ227" s="4"/>
      <c r="JXS227" s="4"/>
      <c r="JXU227" s="4"/>
      <c r="JXW227" s="4"/>
      <c r="JXY227" s="4"/>
      <c r="JYA227" s="4"/>
      <c r="JYC227" s="4"/>
      <c r="JYE227" s="4"/>
      <c r="JYG227" s="4"/>
      <c r="JYI227" s="4"/>
      <c r="JYK227" s="4"/>
      <c r="JYM227" s="4"/>
      <c r="JYO227" s="4"/>
      <c r="JYQ227" s="4"/>
      <c r="JYS227" s="4"/>
      <c r="JYU227" s="4"/>
      <c r="JYW227" s="4"/>
      <c r="JYY227" s="4"/>
      <c r="JZA227" s="4"/>
      <c r="JZC227" s="4"/>
      <c r="JZE227" s="4"/>
      <c r="JZG227" s="4"/>
      <c r="JZI227" s="4"/>
      <c r="JZK227" s="4"/>
      <c r="JZM227" s="4"/>
      <c r="JZO227" s="4"/>
      <c r="JZQ227" s="4"/>
      <c r="JZS227" s="4"/>
      <c r="JZU227" s="4"/>
      <c r="JZW227" s="4"/>
      <c r="JZY227" s="4"/>
      <c r="KAA227" s="4"/>
      <c r="KAC227" s="4"/>
      <c r="KAE227" s="4"/>
      <c r="KAG227" s="4"/>
      <c r="KAI227" s="4"/>
      <c r="KAK227" s="4"/>
      <c r="KAM227" s="4"/>
      <c r="KAO227" s="4"/>
      <c r="KAQ227" s="4"/>
      <c r="KAS227" s="4"/>
      <c r="KAU227" s="4"/>
      <c r="KAW227" s="4"/>
      <c r="KAY227" s="4"/>
      <c r="KBA227" s="4"/>
      <c r="KBC227" s="4"/>
      <c r="KBE227" s="4"/>
      <c r="KBG227" s="4"/>
      <c r="KBI227" s="4"/>
      <c r="KBK227" s="4"/>
      <c r="KBM227" s="4"/>
      <c r="KBO227" s="4"/>
      <c r="KBQ227" s="4"/>
      <c r="KBS227" s="4"/>
      <c r="KBU227" s="4"/>
      <c r="KBW227" s="4"/>
      <c r="KBY227" s="4"/>
      <c r="KCA227" s="4"/>
      <c r="KCC227" s="4"/>
      <c r="KCE227" s="4"/>
      <c r="KCG227" s="4"/>
      <c r="KCI227" s="4"/>
      <c r="KCK227" s="4"/>
      <c r="KCM227" s="4"/>
      <c r="KCO227" s="4"/>
      <c r="KCQ227" s="4"/>
      <c r="KCS227" s="4"/>
      <c r="KCU227" s="4"/>
      <c r="KCW227" s="4"/>
      <c r="KCY227" s="4"/>
      <c r="KDA227" s="4"/>
      <c r="KDC227" s="4"/>
      <c r="KDE227" s="4"/>
      <c r="KDG227" s="4"/>
      <c r="KDI227" s="4"/>
      <c r="KDK227" s="4"/>
      <c r="KDM227" s="4"/>
      <c r="KDO227" s="4"/>
      <c r="KDQ227" s="4"/>
      <c r="KDS227" s="4"/>
      <c r="KDU227" s="4"/>
      <c r="KDW227" s="4"/>
      <c r="KDY227" s="4"/>
      <c r="KEA227" s="4"/>
      <c r="KEC227" s="4"/>
      <c r="KEE227" s="4"/>
      <c r="KEG227" s="4"/>
      <c r="KEI227" s="4"/>
      <c r="KEK227" s="4"/>
      <c r="KEM227" s="4"/>
      <c r="KEO227" s="4"/>
      <c r="KEQ227" s="4"/>
      <c r="KES227" s="4"/>
      <c r="KEU227" s="4"/>
      <c r="KEW227" s="4"/>
      <c r="KEY227" s="4"/>
      <c r="KFA227" s="4"/>
      <c r="KFC227" s="4"/>
      <c r="KFE227" s="4"/>
      <c r="KFG227" s="4"/>
      <c r="KFI227" s="4"/>
      <c r="KFK227" s="4"/>
      <c r="KFM227" s="4"/>
      <c r="KFO227" s="4"/>
      <c r="KFQ227" s="4"/>
      <c r="KFS227" s="4"/>
      <c r="KFU227" s="4"/>
      <c r="KFW227" s="4"/>
      <c r="KFY227" s="4"/>
      <c r="KGA227" s="4"/>
      <c r="KGC227" s="4"/>
      <c r="KGE227" s="4"/>
      <c r="KGG227" s="4"/>
      <c r="KGI227" s="4"/>
      <c r="KGK227" s="4"/>
      <c r="KGM227" s="4"/>
      <c r="KGO227" s="4"/>
      <c r="KGQ227" s="4"/>
      <c r="KGS227" s="4"/>
      <c r="KGU227" s="4"/>
      <c r="KGW227" s="4"/>
      <c r="KGY227" s="4"/>
      <c r="KHA227" s="4"/>
      <c r="KHC227" s="4"/>
      <c r="KHE227" s="4"/>
      <c r="KHG227" s="4"/>
      <c r="KHI227" s="4"/>
      <c r="KHK227" s="4"/>
      <c r="KHM227" s="4"/>
      <c r="KHO227" s="4"/>
      <c r="KHQ227" s="4"/>
      <c r="KHS227" s="4"/>
      <c r="KHU227" s="4"/>
      <c r="KHW227" s="4"/>
      <c r="KHY227" s="4"/>
      <c r="KIA227" s="4"/>
      <c r="KIC227" s="4"/>
      <c r="KIE227" s="4"/>
      <c r="KIG227" s="4"/>
      <c r="KII227" s="4"/>
      <c r="KIK227" s="4"/>
      <c r="KIM227" s="4"/>
      <c r="KIO227" s="4"/>
      <c r="KIQ227" s="4"/>
      <c r="KIS227" s="4"/>
      <c r="KIU227" s="4"/>
      <c r="KIW227" s="4"/>
      <c r="KIY227" s="4"/>
      <c r="KJA227" s="4"/>
      <c r="KJC227" s="4"/>
      <c r="KJE227" s="4"/>
      <c r="KJG227" s="4"/>
      <c r="KJI227" s="4"/>
      <c r="KJK227" s="4"/>
      <c r="KJM227" s="4"/>
      <c r="KJO227" s="4"/>
      <c r="KJQ227" s="4"/>
      <c r="KJS227" s="4"/>
      <c r="KJU227" s="4"/>
      <c r="KJW227" s="4"/>
      <c r="KJY227" s="4"/>
      <c r="KKA227" s="4"/>
      <c r="KKC227" s="4"/>
      <c r="KKE227" s="4"/>
      <c r="KKG227" s="4"/>
      <c r="KKI227" s="4"/>
      <c r="KKK227" s="4"/>
      <c r="KKM227" s="4"/>
      <c r="KKO227" s="4"/>
      <c r="KKQ227" s="4"/>
      <c r="KKS227" s="4"/>
      <c r="KKU227" s="4"/>
      <c r="KKW227" s="4"/>
      <c r="KKY227" s="4"/>
      <c r="KLA227" s="4"/>
      <c r="KLC227" s="4"/>
      <c r="KLE227" s="4"/>
      <c r="KLG227" s="4"/>
      <c r="KLI227" s="4"/>
      <c r="KLK227" s="4"/>
      <c r="KLM227" s="4"/>
      <c r="KLO227" s="4"/>
      <c r="KLQ227" s="4"/>
      <c r="KLS227" s="4"/>
      <c r="KLU227" s="4"/>
      <c r="KLW227" s="4"/>
      <c r="KLY227" s="4"/>
      <c r="KMA227" s="4"/>
      <c r="KMC227" s="4"/>
      <c r="KME227" s="4"/>
      <c r="KMG227" s="4"/>
      <c r="KMI227" s="4"/>
      <c r="KMK227" s="4"/>
      <c r="KMM227" s="4"/>
      <c r="KMO227" s="4"/>
      <c r="KMQ227" s="4"/>
      <c r="KMS227" s="4"/>
      <c r="KMU227" s="4"/>
      <c r="KMW227" s="4"/>
      <c r="KMY227" s="4"/>
      <c r="KNA227" s="4"/>
      <c r="KNC227" s="4"/>
      <c r="KNE227" s="4"/>
      <c r="KNG227" s="4"/>
      <c r="KNI227" s="4"/>
      <c r="KNK227" s="4"/>
      <c r="KNM227" s="4"/>
      <c r="KNO227" s="4"/>
      <c r="KNQ227" s="4"/>
      <c r="KNS227" s="4"/>
      <c r="KNU227" s="4"/>
      <c r="KNW227" s="4"/>
      <c r="KNY227" s="4"/>
      <c r="KOA227" s="4"/>
      <c r="KOC227" s="4"/>
      <c r="KOE227" s="4"/>
      <c r="KOG227" s="4"/>
      <c r="KOI227" s="4"/>
      <c r="KOK227" s="4"/>
      <c r="KOM227" s="4"/>
      <c r="KOO227" s="4"/>
      <c r="KOQ227" s="4"/>
      <c r="KOS227" s="4"/>
      <c r="KOU227" s="4"/>
      <c r="KOW227" s="4"/>
      <c r="KOY227" s="4"/>
      <c r="KPA227" s="4"/>
      <c r="KPC227" s="4"/>
      <c r="KPE227" s="4"/>
      <c r="KPG227" s="4"/>
      <c r="KPI227" s="4"/>
      <c r="KPK227" s="4"/>
      <c r="KPM227" s="4"/>
      <c r="KPO227" s="4"/>
      <c r="KPQ227" s="4"/>
      <c r="KPS227" s="4"/>
      <c r="KPU227" s="4"/>
      <c r="KPW227" s="4"/>
      <c r="KPY227" s="4"/>
      <c r="KQA227" s="4"/>
      <c r="KQC227" s="4"/>
      <c r="KQE227" s="4"/>
      <c r="KQG227" s="4"/>
      <c r="KQI227" s="4"/>
      <c r="KQK227" s="4"/>
      <c r="KQM227" s="4"/>
      <c r="KQO227" s="4"/>
      <c r="KQQ227" s="4"/>
      <c r="KQS227" s="4"/>
      <c r="KQU227" s="4"/>
      <c r="KQW227" s="4"/>
      <c r="KQY227" s="4"/>
      <c r="KRA227" s="4"/>
      <c r="KRC227" s="4"/>
      <c r="KRE227" s="4"/>
      <c r="KRG227" s="4"/>
      <c r="KRI227" s="4"/>
      <c r="KRK227" s="4"/>
      <c r="KRM227" s="4"/>
      <c r="KRO227" s="4"/>
      <c r="KRQ227" s="4"/>
      <c r="KRS227" s="4"/>
      <c r="KRU227" s="4"/>
      <c r="KRW227" s="4"/>
      <c r="KRY227" s="4"/>
      <c r="KSA227" s="4"/>
      <c r="KSC227" s="4"/>
      <c r="KSE227" s="4"/>
      <c r="KSG227" s="4"/>
      <c r="KSI227" s="4"/>
      <c r="KSK227" s="4"/>
      <c r="KSM227" s="4"/>
      <c r="KSO227" s="4"/>
      <c r="KSQ227" s="4"/>
      <c r="KSS227" s="4"/>
      <c r="KSU227" s="4"/>
      <c r="KSW227" s="4"/>
      <c r="KSY227" s="4"/>
      <c r="KTA227" s="4"/>
      <c r="KTC227" s="4"/>
      <c r="KTE227" s="4"/>
      <c r="KTG227" s="4"/>
      <c r="KTI227" s="4"/>
      <c r="KTK227" s="4"/>
      <c r="KTM227" s="4"/>
      <c r="KTO227" s="4"/>
      <c r="KTQ227" s="4"/>
      <c r="KTS227" s="4"/>
      <c r="KTU227" s="4"/>
      <c r="KTW227" s="4"/>
      <c r="KTY227" s="4"/>
      <c r="KUA227" s="4"/>
      <c r="KUC227" s="4"/>
      <c r="KUE227" s="4"/>
      <c r="KUG227" s="4"/>
      <c r="KUI227" s="4"/>
      <c r="KUK227" s="4"/>
      <c r="KUM227" s="4"/>
      <c r="KUO227" s="4"/>
      <c r="KUQ227" s="4"/>
      <c r="KUS227" s="4"/>
      <c r="KUU227" s="4"/>
      <c r="KUW227" s="4"/>
      <c r="KUY227" s="4"/>
      <c r="KVA227" s="4"/>
      <c r="KVC227" s="4"/>
      <c r="KVE227" s="4"/>
      <c r="KVG227" s="4"/>
      <c r="KVI227" s="4"/>
      <c r="KVK227" s="4"/>
      <c r="KVM227" s="4"/>
      <c r="KVO227" s="4"/>
      <c r="KVQ227" s="4"/>
      <c r="KVS227" s="4"/>
      <c r="KVU227" s="4"/>
      <c r="KVW227" s="4"/>
      <c r="KVY227" s="4"/>
      <c r="KWA227" s="4"/>
      <c r="KWC227" s="4"/>
      <c r="KWE227" s="4"/>
      <c r="KWG227" s="4"/>
      <c r="KWI227" s="4"/>
      <c r="KWK227" s="4"/>
      <c r="KWM227" s="4"/>
      <c r="KWO227" s="4"/>
      <c r="KWQ227" s="4"/>
      <c r="KWS227" s="4"/>
      <c r="KWU227" s="4"/>
      <c r="KWW227" s="4"/>
      <c r="KWY227" s="4"/>
      <c r="KXA227" s="4"/>
      <c r="KXC227" s="4"/>
      <c r="KXE227" s="4"/>
      <c r="KXG227" s="4"/>
      <c r="KXI227" s="4"/>
      <c r="KXK227" s="4"/>
      <c r="KXM227" s="4"/>
      <c r="KXO227" s="4"/>
      <c r="KXQ227" s="4"/>
      <c r="KXS227" s="4"/>
      <c r="KXU227" s="4"/>
      <c r="KXW227" s="4"/>
      <c r="KXY227" s="4"/>
      <c r="KYA227" s="4"/>
      <c r="KYC227" s="4"/>
      <c r="KYE227" s="4"/>
      <c r="KYG227" s="4"/>
      <c r="KYI227" s="4"/>
      <c r="KYK227" s="4"/>
      <c r="KYM227" s="4"/>
      <c r="KYO227" s="4"/>
      <c r="KYQ227" s="4"/>
      <c r="KYS227" s="4"/>
      <c r="KYU227" s="4"/>
      <c r="KYW227" s="4"/>
      <c r="KYY227" s="4"/>
      <c r="KZA227" s="4"/>
      <c r="KZC227" s="4"/>
      <c r="KZE227" s="4"/>
      <c r="KZG227" s="4"/>
      <c r="KZI227" s="4"/>
      <c r="KZK227" s="4"/>
      <c r="KZM227" s="4"/>
      <c r="KZO227" s="4"/>
      <c r="KZQ227" s="4"/>
      <c r="KZS227" s="4"/>
      <c r="KZU227" s="4"/>
      <c r="KZW227" s="4"/>
      <c r="KZY227" s="4"/>
      <c r="LAA227" s="4"/>
      <c r="LAC227" s="4"/>
      <c r="LAE227" s="4"/>
      <c r="LAG227" s="4"/>
      <c r="LAI227" s="4"/>
      <c r="LAK227" s="4"/>
      <c r="LAM227" s="4"/>
      <c r="LAO227" s="4"/>
      <c r="LAQ227" s="4"/>
      <c r="LAS227" s="4"/>
      <c r="LAU227" s="4"/>
      <c r="LAW227" s="4"/>
      <c r="LAY227" s="4"/>
      <c r="LBA227" s="4"/>
      <c r="LBC227" s="4"/>
      <c r="LBE227" s="4"/>
      <c r="LBG227" s="4"/>
      <c r="LBI227" s="4"/>
      <c r="LBK227" s="4"/>
      <c r="LBM227" s="4"/>
      <c r="LBO227" s="4"/>
      <c r="LBQ227" s="4"/>
      <c r="LBS227" s="4"/>
      <c r="LBU227" s="4"/>
      <c r="LBW227" s="4"/>
      <c r="LBY227" s="4"/>
      <c r="LCA227" s="4"/>
      <c r="LCC227" s="4"/>
      <c r="LCE227" s="4"/>
      <c r="LCG227" s="4"/>
      <c r="LCI227" s="4"/>
      <c r="LCK227" s="4"/>
      <c r="LCM227" s="4"/>
      <c r="LCO227" s="4"/>
      <c r="LCQ227" s="4"/>
      <c r="LCS227" s="4"/>
      <c r="LCU227" s="4"/>
      <c r="LCW227" s="4"/>
      <c r="LCY227" s="4"/>
      <c r="LDA227" s="4"/>
      <c r="LDC227" s="4"/>
      <c r="LDE227" s="4"/>
      <c r="LDG227" s="4"/>
      <c r="LDI227" s="4"/>
      <c r="LDK227" s="4"/>
      <c r="LDM227" s="4"/>
      <c r="LDO227" s="4"/>
      <c r="LDQ227" s="4"/>
      <c r="LDS227" s="4"/>
      <c r="LDU227" s="4"/>
      <c r="LDW227" s="4"/>
      <c r="LDY227" s="4"/>
      <c r="LEA227" s="4"/>
      <c r="LEC227" s="4"/>
      <c r="LEE227" s="4"/>
      <c r="LEG227" s="4"/>
      <c r="LEI227" s="4"/>
      <c r="LEK227" s="4"/>
      <c r="LEM227" s="4"/>
      <c r="LEO227" s="4"/>
      <c r="LEQ227" s="4"/>
      <c r="LES227" s="4"/>
      <c r="LEU227" s="4"/>
      <c r="LEW227" s="4"/>
      <c r="LEY227" s="4"/>
      <c r="LFA227" s="4"/>
      <c r="LFC227" s="4"/>
      <c r="LFE227" s="4"/>
      <c r="LFG227" s="4"/>
      <c r="LFI227" s="4"/>
      <c r="LFK227" s="4"/>
      <c r="LFM227" s="4"/>
      <c r="LFO227" s="4"/>
      <c r="LFQ227" s="4"/>
      <c r="LFS227" s="4"/>
      <c r="LFU227" s="4"/>
      <c r="LFW227" s="4"/>
      <c r="LFY227" s="4"/>
      <c r="LGA227" s="4"/>
      <c r="LGC227" s="4"/>
      <c r="LGE227" s="4"/>
      <c r="LGG227" s="4"/>
      <c r="LGI227" s="4"/>
      <c r="LGK227" s="4"/>
      <c r="LGM227" s="4"/>
      <c r="LGO227" s="4"/>
      <c r="LGQ227" s="4"/>
      <c r="LGS227" s="4"/>
      <c r="LGU227" s="4"/>
      <c r="LGW227" s="4"/>
      <c r="LGY227" s="4"/>
      <c r="LHA227" s="4"/>
      <c r="LHC227" s="4"/>
      <c r="LHE227" s="4"/>
      <c r="LHG227" s="4"/>
      <c r="LHI227" s="4"/>
      <c r="LHK227" s="4"/>
      <c r="LHM227" s="4"/>
      <c r="LHO227" s="4"/>
      <c r="LHQ227" s="4"/>
      <c r="LHS227" s="4"/>
      <c r="LHU227" s="4"/>
      <c r="LHW227" s="4"/>
      <c r="LHY227" s="4"/>
      <c r="LIA227" s="4"/>
      <c r="LIC227" s="4"/>
      <c r="LIE227" s="4"/>
      <c r="LIG227" s="4"/>
      <c r="LII227" s="4"/>
      <c r="LIK227" s="4"/>
      <c r="LIM227" s="4"/>
      <c r="LIO227" s="4"/>
      <c r="LIQ227" s="4"/>
      <c r="LIS227" s="4"/>
      <c r="LIU227" s="4"/>
      <c r="LIW227" s="4"/>
      <c r="LIY227" s="4"/>
      <c r="LJA227" s="4"/>
      <c r="LJC227" s="4"/>
      <c r="LJE227" s="4"/>
      <c r="LJG227" s="4"/>
      <c r="LJI227" s="4"/>
      <c r="LJK227" s="4"/>
      <c r="LJM227" s="4"/>
      <c r="LJO227" s="4"/>
      <c r="LJQ227" s="4"/>
      <c r="LJS227" s="4"/>
      <c r="LJU227" s="4"/>
      <c r="LJW227" s="4"/>
      <c r="LJY227" s="4"/>
      <c r="LKA227" s="4"/>
      <c r="LKC227" s="4"/>
      <c r="LKE227" s="4"/>
      <c r="LKG227" s="4"/>
      <c r="LKI227" s="4"/>
      <c r="LKK227" s="4"/>
      <c r="LKM227" s="4"/>
      <c r="LKO227" s="4"/>
      <c r="LKQ227" s="4"/>
      <c r="LKS227" s="4"/>
      <c r="LKU227" s="4"/>
      <c r="LKW227" s="4"/>
      <c r="LKY227" s="4"/>
      <c r="LLA227" s="4"/>
      <c r="LLC227" s="4"/>
      <c r="LLE227" s="4"/>
      <c r="LLG227" s="4"/>
      <c r="LLI227" s="4"/>
      <c r="LLK227" s="4"/>
      <c r="LLM227" s="4"/>
      <c r="LLO227" s="4"/>
      <c r="LLQ227" s="4"/>
      <c r="LLS227" s="4"/>
      <c r="LLU227" s="4"/>
      <c r="LLW227" s="4"/>
      <c r="LLY227" s="4"/>
      <c r="LMA227" s="4"/>
      <c r="LMC227" s="4"/>
      <c r="LME227" s="4"/>
      <c r="LMG227" s="4"/>
      <c r="LMI227" s="4"/>
      <c r="LMK227" s="4"/>
      <c r="LMM227" s="4"/>
      <c r="LMO227" s="4"/>
      <c r="LMQ227" s="4"/>
      <c r="LMS227" s="4"/>
      <c r="LMU227" s="4"/>
      <c r="LMW227" s="4"/>
      <c r="LMY227" s="4"/>
      <c r="LNA227" s="4"/>
      <c r="LNC227" s="4"/>
      <c r="LNE227" s="4"/>
      <c r="LNG227" s="4"/>
      <c r="LNI227" s="4"/>
      <c r="LNK227" s="4"/>
      <c r="LNM227" s="4"/>
      <c r="LNO227" s="4"/>
      <c r="LNQ227" s="4"/>
      <c r="LNS227" s="4"/>
      <c r="LNU227" s="4"/>
      <c r="LNW227" s="4"/>
      <c r="LNY227" s="4"/>
      <c r="LOA227" s="4"/>
      <c r="LOC227" s="4"/>
      <c r="LOE227" s="4"/>
      <c r="LOG227" s="4"/>
      <c r="LOI227" s="4"/>
      <c r="LOK227" s="4"/>
      <c r="LOM227" s="4"/>
      <c r="LOO227" s="4"/>
      <c r="LOQ227" s="4"/>
      <c r="LOS227" s="4"/>
      <c r="LOU227" s="4"/>
      <c r="LOW227" s="4"/>
      <c r="LOY227" s="4"/>
      <c r="LPA227" s="4"/>
      <c r="LPC227" s="4"/>
      <c r="LPE227" s="4"/>
      <c r="LPG227" s="4"/>
      <c r="LPI227" s="4"/>
      <c r="LPK227" s="4"/>
      <c r="LPM227" s="4"/>
      <c r="LPO227" s="4"/>
      <c r="LPQ227" s="4"/>
      <c r="LPS227" s="4"/>
      <c r="LPU227" s="4"/>
      <c r="LPW227" s="4"/>
      <c r="LPY227" s="4"/>
      <c r="LQA227" s="4"/>
      <c r="LQC227" s="4"/>
      <c r="LQE227" s="4"/>
      <c r="LQG227" s="4"/>
      <c r="LQI227" s="4"/>
      <c r="LQK227" s="4"/>
      <c r="LQM227" s="4"/>
      <c r="LQO227" s="4"/>
      <c r="LQQ227" s="4"/>
      <c r="LQS227" s="4"/>
      <c r="LQU227" s="4"/>
      <c r="LQW227" s="4"/>
      <c r="LQY227" s="4"/>
      <c r="LRA227" s="4"/>
      <c r="LRC227" s="4"/>
      <c r="LRE227" s="4"/>
      <c r="LRG227" s="4"/>
      <c r="LRI227" s="4"/>
      <c r="LRK227" s="4"/>
      <c r="LRM227" s="4"/>
      <c r="LRO227" s="4"/>
      <c r="LRQ227" s="4"/>
      <c r="LRS227" s="4"/>
      <c r="LRU227" s="4"/>
      <c r="LRW227" s="4"/>
      <c r="LRY227" s="4"/>
      <c r="LSA227" s="4"/>
      <c r="LSC227" s="4"/>
      <c r="LSE227" s="4"/>
      <c r="LSG227" s="4"/>
      <c r="LSI227" s="4"/>
      <c r="LSK227" s="4"/>
      <c r="LSM227" s="4"/>
      <c r="LSO227" s="4"/>
      <c r="LSQ227" s="4"/>
      <c r="LSS227" s="4"/>
      <c r="LSU227" s="4"/>
      <c r="LSW227" s="4"/>
      <c r="LSY227" s="4"/>
      <c r="LTA227" s="4"/>
      <c r="LTC227" s="4"/>
      <c r="LTE227" s="4"/>
      <c r="LTG227" s="4"/>
      <c r="LTI227" s="4"/>
      <c r="LTK227" s="4"/>
      <c r="LTM227" s="4"/>
      <c r="LTO227" s="4"/>
      <c r="LTQ227" s="4"/>
      <c r="LTS227" s="4"/>
      <c r="LTU227" s="4"/>
      <c r="LTW227" s="4"/>
      <c r="LTY227" s="4"/>
      <c r="LUA227" s="4"/>
      <c r="LUC227" s="4"/>
      <c r="LUE227" s="4"/>
      <c r="LUG227" s="4"/>
      <c r="LUI227" s="4"/>
      <c r="LUK227" s="4"/>
      <c r="LUM227" s="4"/>
      <c r="LUO227" s="4"/>
      <c r="LUQ227" s="4"/>
      <c r="LUS227" s="4"/>
      <c r="LUU227" s="4"/>
      <c r="LUW227" s="4"/>
      <c r="LUY227" s="4"/>
      <c r="LVA227" s="4"/>
      <c r="LVC227" s="4"/>
      <c r="LVE227" s="4"/>
      <c r="LVG227" s="4"/>
      <c r="LVI227" s="4"/>
      <c r="LVK227" s="4"/>
      <c r="LVM227" s="4"/>
      <c r="LVO227" s="4"/>
      <c r="LVQ227" s="4"/>
      <c r="LVS227" s="4"/>
      <c r="LVU227" s="4"/>
      <c r="LVW227" s="4"/>
      <c r="LVY227" s="4"/>
      <c r="LWA227" s="4"/>
      <c r="LWC227" s="4"/>
      <c r="LWE227" s="4"/>
      <c r="LWG227" s="4"/>
      <c r="LWI227" s="4"/>
      <c r="LWK227" s="4"/>
      <c r="LWM227" s="4"/>
      <c r="LWO227" s="4"/>
      <c r="LWQ227" s="4"/>
      <c r="LWS227" s="4"/>
      <c r="LWU227" s="4"/>
      <c r="LWW227" s="4"/>
      <c r="LWY227" s="4"/>
      <c r="LXA227" s="4"/>
      <c r="LXC227" s="4"/>
      <c r="LXE227" s="4"/>
      <c r="LXG227" s="4"/>
      <c r="LXI227" s="4"/>
      <c r="LXK227" s="4"/>
      <c r="LXM227" s="4"/>
      <c r="LXO227" s="4"/>
      <c r="LXQ227" s="4"/>
      <c r="LXS227" s="4"/>
      <c r="LXU227" s="4"/>
      <c r="LXW227" s="4"/>
      <c r="LXY227" s="4"/>
      <c r="LYA227" s="4"/>
      <c r="LYC227" s="4"/>
      <c r="LYE227" s="4"/>
      <c r="LYG227" s="4"/>
      <c r="LYI227" s="4"/>
      <c r="LYK227" s="4"/>
      <c r="LYM227" s="4"/>
      <c r="LYO227" s="4"/>
      <c r="LYQ227" s="4"/>
      <c r="LYS227" s="4"/>
      <c r="LYU227" s="4"/>
      <c r="LYW227" s="4"/>
      <c r="LYY227" s="4"/>
      <c r="LZA227" s="4"/>
      <c r="LZC227" s="4"/>
      <c r="LZE227" s="4"/>
      <c r="LZG227" s="4"/>
      <c r="LZI227" s="4"/>
      <c r="LZK227" s="4"/>
      <c r="LZM227" s="4"/>
      <c r="LZO227" s="4"/>
      <c r="LZQ227" s="4"/>
      <c r="LZS227" s="4"/>
      <c r="LZU227" s="4"/>
      <c r="LZW227" s="4"/>
      <c r="LZY227" s="4"/>
      <c r="MAA227" s="4"/>
      <c r="MAC227" s="4"/>
      <c r="MAE227" s="4"/>
      <c r="MAG227" s="4"/>
      <c r="MAI227" s="4"/>
      <c r="MAK227" s="4"/>
      <c r="MAM227" s="4"/>
      <c r="MAO227" s="4"/>
      <c r="MAQ227" s="4"/>
      <c r="MAS227" s="4"/>
      <c r="MAU227" s="4"/>
      <c r="MAW227" s="4"/>
      <c r="MAY227" s="4"/>
      <c r="MBA227" s="4"/>
      <c r="MBC227" s="4"/>
      <c r="MBE227" s="4"/>
      <c r="MBG227" s="4"/>
      <c r="MBI227" s="4"/>
      <c r="MBK227" s="4"/>
      <c r="MBM227" s="4"/>
      <c r="MBO227" s="4"/>
      <c r="MBQ227" s="4"/>
      <c r="MBS227" s="4"/>
      <c r="MBU227" s="4"/>
      <c r="MBW227" s="4"/>
      <c r="MBY227" s="4"/>
      <c r="MCA227" s="4"/>
      <c r="MCC227" s="4"/>
      <c r="MCE227" s="4"/>
      <c r="MCG227" s="4"/>
      <c r="MCI227" s="4"/>
      <c r="MCK227" s="4"/>
      <c r="MCM227" s="4"/>
      <c r="MCO227" s="4"/>
      <c r="MCQ227" s="4"/>
      <c r="MCS227" s="4"/>
      <c r="MCU227" s="4"/>
      <c r="MCW227" s="4"/>
      <c r="MCY227" s="4"/>
      <c r="MDA227" s="4"/>
      <c r="MDC227" s="4"/>
      <c r="MDE227" s="4"/>
      <c r="MDG227" s="4"/>
      <c r="MDI227" s="4"/>
      <c r="MDK227" s="4"/>
      <c r="MDM227" s="4"/>
      <c r="MDO227" s="4"/>
      <c r="MDQ227" s="4"/>
      <c r="MDS227" s="4"/>
      <c r="MDU227" s="4"/>
      <c r="MDW227" s="4"/>
      <c r="MDY227" s="4"/>
      <c r="MEA227" s="4"/>
      <c r="MEC227" s="4"/>
      <c r="MEE227" s="4"/>
      <c r="MEG227" s="4"/>
      <c r="MEI227" s="4"/>
      <c r="MEK227" s="4"/>
      <c r="MEM227" s="4"/>
      <c r="MEO227" s="4"/>
      <c r="MEQ227" s="4"/>
      <c r="MES227" s="4"/>
      <c r="MEU227" s="4"/>
      <c r="MEW227" s="4"/>
      <c r="MEY227" s="4"/>
      <c r="MFA227" s="4"/>
      <c r="MFC227" s="4"/>
      <c r="MFE227" s="4"/>
      <c r="MFG227" s="4"/>
      <c r="MFI227" s="4"/>
      <c r="MFK227" s="4"/>
      <c r="MFM227" s="4"/>
      <c r="MFO227" s="4"/>
      <c r="MFQ227" s="4"/>
      <c r="MFS227" s="4"/>
      <c r="MFU227" s="4"/>
      <c r="MFW227" s="4"/>
      <c r="MFY227" s="4"/>
      <c r="MGA227" s="4"/>
      <c r="MGC227" s="4"/>
      <c r="MGE227" s="4"/>
      <c r="MGG227" s="4"/>
      <c r="MGI227" s="4"/>
      <c r="MGK227" s="4"/>
      <c r="MGM227" s="4"/>
      <c r="MGO227" s="4"/>
      <c r="MGQ227" s="4"/>
      <c r="MGS227" s="4"/>
      <c r="MGU227" s="4"/>
      <c r="MGW227" s="4"/>
      <c r="MGY227" s="4"/>
      <c r="MHA227" s="4"/>
      <c r="MHC227" s="4"/>
      <c r="MHE227" s="4"/>
      <c r="MHG227" s="4"/>
      <c r="MHI227" s="4"/>
      <c r="MHK227" s="4"/>
      <c r="MHM227" s="4"/>
      <c r="MHO227" s="4"/>
      <c r="MHQ227" s="4"/>
      <c r="MHS227" s="4"/>
      <c r="MHU227" s="4"/>
      <c r="MHW227" s="4"/>
      <c r="MHY227" s="4"/>
      <c r="MIA227" s="4"/>
      <c r="MIC227" s="4"/>
      <c r="MIE227" s="4"/>
      <c r="MIG227" s="4"/>
      <c r="MII227" s="4"/>
      <c r="MIK227" s="4"/>
      <c r="MIM227" s="4"/>
      <c r="MIO227" s="4"/>
      <c r="MIQ227" s="4"/>
      <c r="MIS227" s="4"/>
      <c r="MIU227" s="4"/>
      <c r="MIW227" s="4"/>
      <c r="MIY227" s="4"/>
      <c r="MJA227" s="4"/>
      <c r="MJC227" s="4"/>
      <c r="MJE227" s="4"/>
      <c r="MJG227" s="4"/>
      <c r="MJI227" s="4"/>
      <c r="MJK227" s="4"/>
      <c r="MJM227" s="4"/>
      <c r="MJO227" s="4"/>
      <c r="MJQ227" s="4"/>
      <c r="MJS227" s="4"/>
      <c r="MJU227" s="4"/>
      <c r="MJW227" s="4"/>
      <c r="MJY227" s="4"/>
      <c r="MKA227" s="4"/>
      <c r="MKC227" s="4"/>
      <c r="MKE227" s="4"/>
      <c r="MKG227" s="4"/>
      <c r="MKI227" s="4"/>
      <c r="MKK227" s="4"/>
      <c r="MKM227" s="4"/>
      <c r="MKO227" s="4"/>
      <c r="MKQ227" s="4"/>
      <c r="MKS227" s="4"/>
      <c r="MKU227" s="4"/>
      <c r="MKW227" s="4"/>
      <c r="MKY227" s="4"/>
      <c r="MLA227" s="4"/>
      <c r="MLC227" s="4"/>
      <c r="MLE227" s="4"/>
      <c r="MLG227" s="4"/>
      <c r="MLI227" s="4"/>
      <c r="MLK227" s="4"/>
      <c r="MLM227" s="4"/>
      <c r="MLO227" s="4"/>
      <c r="MLQ227" s="4"/>
      <c r="MLS227" s="4"/>
      <c r="MLU227" s="4"/>
      <c r="MLW227" s="4"/>
      <c r="MLY227" s="4"/>
      <c r="MMA227" s="4"/>
      <c r="MMC227" s="4"/>
      <c r="MME227" s="4"/>
      <c r="MMG227" s="4"/>
      <c r="MMI227" s="4"/>
      <c r="MMK227" s="4"/>
      <c r="MMM227" s="4"/>
      <c r="MMO227" s="4"/>
      <c r="MMQ227" s="4"/>
      <c r="MMS227" s="4"/>
      <c r="MMU227" s="4"/>
      <c r="MMW227" s="4"/>
      <c r="MMY227" s="4"/>
      <c r="MNA227" s="4"/>
      <c r="MNC227" s="4"/>
      <c r="MNE227" s="4"/>
      <c r="MNG227" s="4"/>
      <c r="MNI227" s="4"/>
      <c r="MNK227" s="4"/>
      <c r="MNM227" s="4"/>
      <c r="MNO227" s="4"/>
      <c r="MNQ227" s="4"/>
      <c r="MNS227" s="4"/>
      <c r="MNU227" s="4"/>
      <c r="MNW227" s="4"/>
      <c r="MNY227" s="4"/>
      <c r="MOA227" s="4"/>
      <c r="MOC227" s="4"/>
      <c r="MOE227" s="4"/>
      <c r="MOG227" s="4"/>
      <c r="MOI227" s="4"/>
      <c r="MOK227" s="4"/>
      <c r="MOM227" s="4"/>
      <c r="MOO227" s="4"/>
      <c r="MOQ227" s="4"/>
      <c r="MOS227" s="4"/>
      <c r="MOU227" s="4"/>
      <c r="MOW227" s="4"/>
      <c r="MOY227" s="4"/>
      <c r="MPA227" s="4"/>
      <c r="MPC227" s="4"/>
      <c r="MPE227" s="4"/>
      <c r="MPG227" s="4"/>
      <c r="MPI227" s="4"/>
      <c r="MPK227" s="4"/>
      <c r="MPM227" s="4"/>
      <c r="MPO227" s="4"/>
      <c r="MPQ227" s="4"/>
      <c r="MPS227" s="4"/>
      <c r="MPU227" s="4"/>
      <c r="MPW227" s="4"/>
      <c r="MPY227" s="4"/>
      <c r="MQA227" s="4"/>
      <c r="MQC227" s="4"/>
      <c r="MQE227" s="4"/>
      <c r="MQG227" s="4"/>
      <c r="MQI227" s="4"/>
      <c r="MQK227" s="4"/>
      <c r="MQM227" s="4"/>
      <c r="MQO227" s="4"/>
      <c r="MQQ227" s="4"/>
      <c r="MQS227" s="4"/>
      <c r="MQU227" s="4"/>
      <c r="MQW227" s="4"/>
      <c r="MQY227" s="4"/>
      <c r="MRA227" s="4"/>
      <c r="MRC227" s="4"/>
      <c r="MRE227" s="4"/>
      <c r="MRG227" s="4"/>
      <c r="MRI227" s="4"/>
      <c r="MRK227" s="4"/>
      <c r="MRM227" s="4"/>
      <c r="MRO227" s="4"/>
      <c r="MRQ227" s="4"/>
      <c r="MRS227" s="4"/>
      <c r="MRU227" s="4"/>
      <c r="MRW227" s="4"/>
      <c r="MRY227" s="4"/>
      <c r="MSA227" s="4"/>
      <c r="MSC227" s="4"/>
      <c r="MSE227" s="4"/>
      <c r="MSG227" s="4"/>
      <c r="MSI227" s="4"/>
      <c r="MSK227" s="4"/>
      <c r="MSM227" s="4"/>
      <c r="MSO227" s="4"/>
      <c r="MSQ227" s="4"/>
      <c r="MSS227" s="4"/>
      <c r="MSU227" s="4"/>
      <c r="MSW227" s="4"/>
      <c r="MSY227" s="4"/>
      <c r="MTA227" s="4"/>
      <c r="MTC227" s="4"/>
      <c r="MTE227" s="4"/>
      <c r="MTG227" s="4"/>
      <c r="MTI227" s="4"/>
      <c r="MTK227" s="4"/>
      <c r="MTM227" s="4"/>
      <c r="MTO227" s="4"/>
      <c r="MTQ227" s="4"/>
      <c r="MTS227" s="4"/>
      <c r="MTU227" s="4"/>
      <c r="MTW227" s="4"/>
      <c r="MTY227" s="4"/>
      <c r="MUA227" s="4"/>
      <c r="MUC227" s="4"/>
      <c r="MUE227" s="4"/>
      <c r="MUG227" s="4"/>
      <c r="MUI227" s="4"/>
      <c r="MUK227" s="4"/>
      <c r="MUM227" s="4"/>
      <c r="MUO227" s="4"/>
      <c r="MUQ227" s="4"/>
      <c r="MUS227" s="4"/>
      <c r="MUU227" s="4"/>
      <c r="MUW227" s="4"/>
      <c r="MUY227" s="4"/>
      <c r="MVA227" s="4"/>
      <c r="MVC227" s="4"/>
      <c r="MVE227" s="4"/>
      <c r="MVG227" s="4"/>
      <c r="MVI227" s="4"/>
      <c r="MVK227" s="4"/>
      <c r="MVM227" s="4"/>
      <c r="MVO227" s="4"/>
      <c r="MVQ227" s="4"/>
      <c r="MVS227" s="4"/>
      <c r="MVU227" s="4"/>
      <c r="MVW227" s="4"/>
      <c r="MVY227" s="4"/>
      <c r="MWA227" s="4"/>
      <c r="MWC227" s="4"/>
      <c r="MWE227" s="4"/>
      <c r="MWG227" s="4"/>
      <c r="MWI227" s="4"/>
      <c r="MWK227" s="4"/>
      <c r="MWM227" s="4"/>
      <c r="MWO227" s="4"/>
      <c r="MWQ227" s="4"/>
      <c r="MWS227" s="4"/>
      <c r="MWU227" s="4"/>
      <c r="MWW227" s="4"/>
      <c r="MWY227" s="4"/>
      <c r="MXA227" s="4"/>
      <c r="MXC227" s="4"/>
      <c r="MXE227" s="4"/>
      <c r="MXG227" s="4"/>
      <c r="MXI227" s="4"/>
      <c r="MXK227" s="4"/>
      <c r="MXM227" s="4"/>
      <c r="MXO227" s="4"/>
      <c r="MXQ227" s="4"/>
      <c r="MXS227" s="4"/>
      <c r="MXU227" s="4"/>
      <c r="MXW227" s="4"/>
      <c r="MXY227" s="4"/>
      <c r="MYA227" s="4"/>
      <c r="MYC227" s="4"/>
      <c r="MYE227" s="4"/>
      <c r="MYG227" s="4"/>
      <c r="MYI227" s="4"/>
      <c r="MYK227" s="4"/>
      <c r="MYM227" s="4"/>
      <c r="MYO227" s="4"/>
      <c r="MYQ227" s="4"/>
      <c r="MYS227" s="4"/>
      <c r="MYU227" s="4"/>
      <c r="MYW227" s="4"/>
      <c r="MYY227" s="4"/>
      <c r="MZA227" s="4"/>
      <c r="MZC227" s="4"/>
      <c r="MZE227" s="4"/>
      <c r="MZG227" s="4"/>
      <c r="MZI227" s="4"/>
      <c r="MZK227" s="4"/>
      <c r="MZM227" s="4"/>
      <c r="MZO227" s="4"/>
      <c r="MZQ227" s="4"/>
      <c r="MZS227" s="4"/>
      <c r="MZU227" s="4"/>
      <c r="MZW227" s="4"/>
      <c r="MZY227" s="4"/>
      <c r="NAA227" s="4"/>
      <c r="NAC227" s="4"/>
      <c r="NAE227" s="4"/>
      <c r="NAG227" s="4"/>
      <c r="NAI227" s="4"/>
      <c r="NAK227" s="4"/>
      <c r="NAM227" s="4"/>
      <c r="NAO227" s="4"/>
      <c r="NAQ227" s="4"/>
      <c r="NAS227" s="4"/>
      <c r="NAU227" s="4"/>
      <c r="NAW227" s="4"/>
      <c r="NAY227" s="4"/>
      <c r="NBA227" s="4"/>
      <c r="NBC227" s="4"/>
      <c r="NBE227" s="4"/>
      <c r="NBG227" s="4"/>
      <c r="NBI227" s="4"/>
      <c r="NBK227" s="4"/>
      <c r="NBM227" s="4"/>
      <c r="NBO227" s="4"/>
      <c r="NBQ227" s="4"/>
      <c r="NBS227" s="4"/>
      <c r="NBU227" s="4"/>
      <c r="NBW227" s="4"/>
      <c r="NBY227" s="4"/>
      <c r="NCA227" s="4"/>
      <c r="NCC227" s="4"/>
      <c r="NCE227" s="4"/>
      <c r="NCG227" s="4"/>
      <c r="NCI227" s="4"/>
      <c r="NCK227" s="4"/>
      <c r="NCM227" s="4"/>
      <c r="NCO227" s="4"/>
      <c r="NCQ227" s="4"/>
      <c r="NCS227" s="4"/>
      <c r="NCU227" s="4"/>
      <c r="NCW227" s="4"/>
      <c r="NCY227" s="4"/>
      <c r="NDA227" s="4"/>
      <c r="NDC227" s="4"/>
      <c r="NDE227" s="4"/>
      <c r="NDG227" s="4"/>
      <c r="NDI227" s="4"/>
      <c r="NDK227" s="4"/>
      <c r="NDM227" s="4"/>
      <c r="NDO227" s="4"/>
      <c r="NDQ227" s="4"/>
      <c r="NDS227" s="4"/>
      <c r="NDU227" s="4"/>
      <c r="NDW227" s="4"/>
      <c r="NDY227" s="4"/>
      <c r="NEA227" s="4"/>
      <c r="NEC227" s="4"/>
      <c r="NEE227" s="4"/>
      <c r="NEG227" s="4"/>
      <c r="NEI227" s="4"/>
      <c r="NEK227" s="4"/>
      <c r="NEM227" s="4"/>
      <c r="NEO227" s="4"/>
      <c r="NEQ227" s="4"/>
      <c r="NES227" s="4"/>
      <c r="NEU227" s="4"/>
      <c r="NEW227" s="4"/>
      <c r="NEY227" s="4"/>
      <c r="NFA227" s="4"/>
      <c r="NFC227" s="4"/>
      <c r="NFE227" s="4"/>
      <c r="NFG227" s="4"/>
      <c r="NFI227" s="4"/>
      <c r="NFK227" s="4"/>
      <c r="NFM227" s="4"/>
      <c r="NFO227" s="4"/>
      <c r="NFQ227" s="4"/>
      <c r="NFS227" s="4"/>
      <c r="NFU227" s="4"/>
      <c r="NFW227" s="4"/>
      <c r="NFY227" s="4"/>
      <c r="NGA227" s="4"/>
      <c r="NGC227" s="4"/>
      <c r="NGE227" s="4"/>
      <c r="NGG227" s="4"/>
      <c r="NGI227" s="4"/>
      <c r="NGK227" s="4"/>
      <c r="NGM227" s="4"/>
      <c r="NGO227" s="4"/>
      <c r="NGQ227" s="4"/>
      <c r="NGS227" s="4"/>
      <c r="NGU227" s="4"/>
      <c r="NGW227" s="4"/>
      <c r="NGY227" s="4"/>
      <c r="NHA227" s="4"/>
      <c r="NHC227" s="4"/>
      <c r="NHE227" s="4"/>
      <c r="NHG227" s="4"/>
      <c r="NHI227" s="4"/>
      <c r="NHK227" s="4"/>
      <c r="NHM227" s="4"/>
      <c r="NHO227" s="4"/>
      <c r="NHQ227" s="4"/>
      <c r="NHS227" s="4"/>
      <c r="NHU227" s="4"/>
      <c r="NHW227" s="4"/>
      <c r="NHY227" s="4"/>
      <c r="NIA227" s="4"/>
      <c r="NIC227" s="4"/>
      <c r="NIE227" s="4"/>
      <c r="NIG227" s="4"/>
      <c r="NII227" s="4"/>
      <c r="NIK227" s="4"/>
      <c r="NIM227" s="4"/>
      <c r="NIO227" s="4"/>
      <c r="NIQ227" s="4"/>
      <c r="NIS227" s="4"/>
      <c r="NIU227" s="4"/>
      <c r="NIW227" s="4"/>
      <c r="NIY227" s="4"/>
      <c r="NJA227" s="4"/>
      <c r="NJC227" s="4"/>
      <c r="NJE227" s="4"/>
      <c r="NJG227" s="4"/>
      <c r="NJI227" s="4"/>
      <c r="NJK227" s="4"/>
      <c r="NJM227" s="4"/>
      <c r="NJO227" s="4"/>
      <c r="NJQ227" s="4"/>
      <c r="NJS227" s="4"/>
      <c r="NJU227" s="4"/>
      <c r="NJW227" s="4"/>
      <c r="NJY227" s="4"/>
      <c r="NKA227" s="4"/>
      <c r="NKC227" s="4"/>
      <c r="NKE227" s="4"/>
      <c r="NKG227" s="4"/>
      <c r="NKI227" s="4"/>
      <c r="NKK227" s="4"/>
      <c r="NKM227" s="4"/>
      <c r="NKO227" s="4"/>
      <c r="NKQ227" s="4"/>
      <c r="NKS227" s="4"/>
      <c r="NKU227" s="4"/>
      <c r="NKW227" s="4"/>
      <c r="NKY227" s="4"/>
      <c r="NLA227" s="4"/>
      <c r="NLC227" s="4"/>
      <c r="NLE227" s="4"/>
      <c r="NLG227" s="4"/>
      <c r="NLI227" s="4"/>
      <c r="NLK227" s="4"/>
      <c r="NLM227" s="4"/>
      <c r="NLO227" s="4"/>
      <c r="NLQ227" s="4"/>
      <c r="NLS227" s="4"/>
      <c r="NLU227" s="4"/>
      <c r="NLW227" s="4"/>
      <c r="NLY227" s="4"/>
      <c r="NMA227" s="4"/>
      <c r="NMC227" s="4"/>
      <c r="NME227" s="4"/>
      <c r="NMG227" s="4"/>
      <c r="NMI227" s="4"/>
      <c r="NMK227" s="4"/>
      <c r="NMM227" s="4"/>
      <c r="NMO227" s="4"/>
      <c r="NMQ227" s="4"/>
      <c r="NMS227" s="4"/>
      <c r="NMU227" s="4"/>
      <c r="NMW227" s="4"/>
      <c r="NMY227" s="4"/>
      <c r="NNA227" s="4"/>
      <c r="NNC227" s="4"/>
      <c r="NNE227" s="4"/>
      <c r="NNG227" s="4"/>
      <c r="NNI227" s="4"/>
      <c r="NNK227" s="4"/>
      <c r="NNM227" s="4"/>
      <c r="NNO227" s="4"/>
      <c r="NNQ227" s="4"/>
      <c r="NNS227" s="4"/>
      <c r="NNU227" s="4"/>
      <c r="NNW227" s="4"/>
      <c r="NNY227" s="4"/>
      <c r="NOA227" s="4"/>
      <c r="NOC227" s="4"/>
      <c r="NOE227" s="4"/>
      <c r="NOG227" s="4"/>
      <c r="NOI227" s="4"/>
      <c r="NOK227" s="4"/>
      <c r="NOM227" s="4"/>
      <c r="NOO227" s="4"/>
      <c r="NOQ227" s="4"/>
      <c r="NOS227" s="4"/>
      <c r="NOU227" s="4"/>
      <c r="NOW227" s="4"/>
      <c r="NOY227" s="4"/>
      <c r="NPA227" s="4"/>
      <c r="NPC227" s="4"/>
      <c r="NPE227" s="4"/>
      <c r="NPG227" s="4"/>
      <c r="NPI227" s="4"/>
      <c r="NPK227" s="4"/>
      <c r="NPM227" s="4"/>
      <c r="NPO227" s="4"/>
      <c r="NPQ227" s="4"/>
      <c r="NPS227" s="4"/>
      <c r="NPU227" s="4"/>
      <c r="NPW227" s="4"/>
      <c r="NPY227" s="4"/>
      <c r="NQA227" s="4"/>
      <c r="NQC227" s="4"/>
      <c r="NQE227" s="4"/>
      <c r="NQG227" s="4"/>
      <c r="NQI227" s="4"/>
      <c r="NQK227" s="4"/>
      <c r="NQM227" s="4"/>
      <c r="NQO227" s="4"/>
      <c r="NQQ227" s="4"/>
      <c r="NQS227" s="4"/>
      <c r="NQU227" s="4"/>
      <c r="NQW227" s="4"/>
      <c r="NQY227" s="4"/>
      <c r="NRA227" s="4"/>
      <c r="NRC227" s="4"/>
      <c r="NRE227" s="4"/>
      <c r="NRG227" s="4"/>
      <c r="NRI227" s="4"/>
      <c r="NRK227" s="4"/>
      <c r="NRM227" s="4"/>
      <c r="NRO227" s="4"/>
      <c r="NRQ227" s="4"/>
      <c r="NRS227" s="4"/>
      <c r="NRU227" s="4"/>
      <c r="NRW227" s="4"/>
      <c r="NRY227" s="4"/>
      <c r="NSA227" s="4"/>
      <c r="NSC227" s="4"/>
      <c r="NSE227" s="4"/>
      <c r="NSG227" s="4"/>
      <c r="NSI227" s="4"/>
      <c r="NSK227" s="4"/>
      <c r="NSM227" s="4"/>
      <c r="NSO227" s="4"/>
      <c r="NSQ227" s="4"/>
      <c r="NSS227" s="4"/>
      <c r="NSU227" s="4"/>
      <c r="NSW227" s="4"/>
      <c r="NSY227" s="4"/>
      <c r="NTA227" s="4"/>
      <c r="NTC227" s="4"/>
      <c r="NTE227" s="4"/>
      <c r="NTG227" s="4"/>
      <c r="NTI227" s="4"/>
      <c r="NTK227" s="4"/>
      <c r="NTM227" s="4"/>
      <c r="NTO227" s="4"/>
      <c r="NTQ227" s="4"/>
      <c r="NTS227" s="4"/>
      <c r="NTU227" s="4"/>
      <c r="NTW227" s="4"/>
      <c r="NTY227" s="4"/>
      <c r="NUA227" s="4"/>
      <c r="NUC227" s="4"/>
      <c r="NUE227" s="4"/>
      <c r="NUG227" s="4"/>
      <c r="NUI227" s="4"/>
      <c r="NUK227" s="4"/>
      <c r="NUM227" s="4"/>
      <c r="NUO227" s="4"/>
      <c r="NUQ227" s="4"/>
      <c r="NUS227" s="4"/>
      <c r="NUU227" s="4"/>
      <c r="NUW227" s="4"/>
      <c r="NUY227" s="4"/>
      <c r="NVA227" s="4"/>
      <c r="NVC227" s="4"/>
      <c r="NVE227" s="4"/>
      <c r="NVG227" s="4"/>
      <c r="NVI227" s="4"/>
      <c r="NVK227" s="4"/>
      <c r="NVM227" s="4"/>
      <c r="NVO227" s="4"/>
      <c r="NVQ227" s="4"/>
      <c r="NVS227" s="4"/>
      <c r="NVU227" s="4"/>
      <c r="NVW227" s="4"/>
      <c r="NVY227" s="4"/>
      <c r="NWA227" s="4"/>
      <c r="NWC227" s="4"/>
      <c r="NWE227" s="4"/>
      <c r="NWG227" s="4"/>
      <c r="NWI227" s="4"/>
      <c r="NWK227" s="4"/>
      <c r="NWM227" s="4"/>
      <c r="NWO227" s="4"/>
      <c r="NWQ227" s="4"/>
      <c r="NWS227" s="4"/>
      <c r="NWU227" s="4"/>
      <c r="NWW227" s="4"/>
      <c r="NWY227" s="4"/>
      <c r="NXA227" s="4"/>
      <c r="NXC227" s="4"/>
      <c r="NXE227" s="4"/>
      <c r="NXG227" s="4"/>
      <c r="NXI227" s="4"/>
      <c r="NXK227" s="4"/>
      <c r="NXM227" s="4"/>
      <c r="NXO227" s="4"/>
      <c r="NXQ227" s="4"/>
      <c r="NXS227" s="4"/>
      <c r="NXU227" s="4"/>
      <c r="NXW227" s="4"/>
      <c r="NXY227" s="4"/>
      <c r="NYA227" s="4"/>
      <c r="NYC227" s="4"/>
      <c r="NYE227" s="4"/>
      <c r="NYG227" s="4"/>
      <c r="NYI227" s="4"/>
      <c r="NYK227" s="4"/>
      <c r="NYM227" s="4"/>
      <c r="NYO227" s="4"/>
      <c r="NYQ227" s="4"/>
      <c r="NYS227" s="4"/>
      <c r="NYU227" s="4"/>
      <c r="NYW227" s="4"/>
      <c r="NYY227" s="4"/>
      <c r="NZA227" s="4"/>
      <c r="NZC227" s="4"/>
      <c r="NZE227" s="4"/>
      <c r="NZG227" s="4"/>
      <c r="NZI227" s="4"/>
      <c r="NZK227" s="4"/>
      <c r="NZM227" s="4"/>
      <c r="NZO227" s="4"/>
      <c r="NZQ227" s="4"/>
      <c r="NZS227" s="4"/>
      <c r="NZU227" s="4"/>
      <c r="NZW227" s="4"/>
      <c r="NZY227" s="4"/>
      <c r="OAA227" s="4"/>
      <c r="OAC227" s="4"/>
      <c r="OAE227" s="4"/>
      <c r="OAG227" s="4"/>
      <c r="OAI227" s="4"/>
      <c r="OAK227" s="4"/>
      <c r="OAM227" s="4"/>
      <c r="OAO227" s="4"/>
      <c r="OAQ227" s="4"/>
      <c r="OAS227" s="4"/>
      <c r="OAU227" s="4"/>
      <c r="OAW227" s="4"/>
      <c r="OAY227" s="4"/>
      <c r="OBA227" s="4"/>
      <c r="OBC227" s="4"/>
      <c r="OBE227" s="4"/>
      <c r="OBG227" s="4"/>
      <c r="OBI227" s="4"/>
      <c r="OBK227" s="4"/>
      <c r="OBM227" s="4"/>
      <c r="OBO227" s="4"/>
      <c r="OBQ227" s="4"/>
      <c r="OBS227" s="4"/>
      <c r="OBU227" s="4"/>
      <c r="OBW227" s="4"/>
      <c r="OBY227" s="4"/>
      <c r="OCA227" s="4"/>
      <c r="OCC227" s="4"/>
      <c r="OCE227" s="4"/>
      <c r="OCG227" s="4"/>
      <c r="OCI227" s="4"/>
      <c r="OCK227" s="4"/>
      <c r="OCM227" s="4"/>
      <c r="OCO227" s="4"/>
      <c r="OCQ227" s="4"/>
      <c r="OCS227" s="4"/>
      <c r="OCU227" s="4"/>
      <c r="OCW227" s="4"/>
      <c r="OCY227" s="4"/>
      <c r="ODA227" s="4"/>
      <c r="ODC227" s="4"/>
      <c r="ODE227" s="4"/>
      <c r="ODG227" s="4"/>
      <c r="ODI227" s="4"/>
      <c r="ODK227" s="4"/>
      <c r="ODM227" s="4"/>
      <c r="ODO227" s="4"/>
      <c r="ODQ227" s="4"/>
      <c r="ODS227" s="4"/>
      <c r="ODU227" s="4"/>
      <c r="ODW227" s="4"/>
      <c r="ODY227" s="4"/>
      <c r="OEA227" s="4"/>
      <c r="OEC227" s="4"/>
      <c r="OEE227" s="4"/>
      <c r="OEG227" s="4"/>
      <c r="OEI227" s="4"/>
      <c r="OEK227" s="4"/>
      <c r="OEM227" s="4"/>
      <c r="OEO227" s="4"/>
      <c r="OEQ227" s="4"/>
      <c r="OES227" s="4"/>
      <c r="OEU227" s="4"/>
      <c r="OEW227" s="4"/>
      <c r="OEY227" s="4"/>
      <c r="OFA227" s="4"/>
      <c r="OFC227" s="4"/>
      <c r="OFE227" s="4"/>
      <c r="OFG227" s="4"/>
      <c r="OFI227" s="4"/>
      <c r="OFK227" s="4"/>
      <c r="OFM227" s="4"/>
      <c r="OFO227" s="4"/>
      <c r="OFQ227" s="4"/>
      <c r="OFS227" s="4"/>
      <c r="OFU227" s="4"/>
      <c r="OFW227" s="4"/>
      <c r="OFY227" s="4"/>
      <c r="OGA227" s="4"/>
      <c r="OGC227" s="4"/>
      <c r="OGE227" s="4"/>
      <c r="OGG227" s="4"/>
      <c r="OGI227" s="4"/>
      <c r="OGK227" s="4"/>
      <c r="OGM227" s="4"/>
      <c r="OGO227" s="4"/>
      <c r="OGQ227" s="4"/>
      <c r="OGS227" s="4"/>
      <c r="OGU227" s="4"/>
      <c r="OGW227" s="4"/>
      <c r="OGY227" s="4"/>
      <c r="OHA227" s="4"/>
      <c r="OHC227" s="4"/>
      <c r="OHE227" s="4"/>
      <c r="OHG227" s="4"/>
      <c r="OHI227" s="4"/>
      <c r="OHK227" s="4"/>
      <c r="OHM227" s="4"/>
      <c r="OHO227" s="4"/>
      <c r="OHQ227" s="4"/>
      <c r="OHS227" s="4"/>
      <c r="OHU227" s="4"/>
      <c r="OHW227" s="4"/>
      <c r="OHY227" s="4"/>
      <c r="OIA227" s="4"/>
      <c r="OIC227" s="4"/>
      <c r="OIE227" s="4"/>
      <c r="OIG227" s="4"/>
      <c r="OII227" s="4"/>
      <c r="OIK227" s="4"/>
      <c r="OIM227" s="4"/>
      <c r="OIO227" s="4"/>
      <c r="OIQ227" s="4"/>
      <c r="OIS227" s="4"/>
      <c r="OIU227" s="4"/>
      <c r="OIW227" s="4"/>
      <c r="OIY227" s="4"/>
      <c r="OJA227" s="4"/>
      <c r="OJC227" s="4"/>
      <c r="OJE227" s="4"/>
      <c r="OJG227" s="4"/>
      <c r="OJI227" s="4"/>
      <c r="OJK227" s="4"/>
      <c r="OJM227" s="4"/>
      <c r="OJO227" s="4"/>
      <c r="OJQ227" s="4"/>
      <c r="OJS227" s="4"/>
      <c r="OJU227" s="4"/>
      <c r="OJW227" s="4"/>
      <c r="OJY227" s="4"/>
      <c r="OKA227" s="4"/>
      <c r="OKC227" s="4"/>
      <c r="OKE227" s="4"/>
      <c r="OKG227" s="4"/>
      <c r="OKI227" s="4"/>
      <c r="OKK227" s="4"/>
      <c r="OKM227" s="4"/>
      <c r="OKO227" s="4"/>
      <c r="OKQ227" s="4"/>
      <c r="OKS227" s="4"/>
      <c r="OKU227" s="4"/>
      <c r="OKW227" s="4"/>
      <c r="OKY227" s="4"/>
      <c r="OLA227" s="4"/>
      <c r="OLC227" s="4"/>
      <c r="OLE227" s="4"/>
      <c r="OLG227" s="4"/>
      <c r="OLI227" s="4"/>
      <c r="OLK227" s="4"/>
      <c r="OLM227" s="4"/>
      <c r="OLO227" s="4"/>
      <c r="OLQ227" s="4"/>
      <c r="OLS227" s="4"/>
      <c r="OLU227" s="4"/>
      <c r="OLW227" s="4"/>
      <c r="OLY227" s="4"/>
      <c r="OMA227" s="4"/>
      <c r="OMC227" s="4"/>
      <c r="OME227" s="4"/>
      <c r="OMG227" s="4"/>
      <c r="OMI227" s="4"/>
      <c r="OMK227" s="4"/>
      <c r="OMM227" s="4"/>
      <c r="OMO227" s="4"/>
      <c r="OMQ227" s="4"/>
      <c r="OMS227" s="4"/>
      <c r="OMU227" s="4"/>
      <c r="OMW227" s="4"/>
      <c r="OMY227" s="4"/>
      <c r="ONA227" s="4"/>
      <c r="ONC227" s="4"/>
      <c r="ONE227" s="4"/>
      <c r="ONG227" s="4"/>
      <c r="ONI227" s="4"/>
      <c r="ONK227" s="4"/>
      <c r="ONM227" s="4"/>
      <c r="ONO227" s="4"/>
      <c r="ONQ227" s="4"/>
      <c r="ONS227" s="4"/>
      <c r="ONU227" s="4"/>
      <c r="ONW227" s="4"/>
      <c r="ONY227" s="4"/>
      <c r="OOA227" s="4"/>
      <c r="OOC227" s="4"/>
      <c r="OOE227" s="4"/>
      <c r="OOG227" s="4"/>
      <c r="OOI227" s="4"/>
      <c r="OOK227" s="4"/>
      <c r="OOM227" s="4"/>
      <c r="OOO227" s="4"/>
      <c r="OOQ227" s="4"/>
      <c r="OOS227" s="4"/>
      <c r="OOU227" s="4"/>
      <c r="OOW227" s="4"/>
      <c r="OOY227" s="4"/>
      <c r="OPA227" s="4"/>
      <c r="OPC227" s="4"/>
      <c r="OPE227" s="4"/>
      <c r="OPG227" s="4"/>
      <c r="OPI227" s="4"/>
      <c r="OPK227" s="4"/>
      <c r="OPM227" s="4"/>
      <c r="OPO227" s="4"/>
      <c r="OPQ227" s="4"/>
      <c r="OPS227" s="4"/>
      <c r="OPU227" s="4"/>
      <c r="OPW227" s="4"/>
      <c r="OPY227" s="4"/>
      <c r="OQA227" s="4"/>
      <c r="OQC227" s="4"/>
      <c r="OQE227" s="4"/>
      <c r="OQG227" s="4"/>
      <c r="OQI227" s="4"/>
      <c r="OQK227" s="4"/>
      <c r="OQM227" s="4"/>
      <c r="OQO227" s="4"/>
      <c r="OQQ227" s="4"/>
      <c r="OQS227" s="4"/>
      <c r="OQU227" s="4"/>
      <c r="OQW227" s="4"/>
      <c r="OQY227" s="4"/>
      <c r="ORA227" s="4"/>
      <c r="ORC227" s="4"/>
      <c r="ORE227" s="4"/>
      <c r="ORG227" s="4"/>
      <c r="ORI227" s="4"/>
      <c r="ORK227" s="4"/>
      <c r="ORM227" s="4"/>
      <c r="ORO227" s="4"/>
      <c r="ORQ227" s="4"/>
      <c r="ORS227" s="4"/>
      <c r="ORU227" s="4"/>
      <c r="ORW227" s="4"/>
      <c r="ORY227" s="4"/>
      <c r="OSA227" s="4"/>
      <c r="OSC227" s="4"/>
      <c r="OSE227" s="4"/>
      <c r="OSG227" s="4"/>
      <c r="OSI227" s="4"/>
      <c r="OSK227" s="4"/>
      <c r="OSM227" s="4"/>
      <c r="OSO227" s="4"/>
      <c r="OSQ227" s="4"/>
      <c r="OSS227" s="4"/>
      <c r="OSU227" s="4"/>
      <c r="OSW227" s="4"/>
      <c r="OSY227" s="4"/>
      <c r="OTA227" s="4"/>
      <c r="OTC227" s="4"/>
      <c r="OTE227" s="4"/>
      <c r="OTG227" s="4"/>
      <c r="OTI227" s="4"/>
      <c r="OTK227" s="4"/>
      <c r="OTM227" s="4"/>
      <c r="OTO227" s="4"/>
      <c r="OTQ227" s="4"/>
      <c r="OTS227" s="4"/>
      <c r="OTU227" s="4"/>
      <c r="OTW227" s="4"/>
      <c r="OTY227" s="4"/>
      <c r="OUA227" s="4"/>
      <c r="OUC227" s="4"/>
      <c r="OUE227" s="4"/>
      <c r="OUG227" s="4"/>
      <c r="OUI227" s="4"/>
      <c r="OUK227" s="4"/>
      <c r="OUM227" s="4"/>
      <c r="OUO227" s="4"/>
      <c r="OUQ227" s="4"/>
      <c r="OUS227" s="4"/>
      <c r="OUU227" s="4"/>
      <c r="OUW227" s="4"/>
      <c r="OUY227" s="4"/>
      <c r="OVA227" s="4"/>
      <c r="OVC227" s="4"/>
      <c r="OVE227" s="4"/>
      <c r="OVG227" s="4"/>
      <c r="OVI227" s="4"/>
      <c r="OVK227" s="4"/>
      <c r="OVM227" s="4"/>
      <c r="OVO227" s="4"/>
      <c r="OVQ227" s="4"/>
      <c r="OVS227" s="4"/>
      <c r="OVU227" s="4"/>
      <c r="OVW227" s="4"/>
      <c r="OVY227" s="4"/>
      <c r="OWA227" s="4"/>
      <c r="OWC227" s="4"/>
      <c r="OWE227" s="4"/>
      <c r="OWG227" s="4"/>
      <c r="OWI227" s="4"/>
      <c r="OWK227" s="4"/>
      <c r="OWM227" s="4"/>
      <c r="OWO227" s="4"/>
      <c r="OWQ227" s="4"/>
      <c r="OWS227" s="4"/>
      <c r="OWU227" s="4"/>
      <c r="OWW227" s="4"/>
      <c r="OWY227" s="4"/>
      <c r="OXA227" s="4"/>
      <c r="OXC227" s="4"/>
      <c r="OXE227" s="4"/>
      <c r="OXG227" s="4"/>
      <c r="OXI227" s="4"/>
      <c r="OXK227" s="4"/>
      <c r="OXM227" s="4"/>
      <c r="OXO227" s="4"/>
      <c r="OXQ227" s="4"/>
      <c r="OXS227" s="4"/>
      <c r="OXU227" s="4"/>
      <c r="OXW227" s="4"/>
      <c r="OXY227" s="4"/>
      <c r="OYA227" s="4"/>
      <c r="OYC227" s="4"/>
      <c r="OYE227" s="4"/>
      <c r="OYG227" s="4"/>
      <c r="OYI227" s="4"/>
      <c r="OYK227" s="4"/>
      <c r="OYM227" s="4"/>
      <c r="OYO227" s="4"/>
      <c r="OYQ227" s="4"/>
      <c r="OYS227" s="4"/>
      <c r="OYU227" s="4"/>
      <c r="OYW227" s="4"/>
      <c r="OYY227" s="4"/>
      <c r="OZA227" s="4"/>
      <c r="OZC227" s="4"/>
      <c r="OZE227" s="4"/>
      <c r="OZG227" s="4"/>
      <c r="OZI227" s="4"/>
      <c r="OZK227" s="4"/>
      <c r="OZM227" s="4"/>
      <c r="OZO227" s="4"/>
      <c r="OZQ227" s="4"/>
      <c r="OZS227" s="4"/>
      <c r="OZU227" s="4"/>
      <c r="OZW227" s="4"/>
      <c r="OZY227" s="4"/>
      <c r="PAA227" s="4"/>
      <c r="PAC227" s="4"/>
      <c r="PAE227" s="4"/>
      <c r="PAG227" s="4"/>
      <c r="PAI227" s="4"/>
      <c r="PAK227" s="4"/>
      <c r="PAM227" s="4"/>
      <c r="PAO227" s="4"/>
      <c r="PAQ227" s="4"/>
      <c r="PAS227" s="4"/>
      <c r="PAU227" s="4"/>
      <c r="PAW227" s="4"/>
      <c r="PAY227" s="4"/>
      <c r="PBA227" s="4"/>
      <c r="PBC227" s="4"/>
      <c r="PBE227" s="4"/>
      <c r="PBG227" s="4"/>
      <c r="PBI227" s="4"/>
      <c r="PBK227" s="4"/>
      <c r="PBM227" s="4"/>
      <c r="PBO227" s="4"/>
      <c r="PBQ227" s="4"/>
      <c r="PBS227" s="4"/>
      <c r="PBU227" s="4"/>
      <c r="PBW227" s="4"/>
      <c r="PBY227" s="4"/>
      <c r="PCA227" s="4"/>
      <c r="PCC227" s="4"/>
      <c r="PCE227" s="4"/>
      <c r="PCG227" s="4"/>
      <c r="PCI227" s="4"/>
      <c r="PCK227" s="4"/>
      <c r="PCM227" s="4"/>
      <c r="PCO227" s="4"/>
      <c r="PCQ227" s="4"/>
      <c r="PCS227" s="4"/>
      <c r="PCU227" s="4"/>
      <c r="PCW227" s="4"/>
      <c r="PCY227" s="4"/>
      <c r="PDA227" s="4"/>
      <c r="PDC227" s="4"/>
      <c r="PDE227" s="4"/>
      <c r="PDG227" s="4"/>
      <c r="PDI227" s="4"/>
      <c r="PDK227" s="4"/>
      <c r="PDM227" s="4"/>
      <c r="PDO227" s="4"/>
      <c r="PDQ227" s="4"/>
      <c r="PDS227" s="4"/>
      <c r="PDU227" s="4"/>
      <c r="PDW227" s="4"/>
      <c r="PDY227" s="4"/>
      <c r="PEA227" s="4"/>
      <c r="PEC227" s="4"/>
      <c r="PEE227" s="4"/>
      <c r="PEG227" s="4"/>
      <c r="PEI227" s="4"/>
      <c r="PEK227" s="4"/>
      <c r="PEM227" s="4"/>
      <c r="PEO227" s="4"/>
      <c r="PEQ227" s="4"/>
      <c r="PES227" s="4"/>
      <c r="PEU227" s="4"/>
      <c r="PEW227" s="4"/>
      <c r="PEY227" s="4"/>
      <c r="PFA227" s="4"/>
      <c r="PFC227" s="4"/>
      <c r="PFE227" s="4"/>
      <c r="PFG227" s="4"/>
      <c r="PFI227" s="4"/>
      <c r="PFK227" s="4"/>
      <c r="PFM227" s="4"/>
      <c r="PFO227" s="4"/>
      <c r="PFQ227" s="4"/>
      <c r="PFS227" s="4"/>
      <c r="PFU227" s="4"/>
      <c r="PFW227" s="4"/>
      <c r="PFY227" s="4"/>
      <c r="PGA227" s="4"/>
      <c r="PGC227" s="4"/>
      <c r="PGE227" s="4"/>
      <c r="PGG227" s="4"/>
      <c r="PGI227" s="4"/>
      <c r="PGK227" s="4"/>
      <c r="PGM227" s="4"/>
      <c r="PGO227" s="4"/>
      <c r="PGQ227" s="4"/>
      <c r="PGS227" s="4"/>
      <c r="PGU227" s="4"/>
      <c r="PGW227" s="4"/>
      <c r="PGY227" s="4"/>
      <c r="PHA227" s="4"/>
      <c r="PHC227" s="4"/>
      <c r="PHE227" s="4"/>
      <c r="PHG227" s="4"/>
      <c r="PHI227" s="4"/>
      <c r="PHK227" s="4"/>
      <c r="PHM227" s="4"/>
      <c r="PHO227" s="4"/>
      <c r="PHQ227" s="4"/>
      <c r="PHS227" s="4"/>
      <c r="PHU227" s="4"/>
      <c r="PHW227" s="4"/>
      <c r="PHY227" s="4"/>
      <c r="PIA227" s="4"/>
      <c r="PIC227" s="4"/>
      <c r="PIE227" s="4"/>
      <c r="PIG227" s="4"/>
      <c r="PII227" s="4"/>
      <c r="PIK227" s="4"/>
      <c r="PIM227" s="4"/>
      <c r="PIO227" s="4"/>
      <c r="PIQ227" s="4"/>
      <c r="PIS227" s="4"/>
      <c r="PIU227" s="4"/>
      <c r="PIW227" s="4"/>
      <c r="PIY227" s="4"/>
      <c r="PJA227" s="4"/>
      <c r="PJC227" s="4"/>
      <c r="PJE227" s="4"/>
      <c r="PJG227" s="4"/>
      <c r="PJI227" s="4"/>
      <c r="PJK227" s="4"/>
      <c r="PJM227" s="4"/>
      <c r="PJO227" s="4"/>
      <c r="PJQ227" s="4"/>
      <c r="PJS227" s="4"/>
      <c r="PJU227" s="4"/>
      <c r="PJW227" s="4"/>
      <c r="PJY227" s="4"/>
      <c r="PKA227" s="4"/>
      <c r="PKC227" s="4"/>
      <c r="PKE227" s="4"/>
      <c r="PKG227" s="4"/>
      <c r="PKI227" s="4"/>
      <c r="PKK227" s="4"/>
      <c r="PKM227" s="4"/>
      <c r="PKO227" s="4"/>
      <c r="PKQ227" s="4"/>
      <c r="PKS227" s="4"/>
      <c r="PKU227" s="4"/>
      <c r="PKW227" s="4"/>
      <c r="PKY227" s="4"/>
      <c r="PLA227" s="4"/>
      <c r="PLC227" s="4"/>
      <c r="PLE227" s="4"/>
      <c r="PLG227" s="4"/>
      <c r="PLI227" s="4"/>
      <c r="PLK227" s="4"/>
      <c r="PLM227" s="4"/>
      <c r="PLO227" s="4"/>
      <c r="PLQ227" s="4"/>
      <c r="PLS227" s="4"/>
      <c r="PLU227" s="4"/>
      <c r="PLW227" s="4"/>
      <c r="PLY227" s="4"/>
      <c r="PMA227" s="4"/>
      <c r="PMC227" s="4"/>
      <c r="PME227" s="4"/>
      <c r="PMG227" s="4"/>
      <c r="PMI227" s="4"/>
      <c r="PMK227" s="4"/>
      <c r="PMM227" s="4"/>
      <c r="PMO227" s="4"/>
      <c r="PMQ227" s="4"/>
      <c r="PMS227" s="4"/>
      <c r="PMU227" s="4"/>
      <c r="PMW227" s="4"/>
      <c r="PMY227" s="4"/>
      <c r="PNA227" s="4"/>
      <c r="PNC227" s="4"/>
      <c r="PNE227" s="4"/>
      <c r="PNG227" s="4"/>
      <c r="PNI227" s="4"/>
      <c r="PNK227" s="4"/>
      <c r="PNM227" s="4"/>
      <c r="PNO227" s="4"/>
      <c r="PNQ227" s="4"/>
      <c r="PNS227" s="4"/>
      <c r="PNU227" s="4"/>
      <c r="PNW227" s="4"/>
      <c r="PNY227" s="4"/>
      <c r="POA227" s="4"/>
      <c r="POC227" s="4"/>
      <c r="POE227" s="4"/>
      <c r="POG227" s="4"/>
      <c r="POI227" s="4"/>
      <c r="POK227" s="4"/>
      <c r="POM227" s="4"/>
      <c r="POO227" s="4"/>
      <c r="POQ227" s="4"/>
      <c r="POS227" s="4"/>
      <c r="POU227" s="4"/>
      <c r="POW227" s="4"/>
      <c r="POY227" s="4"/>
      <c r="PPA227" s="4"/>
      <c r="PPC227" s="4"/>
      <c r="PPE227" s="4"/>
      <c r="PPG227" s="4"/>
      <c r="PPI227" s="4"/>
      <c r="PPK227" s="4"/>
      <c r="PPM227" s="4"/>
      <c r="PPO227" s="4"/>
      <c r="PPQ227" s="4"/>
      <c r="PPS227" s="4"/>
      <c r="PPU227" s="4"/>
      <c r="PPW227" s="4"/>
      <c r="PPY227" s="4"/>
      <c r="PQA227" s="4"/>
      <c r="PQC227" s="4"/>
      <c r="PQE227" s="4"/>
      <c r="PQG227" s="4"/>
      <c r="PQI227" s="4"/>
      <c r="PQK227" s="4"/>
      <c r="PQM227" s="4"/>
      <c r="PQO227" s="4"/>
      <c r="PQQ227" s="4"/>
      <c r="PQS227" s="4"/>
      <c r="PQU227" s="4"/>
      <c r="PQW227" s="4"/>
      <c r="PQY227" s="4"/>
      <c r="PRA227" s="4"/>
      <c r="PRC227" s="4"/>
      <c r="PRE227" s="4"/>
      <c r="PRG227" s="4"/>
      <c r="PRI227" s="4"/>
      <c r="PRK227" s="4"/>
      <c r="PRM227" s="4"/>
      <c r="PRO227" s="4"/>
      <c r="PRQ227" s="4"/>
      <c r="PRS227" s="4"/>
      <c r="PRU227" s="4"/>
      <c r="PRW227" s="4"/>
      <c r="PRY227" s="4"/>
      <c r="PSA227" s="4"/>
      <c r="PSC227" s="4"/>
      <c r="PSE227" s="4"/>
      <c r="PSG227" s="4"/>
      <c r="PSI227" s="4"/>
      <c r="PSK227" s="4"/>
      <c r="PSM227" s="4"/>
      <c r="PSO227" s="4"/>
      <c r="PSQ227" s="4"/>
      <c r="PSS227" s="4"/>
      <c r="PSU227" s="4"/>
      <c r="PSW227" s="4"/>
      <c r="PSY227" s="4"/>
      <c r="PTA227" s="4"/>
      <c r="PTC227" s="4"/>
      <c r="PTE227" s="4"/>
      <c r="PTG227" s="4"/>
      <c r="PTI227" s="4"/>
      <c r="PTK227" s="4"/>
      <c r="PTM227" s="4"/>
      <c r="PTO227" s="4"/>
      <c r="PTQ227" s="4"/>
      <c r="PTS227" s="4"/>
      <c r="PTU227" s="4"/>
      <c r="PTW227" s="4"/>
      <c r="PTY227" s="4"/>
      <c r="PUA227" s="4"/>
      <c r="PUC227" s="4"/>
      <c r="PUE227" s="4"/>
      <c r="PUG227" s="4"/>
      <c r="PUI227" s="4"/>
      <c r="PUK227" s="4"/>
      <c r="PUM227" s="4"/>
      <c r="PUO227" s="4"/>
      <c r="PUQ227" s="4"/>
      <c r="PUS227" s="4"/>
      <c r="PUU227" s="4"/>
      <c r="PUW227" s="4"/>
      <c r="PUY227" s="4"/>
      <c r="PVA227" s="4"/>
      <c r="PVC227" s="4"/>
      <c r="PVE227" s="4"/>
      <c r="PVG227" s="4"/>
      <c r="PVI227" s="4"/>
      <c r="PVK227" s="4"/>
      <c r="PVM227" s="4"/>
      <c r="PVO227" s="4"/>
      <c r="PVQ227" s="4"/>
      <c r="PVS227" s="4"/>
      <c r="PVU227" s="4"/>
      <c r="PVW227" s="4"/>
      <c r="PVY227" s="4"/>
      <c r="PWA227" s="4"/>
      <c r="PWC227" s="4"/>
      <c r="PWE227" s="4"/>
      <c r="PWG227" s="4"/>
      <c r="PWI227" s="4"/>
      <c r="PWK227" s="4"/>
      <c r="PWM227" s="4"/>
      <c r="PWO227" s="4"/>
      <c r="PWQ227" s="4"/>
      <c r="PWS227" s="4"/>
      <c r="PWU227" s="4"/>
      <c r="PWW227" s="4"/>
      <c r="PWY227" s="4"/>
      <c r="PXA227" s="4"/>
      <c r="PXC227" s="4"/>
      <c r="PXE227" s="4"/>
      <c r="PXG227" s="4"/>
      <c r="PXI227" s="4"/>
      <c r="PXK227" s="4"/>
      <c r="PXM227" s="4"/>
      <c r="PXO227" s="4"/>
      <c r="PXQ227" s="4"/>
      <c r="PXS227" s="4"/>
      <c r="PXU227" s="4"/>
      <c r="PXW227" s="4"/>
      <c r="PXY227" s="4"/>
      <c r="PYA227" s="4"/>
      <c r="PYC227" s="4"/>
      <c r="PYE227" s="4"/>
      <c r="PYG227" s="4"/>
      <c r="PYI227" s="4"/>
      <c r="PYK227" s="4"/>
      <c r="PYM227" s="4"/>
      <c r="PYO227" s="4"/>
      <c r="PYQ227" s="4"/>
      <c r="PYS227" s="4"/>
      <c r="PYU227" s="4"/>
      <c r="PYW227" s="4"/>
      <c r="PYY227" s="4"/>
      <c r="PZA227" s="4"/>
      <c r="PZC227" s="4"/>
      <c r="PZE227" s="4"/>
      <c r="PZG227" s="4"/>
      <c r="PZI227" s="4"/>
      <c r="PZK227" s="4"/>
      <c r="PZM227" s="4"/>
      <c r="PZO227" s="4"/>
      <c r="PZQ227" s="4"/>
      <c r="PZS227" s="4"/>
      <c r="PZU227" s="4"/>
      <c r="PZW227" s="4"/>
      <c r="PZY227" s="4"/>
      <c r="QAA227" s="4"/>
      <c r="QAC227" s="4"/>
      <c r="QAE227" s="4"/>
      <c r="QAG227" s="4"/>
      <c r="QAI227" s="4"/>
      <c r="QAK227" s="4"/>
      <c r="QAM227" s="4"/>
      <c r="QAO227" s="4"/>
      <c r="QAQ227" s="4"/>
      <c r="QAS227" s="4"/>
      <c r="QAU227" s="4"/>
      <c r="QAW227" s="4"/>
      <c r="QAY227" s="4"/>
      <c r="QBA227" s="4"/>
      <c r="QBC227" s="4"/>
      <c r="QBE227" s="4"/>
      <c r="QBG227" s="4"/>
      <c r="QBI227" s="4"/>
      <c r="QBK227" s="4"/>
      <c r="QBM227" s="4"/>
      <c r="QBO227" s="4"/>
      <c r="QBQ227" s="4"/>
      <c r="QBS227" s="4"/>
      <c r="QBU227" s="4"/>
      <c r="QBW227" s="4"/>
      <c r="QBY227" s="4"/>
      <c r="QCA227" s="4"/>
      <c r="QCC227" s="4"/>
      <c r="QCE227" s="4"/>
      <c r="QCG227" s="4"/>
      <c r="QCI227" s="4"/>
      <c r="QCK227" s="4"/>
      <c r="QCM227" s="4"/>
      <c r="QCO227" s="4"/>
      <c r="QCQ227" s="4"/>
      <c r="QCS227" s="4"/>
      <c r="QCU227" s="4"/>
      <c r="QCW227" s="4"/>
      <c r="QCY227" s="4"/>
      <c r="QDA227" s="4"/>
      <c r="QDC227" s="4"/>
      <c r="QDE227" s="4"/>
      <c r="QDG227" s="4"/>
      <c r="QDI227" s="4"/>
      <c r="QDK227" s="4"/>
      <c r="QDM227" s="4"/>
      <c r="QDO227" s="4"/>
      <c r="QDQ227" s="4"/>
      <c r="QDS227" s="4"/>
      <c r="QDU227" s="4"/>
      <c r="QDW227" s="4"/>
      <c r="QDY227" s="4"/>
      <c r="QEA227" s="4"/>
      <c r="QEC227" s="4"/>
      <c r="QEE227" s="4"/>
      <c r="QEG227" s="4"/>
      <c r="QEI227" s="4"/>
      <c r="QEK227" s="4"/>
      <c r="QEM227" s="4"/>
      <c r="QEO227" s="4"/>
      <c r="QEQ227" s="4"/>
      <c r="QES227" s="4"/>
      <c r="QEU227" s="4"/>
      <c r="QEW227" s="4"/>
      <c r="QEY227" s="4"/>
      <c r="QFA227" s="4"/>
      <c r="QFC227" s="4"/>
      <c r="QFE227" s="4"/>
      <c r="QFG227" s="4"/>
      <c r="QFI227" s="4"/>
      <c r="QFK227" s="4"/>
      <c r="QFM227" s="4"/>
      <c r="QFO227" s="4"/>
      <c r="QFQ227" s="4"/>
      <c r="QFS227" s="4"/>
      <c r="QFU227" s="4"/>
      <c r="QFW227" s="4"/>
      <c r="QFY227" s="4"/>
      <c r="QGA227" s="4"/>
      <c r="QGC227" s="4"/>
      <c r="QGE227" s="4"/>
      <c r="QGG227" s="4"/>
      <c r="QGI227" s="4"/>
      <c r="QGK227" s="4"/>
      <c r="QGM227" s="4"/>
      <c r="QGO227" s="4"/>
      <c r="QGQ227" s="4"/>
      <c r="QGS227" s="4"/>
      <c r="QGU227" s="4"/>
      <c r="QGW227" s="4"/>
      <c r="QGY227" s="4"/>
      <c r="QHA227" s="4"/>
      <c r="QHC227" s="4"/>
      <c r="QHE227" s="4"/>
      <c r="QHG227" s="4"/>
      <c r="QHI227" s="4"/>
      <c r="QHK227" s="4"/>
      <c r="QHM227" s="4"/>
      <c r="QHO227" s="4"/>
      <c r="QHQ227" s="4"/>
      <c r="QHS227" s="4"/>
      <c r="QHU227" s="4"/>
      <c r="QHW227" s="4"/>
      <c r="QHY227" s="4"/>
      <c r="QIA227" s="4"/>
      <c r="QIC227" s="4"/>
      <c r="QIE227" s="4"/>
      <c r="QIG227" s="4"/>
      <c r="QII227" s="4"/>
      <c r="QIK227" s="4"/>
      <c r="QIM227" s="4"/>
      <c r="QIO227" s="4"/>
      <c r="QIQ227" s="4"/>
      <c r="QIS227" s="4"/>
      <c r="QIU227" s="4"/>
      <c r="QIW227" s="4"/>
      <c r="QIY227" s="4"/>
      <c r="QJA227" s="4"/>
      <c r="QJC227" s="4"/>
      <c r="QJE227" s="4"/>
      <c r="QJG227" s="4"/>
      <c r="QJI227" s="4"/>
      <c r="QJK227" s="4"/>
      <c r="QJM227" s="4"/>
      <c r="QJO227" s="4"/>
      <c r="QJQ227" s="4"/>
      <c r="QJS227" s="4"/>
      <c r="QJU227" s="4"/>
      <c r="QJW227" s="4"/>
      <c r="QJY227" s="4"/>
      <c r="QKA227" s="4"/>
      <c r="QKC227" s="4"/>
      <c r="QKE227" s="4"/>
      <c r="QKG227" s="4"/>
      <c r="QKI227" s="4"/>
      <c r="QKK227" s="4"/>
      <c r="QKM227" s="4"/>
      <c r="QKO227" s="4"/>
      <c r="QKQ227" s="4"/>
      <c r="QKS227" s="4"/>
      <c r="QKU227" s="4"/>
      <c r="QKW227" s="4"/>
      <c r="QKY227" s="4"/>
      <c r="QLA227" s="4"/>
      <c r="QLC227" s="4"/>
      <c r="QLE227" s="4"/>
      <c r="QLG227" s="4"/>
      <c r="QLI227" s="4"/>
      <c r="QLK227" s="4"/>
      <c r="QLM227" s="4"/>
      <c r="QLO227" s="4"/>
      <c r="QLQ227" s="4"/>
      <c r="QLS227" s="4"/>
      <c r="QLU227" s="4"/>
      <c r="QLW227" s="4"/>
      <c r="QLY227" s="4"/>
      <c r="QMA227" s="4"/>
      <c r="QMC227" s="4"/>
      <c r="QME227" s="4"/>
      <c r="QMG227" s="4"/>
      <c r="QMI227" s="4"/>
      <c r="QMK227" s="4"/>
      <c r="QMM227" s="4"/>
      <c r="QMO227" s="4"/>
      <c r="QMQ227" s="4"/>
      <c r="QMS227" s="4"/>
      <c r="QMU227" s="4"/>
      <c r="QMW227" s="4"/>
      <c r="QMY227" s="4"/>
      <c r="QNA227" s="4"/>
      <c r="QNC227" s="4"/>
      <c r="QNE227" s="4"/>
      <c r="QNG227" s="4"/>
      <c r="QNI227" s="4"/>
      <c r="QNK227" s="4"/>
      <c r="QNM227" s="4"/>
      <c r="QNO227" s="4"/>
      <c r="QNQ227" s="4"/>
      <c r="QNS227" s="4"/>
      <c r="QNU227" s="4"/>
      <c r="QNW227" s="4"/>
      <c r="QNY227" s="4"/>
      <c r="QOA227" s="4"/>
      <c r="QOC227" s="4"/>
      <c r="QOE227" s="4"/>
      <c r="QOG227" s="4"/>
      <c r="QOI227" s="4"/>
      <c r="QOK227" s="4"/>
      <c r="QOM227" s="4"/>
      <c r="QOO227" s="4"/>
      <c r="QOQ227" s="4"/>
      <c r="QOS227" s="4"/>
      <c r="QOU227" s="4"/>
      <c r="QOW227" s="4"/>
      <c r="QOY227" s="4"/>
      <c r="QPA227" s="4"/>
      <c r="QPC227" s="4"/>
      <c r="QPE227" s="4"/>
      <c r="QPG227" s="4"/>
      <c r="QPI227" s="4"/>
      <c r="QPK227" s="4"/>
      <c r="QPM227" s="4"/>
      <c r="QPO227" s="4"/>
      <c r="QPQ227" s="4"/>
      <c r="QPS227" s="4"/>
      <c r="QPU227" s="4"/>
      <c r="QPW227" s="4"/>
      <c r="QPY227" s="4"/>
      <c r="QQA227" s="4"/>
      <c r="QQC227" s="4"/>
      <c r="QQE227" s="4"/>
      <c r="QQG227" s="4"/>
      <c r="QQI227" s="4"/>
      <c r="QQK227" s="4"/>
      <c r="QQM227" s="4"/>
      <c r="QQO227" s="4"/>
      <c r="QQQ227" s="4"/>
      <c r="QQS227" s="4"/>
      <c r="QQU227" s="4"/>
      <c r="QQW227" s="4"/>
      <c r="QQY227" s="4"/>
      <c r="QRA227" s="4"/>
      <c r="QRC227" s="4"/>
      <c r="QRE227" s="4"/>
      <c r="QRG227" s="4"/>
      <c r="QRI227" s="4"/>
      <c r="QRK227" s="4"/>
      <c r="QRM227" s="4"/>
      <c r="QRO227" s="4"/>
      <c r="QRQ227" s="4"/>
      <c r="QRS227" s="4"/>
      <c r="QRU227" s="4"/>
      <c r="QRW227" s="4"/>
      <c r="QRY227" s="4"/>
      <c r="QSA227" s="4"/>
      <c r="QSC227" s="4"/>
      <c r="QSE227" s="4"/>
      <c r="QSG227" s="4"/>
      <c r="QSI227" s="4"/>
      <c r="QSK227" s="4"/>
      <c r="QSM227" s="4"/>
      <c r="QSO227" s="4"/>
      <c r="QSQ227" s="4"/>
      <c r="QSS227" s="4"/>
      <c r="QSU227" s="4"/>
      <c r="QSW227" s="4"/>
      <c r="QSY227" s="4"/>
      <c r="QTA227" s="4"/>
      <c r="QTC227" s="4"/>
      <c r="QTE227" s="4"/>
      <c r="QTG227" s="4"/>
      <c r="QTI227" s="4"/>
      <c r="QTK227" s="4"/>
      <c r="QTM227" s="4"/>
      <c r="QTO227" s="4"/>
      <c r="QTQ227" s="4"/>
      <c r="QTS227" s="4"/>
      <c r="QTU227" s="4"/>
      <c r="QTW227" s="4"/>
      <c r="QTY227" s="4"/>
      <c r="QUA227" s="4"/>
      <c r="QUC227" s="4"/>
      <c r="QUE227" s="4"/>
      <c r="QUG227" s="4"/>
      <c r="QUI227" s="4"/>
      <c r="QUK227" s="4"/>
      <c r="QUM227" s="4"/>
      <c r="QUO227" s="4"/>
      <c r="QUQ227" s="4"/>
      <c r="QUS227" s="4"/>
      <c r="QUU227" s="4"/>
      <c r="QUW227" s="4"/>
      <c r="QUY227" s="4"/>
      <c r="QVA227" s="4"/>
      <c r="QVC227" s="4"/>
      <c r="QVE227" s="4"/>
      <c r="QVG227" s="4"/>
      <c r="QVI227" s="4"/>
      <c r="QVK227" s="4"/>
      <c r="QVM227" s="4"/>
      <c r="QVO227" s="4"/>
      <c r="QVQ227" s="4"/>
      <c r="QVS227" s="4"/>
      <c r="QVU227" s="4"/>
      <c r="QVW227" s="4"/>
      <c r="QVY227" s="4"/>
      <c r="QWA227" s="4"/>
      <c r="QWC227" s="4"/>
      <c r="QWE227" s="4"/>
      <c r="QWG227" s="4"/>
      <c r="QWI227" s="4"/>
      <c r="QWK227" s="4"/>
      <c r="QWM227" s="4"/>
      <c r="QWO227" s="4"/>
      <c r="QWQ227" s="4"/>
      <c r="QWS227" s="4"/>
      <c r="QWU227" s="4"/>
      <c r="QWW227" s="4"/>
      <c r="QWY227" s="4"/>
      <c r="QXA227" s="4"/>
      <c r="QXC227" s="4"/>
      <c r="QXE227" s="4"/>
      <c r="QXG227" s="4"/>
      <c r="QXI227" s="4"/>
      <c r="QXK227" s="4"/>
      <c r="QXM227" s="4"/>
      <c r="QXO227" s="4"/>
      <c r="QXQ227" s="4"/>
      <c r="QXS227" s="4"/>
      <c r="QXU227" s="4"/>
      <c r="QXW227" s="4"/>
      <c r="QXY227" s="4"/>
      <c r="QYA227" s="4"/>
      <c r="QYC227" s="4"/>
      <c r="QYE227" s="4"/>
      <c r="QYG227" s="4"/>
      <c r="QYI227" s="4"/>
      <c r="QYK227" s="4"/>
      <c r="QYM227" s="4"/>
      <c r="QYO227" s="4"/>
      <c r="QYQ227" s="4"/>
      <c r="QYS227" s="4"/>
      <c r="QYU227" s="4"/>
      <c r="QYW227" s="4"/>
      <c r="QYY227" s="4"/>
      <c r="QZA227" s="4"/>
      <c r="QZC227" s="4"/>
      <c r="QZE227" s="4"/>
      <c r="QZG227" s="4"/>
      <c r="QZI227" s="4"/>
      <c r="QZK227" s="4"/>
      <c r="QZM227" s="4"/>
      <c r="QZO227" s="4"/>
      <c r="QZQ227" s="4"/>
      <c r="QZS227" s="4"/>
      <c r="QZU227" s="4"/>
      <c r="QZW227" s="4"/>
      <c r="QZY227" s="4"/>
      <c r="RAA227" s="4"/>
      <c r="RAC227" s="4"/>
      <c r="RAE227" s="4"/>
      <c r="RAG227" s="4"/>
      <c r="RAI227" s="4"/>
      <c r="RAK227" s="4"/>
      <c r="RAM227" s="4"/>
      <c r="RAO227" s="4"/>
      <c r="RAQ227" s="4"/>
      <c r="RAS227" s="4"/>
      <c r="RAU227" s="4"/>
      <c r="RAW227" s="4"/>
      <c r="RAY227" s="4"/>
      <c r="RBA227" s="4"/>
      <c r="RBC227" s="4"/>
      <c r="RBE227" s="4"/>
      <c r="RBG227" s="4"/>
      <c r="RBI227" s="4"/>
      <c r="RBK227" s="4"/>
      <c r="RBM227" s="4"/>
      <c r="RBO227" s="4"/>
      <c r="RBQ227" s="4"/>
      <c r="RBS227" s="4"/>
      <c r="RBU227" s="4"/>
      <c r="RBW227" s="4"/>
      <c r="RBY227" s="4"/>
      <c r="RCA227" s="4"/>
      <c r="RCC227" s="4"/>
      <c r="RCE227" s="4"/>
      <c r="RCG227" s="4"/>
      <c r="RCI227" s="4"/>
      <c r="RCK227" s="4"/>
      <c r="RCM227" s="4"/>
      <c r="RCO227" s="4"/>
      <c r="RCQ227" s="4"/>
      <c r="RCS227" s="4"/>
      <c r="RCU227" s="4"/>
      <c r="RCW227" s="4"/>
      <c r="RCY227" s="4"/>
      <c r="RDA227" s="4"/>
      <c r="RDC227" s="4"/>
      <c r="RDE227" s="4"/>
      <c r="RDG227" s="4"/>
      <c r="RDI227" s="4"/>
      <c r="RDK227" s="4"/>
      <c r="RDM227" s="4"/>
      <c r="RDO227" s="4"/>
      <c r="RDQ227" s="4"/>
      <c r="RDS227" s="4"/>
      <c r="RDU227" s="4"/>
      <c r="RDW227" s="4"/>
      <c r="RDY227" s="4"/>
      <c r="REA227" s="4"/>
      <c r="REC227" s="4"/>
      <c r="REE227" s="4"/>
      <c r="REG227" s="4"/>
      <c r="REI227" s="4"/>
      <c r="REK227" s="4"/>
      <c r="REM227" s="4"/>
      <c r="REO227" s="4"/>
      <c r="REQ227" s="4"/>
      <c r="RES227" s="4"/>
      <c r="REU227" s="4"/>
      <c r="REW227" s="4"/>
      <c r="REY227" s="4"/>
      <c r="RFA227" s="4"/>
      <c r="RFC227" s="4"/>
      <c r="RFE227" s="4"/>
      <c r="RFG227" s="4"/>
      <c r="RFI227" s="4"/>
      <c r="RFK227" s="4"/>
      <c r="RFM227" s="4"/>
      <c r="RFO227" s="4"/>
      <c r="RFQ227" s="4"/>
      <c r="RFS227" s="4"/>
      <c r="RFU227" s="4"/>
      <c r="RFW227" s="4"/>
      <c r="RFY227" s="4"/>
      <c r="RGA227" s="4"/>
      <c r="RGC227" s="4"/>
      <c r="RGE227" s="4"/>
      <c r="RGG227" s="4"/>
      <c r="RGI227" s="4"/>
      <c r="RGK227" s="4"/>
      <c r="RGM227" s="4"/>
      <c r="RGO227" s="4"/>
      <c r="RGQ227" s="4"/>
      <c r="RGS227" s="4"/>
      <c r="RGU227" s="4"/>
      <c r="RGW227" s="4"/>
      <c r="RGY227" s="4"/>
      <c r="RHA227" s="4"/>
      <c r="RHC227" s="4"/>
      <c r="RHE227" s="4"/>
      <c r="RHG227" s="4"/>
      <c r="RHI227" s="4"/>
      <c r="RHK227" s="4"/>
      <c r="RHM227" s="4"/>
      <c r="RHO227" s="4"/>
      <c r="RHQ227" s="4"/>
      <c r="RHS227" s="4"/>
      <c r="RHU227" s="4"/>
      <c r="RHW227" s="4"/>
      <c r="RHY227" s="4"/>
      <c r="RIA227" s="4"/>
      <c r="RIC227" s="4"/>
      <c r="RIE227" s="4"/>
      <c r="RIG227" s="4"/>
      <c r="RII227" s="4"/>
      <c r="RIK227" s="4"/>
      <c r="RIM227" s="4"/>
      <c r="RIO227" s="4"/>
      <c r="RIQ227" s="4"/>
      <c r="RIS227" s="4"/>
      <c r="RIU227" s="4"/>
      <c r="RIW227" s="4"/>
      <c r="RIY227" s="4"/>
      <c r="RJA227" s="4"/>
      <c r="RJC227" s="4"/>
      <c r="RJE227" s="4"/>
      <c r="RJG227" s="4"/>
      <c r="RJI227" s="4"/>
      <c r="RJK227" s="4"/>
      <c r="RJM227" s="4"/>
      <c r="RJO227" s="4"/>
      <c r="RJQ227" s="4"/>
      <c r="RJS227" s="4"/>
      <c r="RJU227" s="4"/>
      <c r="RJW227" s="4"/>
      <c r="RJY227" s="4"/>
      <c r="RKA227" s="4"/>
      <c r="RKC227" s="4"/>
      <c r="RKE227" s="4"/>
      <c r="RKG227" s="4"/>
      <c r="RKI227" s="4"/>
      <c r="RKK227" s="4"/>
      <c r="RKM227" s="4"/>
      <c r="RKO227" s="4"/>
      <c r="RKQ227" s="4"/>
      <c r="RKS227" s="4"/>
      <c r="RKU227" s="4"/>
      <c r="RKW227" s="4"/>
      <c r="RKY227" s="4"/>
      <c r="RLA227" s="4"/>
      <c r="RLC227" s="4"/>
      <c r="RLE227" s="4"/>
      <c r="RLG227" s="4"/>
      <c r="RLI227" s="4"/>
      <c r="RLK227" s="4"/>
      <c r="RLM227" s="4"/>
      <c r="RLO227" s="4"/>
      <c r="RLQ227" s="4"/>
      <c r="RLS227" s="4"/>
      <c r="RLU227" s="4"/>
      <c r="RLW227" s="4"/>
      <c r="RLY227" s="4"/>
      <c r="RMA227" s="4"/>
      <c r="RMC227" s="4"/>
      <c r="RME227" s="4"/>
      <c r="RMG227" s="4"/>
      <c r="RMI227" s="4"/>
      <c r="RMK227" s="4"/>
      <c r="RMM227" s="4"/>
      <c r="RMO227" s="4"/>
      <c r="RMQ227" s="4"/>
      <c r="RMS227" s="4"/>
      <c r="RMU227" s="4"/>
      <c r="RMW227" s="4"/>
      <c r="RMY227" s="4"/>
      <c r="RNA227" s="4"/>
      <c r="RNC227" s="4"/>
      <c r="RNE227" s="4"/>
      <c r="RNG227" s="4"/>
      <c r="RNI227" s="4"/>
      <c r="RNK227" s="4"/>
      <c r="RNM227" s="4"/>
      <c r="RNO227" s="4"/>
      <c r="RNQ227" s="4"/>
      <c r="RNS227" s="4"/>
      <c r="RNU227" s="4"/>
      <c r="RNW227" s="4"/>
      <c r="RNY227" s="4"/>
      <c r="ROA227" s="4"/>
      <c r="ROC227" s="4"/>
      <c r="ROE227" s="4"/>
      <c r="ROG227" s="4"/>
      <c r="ROI227" s="4"/>
      <c r="ROK227" s="4"/>
      <c r="ROM227" s="4"/>
      <c r="ROO227" s="4"/>
      <c r="ROQ227" s="4"/>
      <c r="ROS227" s="4"/>
      <c r="ROU227" s="4"/>
      <c r="ROW227" s="4"/>
      <c r="ROY227" s="4"/>
      <c r="RPA227" s="4"/>
      <c r="RPC227" s="4"/>
      <c r="RPE227" s="4"/>
      <c r="RPG227" s="4"/>
      <c r="RPI227" s="4"/>
      <c r="RPK227" s="4"/>
      <c r="RPM227" s="4"/>
      <c r="RPO227" s="4"/>
      <c r="RPQ227" s="4"/>
      <c r="RPS227" s="4"/>
      <c r="RPU227" s="4"/>
      <c r="RPW227" s="4"/>
      <c r="RPY227" s="4"/>
      <c r="RQA227" s="4"/>
      <c r="RQC227" s="4"/>
      <c r="RQE227" s="4"/>
      <c r="RQG227" s="4"/>
      <c r="RQI227" s="4"/>
      <c r="RQK227" s="4"/>
      <c r="RQM227" s="4"/>
      <c r="RQO227" s="4"/>
      <c r="RQQ227" s="4"/>
      <c r="RQS227" s="4"/>
      <c r="RQU227" s="4"/>
      <c r="RQW227" s="4"/>
      <c r="RQY227" s="4"/>
      <c r="RRA227" s="4"/>
      <c r="RRC227" s="4"/>
      <c r="RRE227" s="4"/>
      <c r="RRG227" s="4"/>
      <c r="RRI227" s="4"/>
      <c r="RRK227" s="4"/>
      <c r="RRM227" s="4"/>
      <c r="RRO227" s="4"/>
      <c r="RRQ227" s="4"/>
      <c r="RRS227" s="4"/>
      <c r="RRU227" s="4"/>
      <c r="RRW227" s="4"/>
      <c r="RRY227" s="4"/>
      <c r="RSA227" s="4"/>
      <c r="RSC227" s="4"/>
      <c r="RSE227" s="4"/>
      <c r="RSG227" s="4"/>
      <c r="RSI227" s="4"/>
      <c r="RSK227" s="4"/>
      <c r="RSM227" s="4"/>
      <c r="RSO227" s="4"/>
      <c r="RSQ227" s="4"/>
      <c r="RSS227" s="4"/>
      <c r="RSU227" s="4"/>
      <c r="RSW227" s="4"/>
      <c r="RSY227" s="4"/>
      <c r="RTA227" s="4"/>
      <c r="RTC227" s="4"/>
      <c r="RTE227" s="4"/>
      <c r="RTG227" s="4"/>
      <c r="RTI227" s="4"/>
      <c r="RTK227" s="4"/>
      <c r="RTM227" s="4"/>
      <c r="RTO227" s="4"/>
      <c r="RTQ227" s="4"/>
      <c r="RTS227" s="4"/>
      <c r="RTU227" s="4"/>
      <c r="RTW227" s="4"/>
      <c r="RTY227" s="4"/>
      <c r="RUA227" s="4"/>
      <c r="RUC227" s="4"/>
      <c r="RUE227" s="4"/>
      <c r="RUG227" s="4"/>
      <c r="RUI227" s="4"/>
      <c r="RUK227" s="4"/>
      <c r="RUM227" s="4"/>
      <c r="RUO227" s="4"/>
      <c r="RUQ227" s="4"/>
      <c r="RUS227" s="4"/>
      <c r="RUU227" s="4"/>
      <c r="RUW227" s="4"/>
      <c r="RUY227" s="4"/>
      <c r="RVA227" s="4"/>
      <c r="RVC227" s="4"/>
      <c r="RVE227" s="4"/>
      <c r="RVG227" s="4"/>
      <c r="RVI227" s="4"/>
      <c r="RVK227" s="4"/>
      <c r="RVM227" s="4"/>
      <c r="RVO227" s="4"/>
      <c r="RVQ227" s="4"/>
      <c r="RVS227" s="4"/>
      <c r="RVU227" s="4"/>
      <c r="RVW227" s="4"/>
      <c r="RVY227" s="4"/>
      <c r="RWA227" s="4"/>
      <c r="RWC227" s="4"/>
      <c r="RWE227" s="4"/>
      <c r="RWG227" s="4"/>
      <c r="RWI227" s="4"/>
      <c r="RWK227" s="4"/>
      <c r="RWM227" s="4"/>
      <c r="RWO227" s="4"/>
      <c r="RWQ227" s="4"/>
      <c r="RWS227" s="4"/>
      <c r="RWU227" s="4"/>
      <c r="RWW227" s="4"/>
      <c r="RWY227" s="4"/>
      <c r="RXA227" s="4"/>
      <c r="RXC227" s="4"/>
      <c r="RXE227" s="4"/>
      <c r="RXG227" s="4"/>
      <c r="RXI227" s="4"/>
      <c r="RXK227" s="4"/>
      <c r="RXM227" s="4"/>
      <c r="RXO227" s="4"/>
      <c r="RXQ227" s="4"/>
      <c r="RXS227" s="4"/>
      <c r="RXU227" s="4"/>
      <c r="RXW227" s="4"/>
      <c r="RXY227" s="4"/>
      <c r="RYA227" s="4"/>
      <c r="RYC227" s="4"/>
      <c r="RYE227" s="4"/>
      <c r="RYG227" s="4"/>
      <c r="RYI227" s="4"/>
      <c r="RYK227" s="4"/>
      <c r="RYM227" s="4"/>
      <c r="RYO227" s="4"/>
      <c r="RYQ227" s="4"/>
      <c r="RYS227" s="4"/>
      <c r="RYU227" s="4"/>
      <c r="RYW227" s="4"/>
      <c r="RYY227" s="4"/>
      <c r="RZA227" s="4"/>
      <c r="RZC227" s="4"/>
      <c r="RZE227" s="4"/>
      <c r="RZG227" s="4"/>
      <c r="RZI227" s="4"/>
      <c r="RZK227" s="4"/>
      <c r="RZM227" s="4"/>
      <c r="RZO227" s="4"/>
      <c r="RZQ227" s="4"/>
      <c r="RZS227" s="4"/>
      <c r="RZU227" s="4"/>
      <c r="RZW227" s="4"/>
      <c r="RZY227" s="4"/>
      <c r="SAA227" s="4"/>
      <c r="SAC227" s="4"/>
      <c r="SAE227" s="4"/>
      <c r="SAG227" s="4"/>
      <c r="SAI227" s="4"/>
      <c r="SAK227" s="4"/>
      <c r="SAM227" s="4"/>
      <c r="SAO227" s="4"/>
      <c r="SAQ227" s="4"/>
      <c r="SAS227" s="4"/>
      <c r="SAU227" s="4"/>
      <c r="SAW227" s="4"/>
      <c r="SAY227" s="4"/>
      <c r="SBA227" s="4"/>
      <c r="SBC227" s="4"/>
      <c r="SBE227" s="4"/>
      <c r="SBG227" s="4"/>
      <c r="SBI227" s="4"/>
      <c r="SBK227" s="4"/>
      <c r="SBM227" s="4"/>
      <c r="SBO227" s="4"/>
      <c r="SBQ227" s="4"/>
      <c r="SBS227" s="4"/>
      <c r="SBU227" s="4"/>
      <c r="SBW227" s="4"/>
      <c r="SBY227" s="4"/>
      <c r="SCA227" s="4"/>
      <c r="SCC227" s="4"/>
      <c r="SCE227" s="4"/>
      <c r="SCG227" s="4"/>
      <c r="SCI227" s="4"/>
      <c r="SCK227" s="4"/>
      <c r="SCM227" s="4"/>
      <c r="SCO227" s="4"/>
      <c r="SCQ227" s="4"/>
      <c r="SCS227" s="4"/>
      <c r="SCU227" s="4"/>
      <c r="SCW227" s="4"/>
      <c r="SCY227" s="4"/>
      <c r="SDA227" s="4"/>
      <c r="SDC227" s="4"/>
      <c r="SDE227" s="4"/>
      <c r="SDG227" s="4"/>
      <c r="SDI227" s="4"/>
      <c r="SDK227" s="4"/>
      <c r="SDM227" s="4"/>
      <c r="SDO227" s="4"/>
      <c r="SDQ227" s="4"/>
      <c r="SDS227" s="4"/>
      <c r="SDU227" s="4"/>
      <c r="SDW227" s="4"/>
      <c r="SDY227" s="4"/>
      <c r="SEA227" s="4"/>
      <c r="SEC227" s="4"/>
      <c r="SEE227" s="4"/>
      <c r="SEG227" s="4"/>
      <c r="SEI227" s="4"/>
      <c r="SEK227" s="4"/>
      <c r="SEM227" s="4"/>
      <c r="SEO227" s="4"/>
      <c r="SEQ227" s="4"/>
      <c r="SES227" s="4"/>
      <c r="SEU227" s="4"/>
      <c r="SEW227" s="4"/>
      <c r="SEY227" s="4"/>
      <c r="SFA227" s="4"/>
      <c r="SFC227" s="4"/>
      <c r="SFE227" s="4"/>
      <c r="SFG227" s="4"/>
      <c r="SFI227" s="4"/>
      <c r="SFK227" s="4"/>
      <c r="SFM227" s="4"/>
      <c r="SFO227" s="4"/>
      <c r="SFQ227" s="4"/>
      <c r="SFS227" s="4"/>
      <c r="SFU227" s="4"/>
      <c r="SFW227" s="4"/>
      <c r="SFY227" s="4"/>
      <c r="SGA227" s="4"/>
      <c r="SGC227" s="4"/>
      <c r="SGE227" s="4"/>
      <c r="SGG227" s="4"/>
      <c r="SGI227" s="4"/>
      <c r="SGK227" s="4"/>
      <c r="SGM227" s="4"/>
      <c r="SGO227" s="4"/>
      <c r="SGQ227" s="4"/>
      <c r="SGS227" s="4"/>
      <c r="SGU227" s="4"/>
      <c r="SGW227" s="4"/>
      <c r="SGY227" s="4"/>
      <c r="SHA227" s="4"/>
      <c r="SHC227" s="4"/>
      <c r="SHE227" s="4"/>
      <c r="SHG227" s="4"/>
      <c r="SHI227" s="4"/>
      <c r="SHK227" s="4"/>
      <c r="SHM227" s="4"/>
      <c r="SHO227" s="4"/>
      <c r="SHQ227" s="4"/>
      <c r="SHS227" s="4"/>
      <c r="SHU227" s="4"/>
      <c r="SHW227" s="4"/>
      <c r="SHY227" s="4"/>
      <c r="SIA227" s="4"/>
      <c r="SIC227" s="4"/>
      <c r="SIE227" s="4"/>
      <c r="SIG227" s="4"/>
      <c r="SII227" s="4"/>
      <c r="SIK227" s="4"/>
      <c r="SIM227" s="4"/>
      <c r="SIO227" s="4"/>
      <c r="SIQ227" s="4"/>
      <c r="SIS227" s="4"/>
      <c r="SIU227" s="4"/>
      <c r="SIW227" s="4"/>
      <c r="SIY227" s="4"/>
      <c r="SJA227" s="4"/>
      <c r="SJC227" s="4"/>
      <c r="SJE227" s="4"/>
      <c r="SJG227" s="4"/>
      <c r="SJI227" s="4"/>
      <c r="SJK227" s="4"/>
      <c r="SJM227" s="4"/>
      <c r="SJO227" s="4"/>
      <c r="SJQ227" s="4"/>
      <c r="SJS227" s="4"/>
      <c r="SJU227" s="4"/>
      <c r="SJW227" s="4"/>
      <c r="SJY227" s="4"/>
      <c r="SKA227" s="4"/>
      <c r="SKC227" s="4"/>
      <c r="SKE227" s="4"/>
      <c r="SKG227" s="4"/>
      <c r="SKI227" s="4"/>
      <c r="SKK227" s="4"/>
      <c r="SKM227" s="4"/>
      <c r="SKO227" s="4"/>
      <c r="SKQ227" s="4"/>
      <c r="SKS227" s="4"/>
      <c r="SKU227" s="4"/>
      <c r="SKW227" s="4"/>
      <c r="SKY227" s="4"/>
      <c r="SLA227" s="4"/>
      <c r="SLC227" s="4"/>
      <c r="SLE227" s="4"/>
      <c r="SLG227" s="4"/>
      <c r="SLI227" s="4"/>
      <c r="SLK227" s="4"/>
      <c r="SLM227" s="4"/>
      <c r="SLO227" s="4"/>
      <c r="SLQ227" s="4"/>
      <c r="SLS227" s="4"/>
      <c r="SLU227" s="4"/>
      <c r="SLW227" s="4"/>
      <c r="SLY227" s="4"/>
      <c r="SMA227" s="4"/>
      <c r="SMC227" s="4"/>
      <c r="SME227" s="4"/>
      <c r="SMG227" s="4"/>
      <c r="SMI227" s="4"/>
      <c r="SMK227" s="4"/>
      <c r="SMM227" s="4"/>
      <c r="SMO227" s="4"/>
      <c r="SMQ227" s="4"/>
      <c r="SMS227" s="4"/>
      <c r="SMU227" s="4"/>
      <c r="SMW227" s="4"/>
      <c r="SMY227" s="4"/>
      <c r="SNA227" s="4"/>
      <c r="SNC227" s="4"/>
      <c r="SNE227" s="4"/>
      <c r="SNG227" s="4"/>
      <c r="SNI227" s="4"/>
      <c r="SNK227" s="4"/>
      <c r="SNM227" s="4"/>
      <c r="SNO227" s="4"/>
      <c r="SNQ227" s="4"/>
      <c r="SNS227" s="4"/>
      <c r="SNU227" s="4"/>
      <c r="SNW227" s="4"/>
      <c r="SNY227" s="4"/>
      <c r="SOA227" s="4"/>
      <c r="SOC227" s="4"/>
      <c r="SOE227" s="4"/>
      <c r="SOG227" s="4"/>
      <c r="SOI227" s="4"/>
      <c r="SOK227" s="4"/>
      <c r="SOM227" s="4"/>
      <c r="SOO227" s="4"/>
      <c r="SOQ227" s="4"/>
      <c r="SOS227" s="4"/>
      <c r="SOU227" s="4"/>
      <c r="SOW227" s="4"/>
      <c r="SOY227" s="4"/>
      <c r="SPA227" s="4"/>
      <c r="SPC227" s="4"/>
      <c r="SPE227" s="4"/>
      <c r="SPG227" s="4"/>
      <c r="SPI227" s="4"/>
      <c r="SPK227" s="4"/>
      <c r="SPM227" s="4"/>
      <c r="SPO227" s="4"/>
      <c r="SPQ227" s="4"/>
      <c r="SPS227" s="4"/>
      <c r="SPU227" s="4"/>
      <c r="SPW227" s="4"/>
      <c r="SPY227" s="4"/>
      <c r="SQA227" s="4"/>
      <c r="SQC227" s="4"/>
      <c r="SQE227" s="4"/>
      <c r="SQG227" s="4"/>
      <c r="SQI227" s="4"/>
      <c r="SQK227" s="4"/>
      <c r="SQM227" s="4"/>
      <c r="SQO227" s="4"/>
      <c r="SQQ227" s="4"/>
      <c r="SQS227" s="4"/>
      <c r="SQU227" s="4"/>
      <c r="SQW227" s="4"/>
      <c r="SQY227" s="4"/>
      <c r="SRA227" s="4"/>
      <c r="SRC227" s="4"/>
      <c r="SRE227" s="4"/>
      <c r="SRG227" s="4"/>
      <c r="SRI227" s="4"/>
      <c r="SRK227" s="4"/>
      <c r="SRM227" s="4"/>
      <c r="SRO227" s="4"/>
      <c r="SRQ227" s="4"/>
      <c r="SRS227" s="4"/>
      <c r="SRU227" s="4"/>
      <c r="SRW227" s="4"/>
      <c r="SRY227" s="4"/>
      <c r="SSA227" s="4"/>
      <c r="SSC227" s="4"/>
      <c r="SSE227" s="4"/>
      <c r="SSG227" s="4"/>
      <c r="SSI227" s="4"/>
      <c r="SSK227" s="4"/>
      <c r="SSM227" s="4"/>
      <c r="SSO227" s="4"/>
      <c r="SSQ227" s="4"/>
      <c r="SSS227" s="4"/>
      <c r="SSU227" s="4"/>
      <c r="SSW227" s="4"/>
      <c r="SSY227" s="4"/>
      <c r="STA227" s="4"/>
      <c r="STC227" s="4"/>
      <c r="STE227" s="4"/>
      <c r="STG227" s="4"/>
      <c r="STI227" s="4"/>
      <c r="STK227" s="4"/>
      <c r="STM227" s="4"/>
      <c r="STO227" s="4"/>
      <c r="STQ227" s="4"/>
      <c r="STS227" s="4"/>
      <c r="STU227" s="4"/>
      <c r="STW227" s="4"/>
      <c r="STY227" s="4"/>
      <c r="SUA227" s="4"/>
      <c r="SUC227" s="4"/>
      <c r="SUE227" s="4"/>
      <c r="SUG227" s="4"/>
      <c r="SUI227" s="4"/>
      <c r="SUK227" s="4"/>
      <c r="SUM227" s="4"/>
      <c r="SUO227" s="4"/>
      <c r="SUQ227" s="4"/>
      <c r="SUS227" s="4"/>
      <c r="SUU227" s="4"/>
      <c r="SUW227" s="4"/>
      <c r="SUY227" s="4"/>
      <c r="SVA227" s="4"/>
      <c r="SVC227" s="4"/>
      <c r="SVE227" s="4"/>
      <c r="SVG227" s="4"/>
      <c r="SVI227" s="4"/>
      <c r="SVK227" s="4"/>
      <c r="SVM227" s="4"/>
      <c r="SVO227" s="4"/>
      <c r="SVQ227" s="4"/>
      <c r="SVS227" s="4"/>
      <c r="SVU227" s="4"/>
      <c r="SVW227" s="4"/>
      <c r="SVY227" s="4"/>
      <c r="SWA227" s="4"/>
      <c r="SWC227" s="4"/>
      <c r="SWE227" s="4"/>
      <c r="SWG227" s="4"/>
      <c r="SWI227" s="4"/>
      <c r="SWK227" s="4"/>
      <c r="SWM227" s="4"/>
      <c r="SWO227" s="4"/>
      <c r="SWQ227" s="4"/>
      <c r="SWS227" s="4"/>
      <c r="SWU227" s="4"/>
      <c r="SWW227" s="4"/>
      <c r="SWY227" s="4"/>
      <c r="SXA227" s="4"/>
      <c r="SXC227" s="4"/>
      <c r="SXE227" s="4"/>
      <c r="SXG227" s="4"/>
      <c r="SXI227" s="4"/>
      <c r="SXK227" s="4"/>
      <c r="SXM227" s="4"/>
      <c r="SXO227" s="4"/>
      <c r="SXQ227" s="4"/>
      <c r="SXS227" s="4"/>
      <c r="SXU227" s="4"/>
      <c r="SXW227" s="4"/>
      <c r="SXY227" s="4"/>
      <c r="SYA227" s="4"/>
      <c r="SYC227" s="4"/>
      <c r="SYE227" s="4"/>
      <c r="SYG227" s="4"/>
      <c r="SYI227" s="4"/>
      <c r="SYK227" s="4"/>
      <c r="SYM227" s="4"/>
      <c r="SYO227" s="4"/>
      <c r="SYQ227" s="4"/>
      <c r="SYS227" s="4"/>
      <c r="SYU227" s="4"/>
      <c r="SYW227" s="4"/>
      <c r="SYY227" s="4"/>
      <c r="SZA227" s="4"/>
      <c r="SZC227" s="4"/>
      <c r="SZE227" s="4"/>
      <c r="SZG227" s="4"/>
      <c r="SZI227" s="4"/>
      <c r="SZK227" s="4"/>
      <c r="SZM227" s="4"/>
      <c r="SZO227" s="4"/>
      <c r="SZQ227" s="4"/>
      <c r="SZS227" s="4"/>
      <c r="SZU227" s="4"/>
      <c r="SZW227" s="4"/>
      <c r="SZY227" s="4"/>
      <c r="TAA227" s="4"/>
      <c r="TAC227" s="4"/>
      <c r="TAE227" s="4"/>
      <c r="TAG227" s="4"/>
      <c r="TAI227" s="4"/>
      <c r="TAK227" s="4"/>
      <c r="TAM227" s="4"/>
      <c r="TAO227" s="4"/>
      <c r="TAQ227" s="4"/>
      <c r="TAS227" s="4"/>
      <c r="TAU227" s="4"/>
      <c r="TAW227" s="4"/>
      <c r="TAY227" s="4"/>
      <c r="TBA227" s="4"/>
      <c r="TBC227" s="4"/>
      <c r="TBE227" s="4"/>
      <c r="TBG227" s="4"/>
      <c r="TBI227" s="4"/>
      <c r="TBK227" s="4"/>
      <c r="TBM227" s="4"/>
      <c r="TBO227" s="4"/>
      <c r="TBQ227" s="4"/>
      <c r="TBS227" s="4"/>
      <c r="TBU227" s="4"/>
      <c r="TBW227" s="4"/>
      <c r="TBY227" s="4"/>
      <c r="TCA227" s="4"/>
      <c r="TCC227" s="4"/>
      <c r="TCE227" s="4"/>
      <c r="TCG227" s="4"/>
      <c r="TCI227" s="4"/>
      <c r="TCK227" s="4"/>
      <c r="TCM227" s="4"/>
      <c r="TCO227" s="4"/>
      <c r="TCQ227" s="4"/>
      <c r="TCS227" s="4"/>
      <c r="TCU227" s="4"/>
      <c r="TCW227" s="4"/>
      <c r="TCY227" s="4"/>
      <c r="TDA227" s="4"/>
      <c r="TDC227" s="4"/>
      <c r="TDE227" s="4"/>
      <c r="TDG227" s="4"/>
      <c r="TDI227" s="4"/>
      <c r="TDK227" s="4"/>
      <c r="TDM227" s="4"/>
      <c r="TDO227" s="4"/>
      <c r="TDQ227" s="4"/>
      <c r="TDS227" s="4"/>
      <c r="TDU227" s="4"/>
      <c r="TDW227" s="4"/>
      <c r="TDY227" s="4"/>
      <c r="TEA227" s="4"/>
      <c r="TEC227" s="4"/>
      <c r="TEE227" s="4"/>
      <c r="TEG227" s="4"/>
      <c r="TEI227" s="4"/>
      <c r="TEK227" s="4"/>
      <c r="TEM227" s="4"/>
      <c r="TEO227" s="4"/>
      <c r="TEQ227" s="4"/>
      <c r="TES227" s="4"/>
      <c r="TEU227" s="4"/>
      <c r="TEW227" s="4"/>
      <c r="TEY227" s="4"/>
      <c r="TFA227" s="4"/>
      <c r="TFC227" s="4"/>
      <c r="TFE227" s="4"/>
      <c r="TFG227" s="4"/>
      <c r="TFI227" s="4"/>
      <c r="TFK227" s="4"/>
      <c r="TFM227" s="4"/>
      <c r="TFO227" s="4"/>
      <c r="TFQ227" s="4"/>
      <c r="TFS227" s="4"/>
      <c r="TFU227" s="4"/>
      <c r="TFW227" s="4"/>
      <c r="TFY227" s="4"/>
      <c r="TGA227" s="4"/>
      <c r="TGC227" s="4"/>
      <c r="TGE227" s="4"/>
      <c r="TGG227" s="4"/>
      <c r="TGI227" s="4"/>
      <c r="TGK227" s="4"/>
      <c r="TGM227" s="4"/>
      <c r="TGO227" s="4"/>
      <c r="TGQ227" s="4"/>
      <c r="TGS227" s="4"/>
      <c r="TGU227" s="4"/>
      <c r="TGW227" s="4"/>
      <c r="TGY227" s="4"/>
      <c r="THA227" s="4"/>
      <c r="THC227" s="4"/>
      <c r="THE227" s="4"/>
      <c r="THG227" s="4"/>
      <c r="THI227" s="4"/>
      <c r="THK227" s="4"/>
      <c r="THM227" s="4"/>
      <c r="THO227" s="4"/>
      <c r="THQ227" s="4"/>
      <c r="THS227" s="4"/>
      <c r="THU227" s="4"/>
      <c r="THW227" s="4"/>
      <c r="THY227" s="4"/>
      <c r="TIA227" s="4"/>
      <c r="TIC227" s="4"/>
      <c r="TIE227" s="4"/>
      <c r="TIG227" s="4"/>
      <c r="TII227" s="4"/>
      <c r="TIK227" s="4"/>
      <c r="TIM227" s="4"/>
      <c r="TIO227" s="4"/>
      <c r="TIQ227" s="4"/>
      <c r="TIS227" s="4"/>
      <c r="TIU227" s="4"/>
      <c r="TIW227" s="4"/>
      <c r="TIY227" s="4"/>
      <c r="TJA227" s="4"/>
      <c r="TJC227" s="4"/>
      <c r="TJE227" s="4"/>
      <c r="TJG227" s="4"/>
      <c r="TJI227" s="4"/>
      <c r="TJK227" s="4"/>
      <c r="TJM227" s="4"/>
      <c r="TJO227" s="4"/>
      <c r="TJQ227" s="4"/>
      <c r="TJS227" s="4"/>
      <c r="TJU227" s="4"/>
      <c r="TJW227" s="4"/>
      <c r="TJY227" s="4"/>
      <c r="TKA227" s="4"/>
      <c r="TKC227" s="4"/>
      <c r="TKE227" s="4"/>
      <c r="TKG227" s="4"/>
      <c r="TKI227" s="4"/>
      <c r="TKK227" s="4"/>
      <c r="TKM227" s="4"/>
      <c r="TKO227" s="4"/>
      <c r="TKQ227" s="4"/>
      <c r="TKS227" s="4"/>
      <c r="TKU227" s="4"/>
      <c r="TKW227" s="4"/>
      <c r="TKY227" s="4"/>
      <c r="TLA227" s="4"/>
      <c r="TLC227" s="4"/>
      <c r="TLE227" s="4"/>
      <c r="TLG227" s="4"/>
      <c r="TLI227" s="4"/>
      <c r="TLK227" s="4"/>
      <c r="TLM227" s="4"/>
      <c r="TLO227" s="4"/>
      <c r="TLQ227" s="4"/>
      <c r="TLS227" s="4"/>
      <c r="TLU227" s="4"/>
      <c r="TLW227" s="4"/>
      <c r="TLY227" s="4"/>
      <c r="TMA227" s="4"/>
      <c r="TMC227" s="4"/>
      <c r="TME227" s="4"/>
      <c r="TMG227" s="4"/>
      <c r="TMI227" s="4"/>
      <c r="TMK227" s="4"/>
      <c r="TMM227" s="4"/>
      <c r="TMO227" s="4"/>
      <c r="TMQ227" s="4"/>
      <c r="TMS227" s="4"/>
      <c r="TMU227" s="4"/>
      <c r="TMW227" s="4"/>
      <c r="TMY227" s="4"/>
      <c r="TNA227" s="4"/>
      <c r="TNC227" s="4"/>
      <c r="TNE227" s="4"/>
      <c r="TNG227" s="4"/>
      <c r="TNI227" s="4"/>
      <c r="TNK227" s="4"/>
      <c r="TNM227" s="4"/>
      <c r="TNO227" s="4"/>
      <c r="TNQ227" s="4"/>
      <c r="TNS227" s="4"/>
      <c r="TNU227" s="4"/>
      <c r="TNW227" s="4"/>
      <c r="TNY227" s="4"/>
      <c r="TOA227" s="4"/>
      <c r="TOC227" s="4"/>
      <c r="TOE227" s="4"/>
      <c r="TOG227" s="4"/>
      <c r="TOI227" s="4"/>
      <c r="TOK227" s="4"/>
      <c r="TOM227" s="4"/>
      <c r="TOO227" s="4"/>
      <c r="TOQ227" s="4"/>
      <c r="TOS227" s="4"/>
      <c r="TOU227" s="4"/>
      <c r="TOW227" s="4"/>
      <c r="TOY227" s="4"/>
      <c r="TPA227" s="4"/>
      <c r="TPC227" s="4"/>
      <c r="TPE227" s="4"/>
      <c r="TPG227" s="4"/>
      <c r="TPI227" s="4"/>
      <c r="TPK227" s="4"/>
      <c r="TPM227" s="4"/>
      <c r="TPO227" s="4"/>
      <c r="TPQ227" s="4"/>
      <c r="TPS227" s="4"/>
      <c r="TPU227" s="4"/>
      <c r="TPW227" s="4"/>
      <c r="TPY227" s="4"/>
      <c r="TQA227" s="4"/>
      <c r="TQC227" s="4"/>
      <c r="TQE227" s="4"/>
      <c r="TQG227" s="4"/>
      <c r="TQI227" s="4"/>
      <c r="TQK227" s="4"/>
      <c r="TQM227" s="4"/>
      <c r="TQO227" s="4"/>
      <c r="TQQ227" s="4"/>
      <c r="TQS227" s="4"/>
      <c r="TQU227" s="4"/>
      <c r="TQW227" s="4"/>
      <c r="TQY227" s="4"/>
      <c r="TRA227" s="4"/>
      <c r="TRC227" s="4"/>
      <c r="TRE227" s="4"/>
      <c r="TRG227" s="4"/>
      <c r="TRI227" s="4"/>
      <c r="TRK227" s="4"/>
      <c r="TRM227" s="4"/>
      <c r="TRO227" s="4"/>
      <c r="TRQ227" s="4"/>
      <c r="TRS227" s="4"/>
      <c r="TRU227" s="4"/>
      <c r="TRW227" s="4"/>
      <c r="TRY227" s="4"/>
      <c r="TSA227" s="4"/>
      <c r="TSC227" s="4"/>
      <c r="TSE227" s="4"/>
      <c r="TSG227" s="4"/>
      <c r="TSI227" s="4"/>
      <c r="TSK227" s="4"/>
      <c r="TSM227" s="4"/>
      <c r="TSO227" s="4"/>
      <c r="TSQ227" s="4"/>
      <c r="TSS227" s="4"/>
      <c r="TSU227" s="4"/>
      <c r="TSW227" s="4"/>
      <c r="TSY227" s="4"/>
      <c r="TTA227" s="4"/>
      <c r="TTC227" s="4"/>
      <c r="TTE227" s="4"/>
      <c r="TTG227" s="4"/>
      <c r="TTI227" s="4"/>
      <c r="TTK227" s="4"/>
      <c r="TTM227" s="4"/>
      <c r="TTO227" s="4"/>
      <c r="TTQ227" s="4"/>
      <c r="TTS227" s="4"/>
      <c r="TTU227" s="4"/>
      <c r="TTW227" s="4"/>
      <c r="TTY227" s="4"/>
      <c r="TUA227" s="4"/>
      <c r="TUC227" s="4"/>
      <c r="TUE227" s="4"/>
      <c r="TUG227" s="4"/>
      <c r="TUI227" s="4"/>
      <c r="TUK227" s="4"/>
      <c r="TUM227" s="4"/>
      <c r="TUO227" s="4"/>
      <c r="TUQ227" s="4"/>
      <c r="TUS227" s="4"/>
      <c r="TUU227" s="4"/>
      <c r="TUW227" s="4"/>
      <c r="TUY227" s="4"/>
      <c r="TVA227" s="4"/>
      <c r="TVC227" s="4"/>
      <c r="TVE227" s="4"/>
      <c r="TVG227" s="4"/>
      <c r="TVI227" s="4"/>
      <c r="TVK227" s="4"/>
      <c r="TVM227" s="4"/>
      <c r="TVO227" s="4"/>
      <c r="TVQ227" s="4"/>
      <c r="TVS227" s="4"/>
      <c r="TVU227" s="4"/>
      <c r="TVW227" s="4"/>
      <c r="TVY227" s="4"/>
      <c r="TWA227" s="4"/>
      <c r="TWC227" s="4"/>
      <c r="TWE227" s="4"/>
      <c r="TWG227" s="4"/>
      <c r="TWI227" s="4"/>
      <c r="TWK227" s="4"/>
      <c r="TWM227" s="4"/>
      <c r="TWO227" s="4"/>
      <c r="TWQ227" s="4"/>
      <c r="TWS227" s="4"/>
      <c r="TWU227" s="4"/>
      <c r="TWW227" s="4"/>
      <c r="TWY227" s="4"/>
      <c r="TXA227" s="4"/>
      <c r="TXC227" s="4"/>
      <c r="TXE227" s="4"/>
      <c r="TXG227" s="4"/>
      <c r="TXI227" s="4"/>
      <c r="TXK227" s="4"/>
      <c r="TXM227" s="4"/>
      <c r="TXO227" s="4"/>
      <c r="TXQ227" s="4"/>
      <c r="TXS227" s="4"/>
      <c r="TXU227" s="4"/>
      <c r="TXW227" s="4"/>
      <c r="TXY227" s="4"/>
      <c r="TYA227" s="4"/>
      <c r="TYC227" s="4"/>
      <c r="TYE227" s="4"/>
      <c r="TYG227" s="4"/>
      <c r="TYI227" s="4"/>
      <c r="TYK227" s="4"/>
      <c r="TYM227" s="4"/>
      <c r="TYO227" s="4"/>
      <c r="TYQ227" s="4"/>
      <c r="TYS227" s="4"/>
      <c r="TYU227" s="4"/>
      <c r="TYW227" s="4"/>
      <c r="TYY227" s="4"/>
      <c r="TZA227" s="4"/>
      <c r="TZC227" s="4"/>
      <c r="TZE227" s="4"/>
      <c r="TZG227" s="4"/>
      <c r="TZI227" s="4"/>
      <c r="TZK227" s="4"/>
      <c r="TZM227" s="4"/>
      <c r="TZO227" s="4"/>
      <c r="TZQ227" s="4"/>
      <c r="TZS227" s="4"/>
      <c r="TZU227" s="4"/>
      <c r="TZW227" s="4"/>
      <c r="TZY227" s="4"/>
      <c r="UAA227" s="4"/>
      <c r="UAC227" s="4"/>
      <c r="UAE227" s="4"/>
      <c r="UAG227" s="4"/>
      <c r="UAI227" s="4"/>
      <c r="UAK227" s="4"/>
      <c r="UAM227" s="4"/>
      <c r="UAO227" s="4"/>
      <c r="UAQ227" s="4"/>
      <c r="UAS227" s="4"/>
      <c r="UAU227" s="4"/>
      <c r="UAW227" s="4"/>
      <c r="UAY227" s="4"/>
      <c r="UBA227" s="4"/>
      <c r="UBC227" s="4"/>
      <c r="UBE227" s="4"/>
      <c r="UBG227" s="4"/>
      <c r="UBI227" s="4"/>
      <c r="UBK227" s="4"/>
      <c r="UBM227" s="4"/>
      <c r="UBO227" s="4"/>
      <c r="UBQ227" s="4"/>
      <c r="UBS227" s="4"/>
      <c r="UBU227" s="4"/>
      <c r="UBW227" s="4"/>
      <c r="UBY227" s="4"/>
      <c r="UCA227" s="4"/>
      <c r="UCC227" s="4"/>
      <c r="UCE227" s="4"/>
      <c r="UCG227" s="4"/>
      <c r="UCI227" s="4"/>
      <c r="UCK227" s="4"/>
      <c r="UCM227" s="4"/>
      <c r="UCO227" s="4"/>
      <c r="UCQ227" s="4"/>
      <c r="UCS227" s="4"/>
      <c r="UCU227" s="4"/>
      <c r="UCW227" s="4"/>
      <c r="UCY227" s="4"/>
      <c r="UDA227" s="4"/>
      <c r="UDC227" s="4"/>
      <c r="UDE227" s="4"/>
      <c r="UDG227" s="4"/>
      <c r="UDI227" s="4"/>
      <c r="UDK227" s="4"/>
      <c r="UDM227" s="4"/>
      <c r="UDO227" s="4"/>
      <c r="UDQ227" s="4"/>
      <c r="UDS227" s="4"/>
      <c r="UDU227" s="4"/>
      <c r="UDW227" s="4"/>
      <c r="UDY227" s="4"/>
      <c r="UEA227" s="4"/>
      <c r="UEC227" s="4"/>
      <c r="UEE227" s="4"/>
      <c r="UEG227" s="4"/>
      <c r="UEI227" s="4"/>
      <c r="UEK227" s="4"/>
      <c r="UEM227" s="4"/>
      <c r="UEO227" s="4"/>
      <c r="UEQ227" s="4"/>
      <c r="UES227" s="4"/>
      <c r="UEU227" s="4"/>
      <c r="UEW227" s="4"/>
      <c r="UEY227" s="4"/>
      <c r="UFA227" s="4"/>
      <c r="UFC227" s="4"/>
      <c r="UFE227" s="4"/>
      <c r="UFG227" s="4"/>
      <c r="UFI227" s="4"/>
      <c r="UFK227" s="4"/>
      <c r="UFM227" s="4"/>
      <c r="UFO227" s="4"/>
      <c r="UFQ227" s="4"/>
      <c r="UFS227" s="4"/>
      <c r="UFU227" s="4"/>
      <c r="UFW227" s="4"/>
      <c r="UFY227" s="4"/>
      <c r="UGA227" s="4"/>
      <c r="UGC227" s="4"/>
      <c r="UGE227" s="4"/>
      <c r="UGG227" s="4"/>
      <c r="UGI227" s="4"/>
      <c r="UGK227" s="4"/>
      <c r="UGM227" s="4"/>
      <c r="UGO227" s="4"/>
      <c r="UGQ227" s="4"/>
      <c r="UGS227" s="4"/>
      <c r="UGU227" s="4"/>
      <c r="UGW227" s="4"/>
      <c r="UGY227" s="4"/>
      <c r="UHA227" s="4"/>
      <c r="UHC227" s="4"/>
      <c r="UHE227" s="4"/>
      <c r="UHG227" s="4"/>
      <c r="UHI227" s="4"/>
      <c r="UHK227" s="4"/>
      <c r="UHM227" s="4"/>
      <c r="UHO227" s="4"/>
      <c r="UHQ227" s="4"/>
      <c r="UHS227" s="4"/>
      <c r="UHU227" s="4"/>
      <c r="UHW227" s="4"/>
      <c r="UHY227" s="4"/>
      <c r="UIA227" s="4"/>
      <c r="UIC227" s="4"/>
      <c r="UIE227" s="4"/>
      <c r="UIG227" s="4"/>
      <c r="UII227" s="4"/>
      <c r="UIK227" s="4"/>
      <c r="UIM227" s="4"/>
      <c r="UIO227" s="4"/>
      <c r="UIQ227" s="4"/>
      <c r="UIS227" s="4"/>
      <c r="UIU227" s="4"/>
      <c r="UIW227" s="4"/>
      <c r="UIY227" s="4"/>
      <c r="UJA227" s="4"/>
      <c r="UJC227" s="4"/>
      <c r="UJE227" s="4"/>
      <c r="UJG227" s="4"/>
      <c r="UJI227" s="4"/>
      <c r="UJK227" s="4"/>
      <c r="UJM227" s="4"/>
      <c r="UJO227" s="4"/>
      <c r="UJQ227" s="4"/>
      <c r="UJS227" s="4"/>
      <c r="UJU227" s="4"/>
      <c r="UJW227" s="4"/>
      <c r="UJY227" s="4"/>
      <c r="UKA227" s="4"/>
      <c r="UKC227" s="4"/>
      <c r="UKE227" s="4"/>
      <c r="UKG227" s="4"/>
      <c r="UKI227" s="4"/>
      <c r="UKK227" s="4"/>
      <c r="UKM227" s="4"/>
      <c r="UKO227" s="4"/>
      <c r="UKQ227" s="4"/>
      <c r="UKS227" s="4"/>
      <c r="UKU227" s="4"/>
      <c r="UKW227" s="4"/>
      <c r="UKY227" s="4"/>
      <c r="ULA227" s="4"/>
      <c r="ULC227" s="4"/>
      <c r="ULE227" s="4"/>
      <c r="ULG227" s="4"/>
      <c r="ULI227" s="4"/>
      <c r="ULK227" s="4"/>
      <c r="ULM227" s="4"/>
      <c r="ULO227" s="4"/>
      <c r="ULQ227" s="4"/>
      <c r="ULS227" s="4"/>
      <c r="ULU227" s="4"/>
      <c r="ULW227" s="4"/>
      <c r="ULY227" s="4"/>
      <c r="UMA227" s="4"/>
      <c r="UMC227" s="4"/>
      <c r="UME227" s="4"/>
      <c r="UMG227" s="4"/>
      <c r="UMI227" s="4"/>
      <c r="UMK227" s="4"/>
      <c r="UMM227" s="4"/>
      <c r="UMO227" s="4"/>
      <c r="UMQ227" s="4"/>
      <c r="UMS227" s="4"/>
      <c r="UMU227" s="4"/>
      <c r="UMW227" s="4"/>
      <c r="UMY227" s="4"/>
      <c r="UNA227" s="4"/>
      <c r="UNC227" s="4"/>
      <c r="UNE227" s="4"/>
      <c r="UNG227" s="4"/>
      <c r="UNI227" s="4"/>
      <c r="UNK227" s="4"/>
      <c r="UNM227" s="4"/>
      <c r="UNO227" s="4"/>
      <c r="UNQ227" s="4"/>
      <c r="UNS227" s="4"/>
      <c r="UNU227" s="4"/>
      <c r="UNW227" s="4"/>
      <c r="UNY227" s="4"/>
      <c r="UOA227" s="4"/>
      <c r="UOC227" s="4"/>
      <c r="UOE227" s="4"/>
      <c r="UOG227" s="4"/>
      <c r="UOI227" s="4"/>
      <c r="UOK227" s="4"/>
      <c r="UOM227" s="4"/>
      <c r="UOO227" s="4"/>
      <c r="UOQ227" s="4"/>
      <c r="UOS227" s="4"/>
      <c r="UOU227" s="4"/>
      <c r="UOW227" s="4"/>
      <c r="UOY227" s="4"/>
      <c r="UPA227" s="4"/>
      <c r="UPC227" s="4"/>
      <c r="UPE227" s="4"/>
      <c r="UPG227" s="4"/>
      <c r="UPI227" s="4"/>
      <c r="UPK227" s="4"/>
      <c r="UPM227" s="4"/>
      <c r="UPO227" s="4"/>
      <c r="UPQ227" s="4"/>
      <c r="UPS227" s="4"/>
      <c r="UPU227" s="4"/>
      <c r="UPW227" s="4"/>
      <c r="UPY227" s="4"/>
      <c r="UQA227" s="4"/>
      <c r="UQC227" s="4"/>
      <c r="UQE227" s="4"/>
      <c r="UQG227" s="4"/>
      <c r="UQI227" s="4"/>
      <c r="UQK227" s="4"/>
      <c r="UQM227" s="4"/>
      <c r="UQO227" s="4"/>
      <c r="UQQ227" s="4"/>
      <c r="UQS227" s="4"/>
      <c r="UQU227" s="4"/>
      <c r="UQW227" s="4"/>
      <c r="UQY227" s="4"/>
      <c r="URA227" s="4"/>
      <c r="URC227" s="4"/>
      <c r="URE227" s="4"/>
      <c r="URG227" s="4"/>
      <c r="URI227" s="4"/>
      <c r="URK227" s="4"/>
      <c r="URM227" s="4"/>
      <c r="URO227" s="4"/>
      <c r="URQ227" s="4"/>
      <c r="URS227" s="4"/>
      <c r="URU227" s="4"/>
      <c r="URW227" s="4"/>
      <c r="URY227" s="4"/>
      <c r="USA227" s="4"/>
      <c r="USC227" s="4"/>
      <c r="USE227" s="4"/>
      <c r="USG227" s="4"/>
      <c r="USI227" s="4"/>
      <c r="USK227" s="4"/>
      <c r="USM227" s="4"/>
      <c r="USO227" s="4"/>
      <c r="USQ227" s="4"/>
      <c r="USS227" s="4"/>
      <c r="USU227" s="4"/>
      <c r="USW227" s="4"/>
      <c r="USY227" s="4"/>
      <c r="UTA227" s="4"/>
      <c r="UTC227" s="4"/>
      <c r="UTE227" s="4"/>
      <c r="UTG227" s="4"/>
      <c r="UTI227" s="4"/>
      <c r="UTK227" s="4"/>
      <c r="UTM227" s="4"/>
      <c r="UTO227" s="4"/>
      <c r="UTQ227" s="4"/>
      <c r="UTS227" s="4"/>
      <c r="UTU227" s="4"/>
      <c r="UTW227" s="4"/>
      <c r="UTY227" s="4"/>
      <c r="UUA227" s="4"/>
      <c r="UUC227" s="4"/>
      <c r="UUE227" s="4"/>
      <c r="UUG227" s="4"/>
      <c r="UUI227" s="4"/>
      <c r="UUK227" s="4"/>
      <c r="UUM227" s="4"/>
      <c r="UUO227" s="4"/>
      <c r="UUQ227" s="4"/>
      <c r="UUS227" s="4"/>
      <c r="UUU227" s="4"/>
      <c r="UUW227" s="4"/>
      <c r="UUY227" s="4"/>
      <c r="UVA227" s="4"/>
      <c r="UVC227" s="4"/>
      <c r="UVE227" s="4"/>
      <c r="UVG227" s="4"/>
      <c r="UVI227" s="4"/>
      <c r="UVK227" s="4"/>
      <c r="UVM227" s="4"/>
      <c r="UVO227" s="4"/>
      <c r="UVQ227" s="4"/>
      <c r="UVS227" s="4"/>
      <c r="UVU227" s="4"/>
      <c r="UVW227" s="4"/>
      <c r="UVY227" s="4"/>
      <c r="UWA227" s="4"/>
      <c r="UWC227" s="4"/>
      <c r="UWE227" s="4"/>
      <c r="UWG227" s="4"/>
      <c r="UWI227" s="4"/>
      <c r="UWK227" s="4"/>
      <c r="UWM227" s="4"/>
      <c r="UWO227" s="4"/>
      <c r="UWQ227" s="4"/>
      <c r="UWS227" s="4"/>
      <c r="UWU227" s="4"/>
      <c r="UWW227" s="4"/>
      <c r="UWY227" s="4"/>
      <c r="UXA227" s="4"/>
      <c r="UXC227" s="4"/>
      <c r="UXE227" s="4"/>
      <c r="UXG227" s="4"/>
      <c r="UXI227" s="4"/>
      <c r="UXK227" s="4"/>
      <c r="UXM227" s="4"/>
      <c r="UXO227" s="4"/>
      <c r="UXQ227" s="4"/>
      <c r="UXS227" s="4"/>
      <c r="UXU227" s="4"/>
      <c r="UXW227" s="4"/>
      <c r="UXY227" s="4"/>
      <c r="UYA227" s="4"/>
      <c r="UYC227" s="4"/>
      <c r="UYE227" s="4"/>
      <c r="UYG227" s="4"/>
      <c r="UYI227" s="4"/>
      <c r="UYK227" s="4"/>
      <c r="UYM227" s="4"/>
      <c r="UYO227" s="4"/>
      <c r="UYQ227" s="4"/>
      <c r="UYS227" s="4"/>
      <c r="UYU227" s="4"/>
      <c r="UYW227" s="4"/>
      <c r="UYY227" s="4"/>
      <c r="UZA227" s="4"/>
      <c r="UZC227" s="4"/>
      <c r="UZE227" s="4"/>
      <c r="UZG227" s="4"/>
      <c r="UZI227" s="4"/>
      <c r="UZK227" s="4"/>
      <c r="UZM227" s="4"/>
      <c r="UZO227" s="4"/>
      <c r="UZQ227" s="4"/>
      <c r="UZS227" s="4"/>
      <c r="UZU227" s="4"/>
      <c r="UZW227" s="4"/>
      <c r="UZY227" s="4"/>
      <c r="VAA227" s="4"/>
      <c r="VAC227" s="4"/>
      <c r="VAE227" s="4"/>
      <c r="VAG227" s="4"/>
      <c r="VAI227" s="4"/>
      <c r="VAK227" s="4"/>
      <c r="VAM227" s="4"/>
      <c r="VAO227" s="4"/>
      <c r="VAQ227" s="4"/>
      <c r="VAS227" s="4"/>
      <c r="VAU227" s="4"/>
      <c r="VAW227" s="4"/>
      <c r="VAY227" s="4"/>
      <c r="VBA227" s="4"/>
      <c r="VBC227" s="4"/>
      <c r="VBE227" s="4"/>
      <c r="VBG227" s="4"/>
      <c r="VBI227" s="4"/>
      <c r="VBK227" s="4"/>
      <c r="VBM227" s="4"/>
      <c r="VBO227" s="4"/>
      <c r="VBQ227" s="4"/>
      <c r="VBS227" s="4"/>
      <c r="VBU227" s="4"/>
      <c r="VBW227" s="4"/>
      <c r="VBY227" s="4"/>
      <c r="VCA227" s="4"/>
      <c r="VCC227" s="4"/>
      <c r="VCE227" s="4"/>
      <c r="VCG227" s="4"/>
      <c r="VCI227" s="4"/>
      <c r="VCK227" s="4"/>
      <c r="VCM227" s="4"/>
      <c r="VCO227" s="4"/>
      <c r="VCQ227" s="4"/>
      <c r="VCS227" s="4"/>
      <c r="VCU227" s="4"/>
      <c r="VCW227" s="4"/>
      <c r="VCY227" s="4"/>
      <c r="VDA227" s="4"/>
      <c r="VDC227" s="4"/>
      <c r="VDE227" s="4"/>
      <c r="VDG227" s="4"/>
      <c r="VDI227" s="4"/>
      <c r="VDK227" s="4"/>
      <c r="VDM227" s="4"/>
      <c r="VDO227" s="4"/>
      <c r="VDQ227" s="4"/>
      <c r="VDS227" s="4"/>
      <c r="VDU227" s="4"/>
      <c r="VDW227" s="4"/>
      <c r="VDY227" s="4"/>
      <c r="VEA227" s="4"/>
      <c r="VEC227" s="4"/>
      <c r="VEE227" s="4"/>
      <c r="VEG227" s="4"/>
      <c r="VEI227" s="4"/>
      <c r="VEK227" s="4"/>
      <c r="VEM227" s="4"/>
      <c r="VEO227" s="4"/>
      <c r="VEQ227" s="4"/>
      <c r="VES227" s="4"/>
      <c r="VEU227" s="4"/>
      <c r="VEW227" s="4"/>
      <c r="VEY227" s="4"/>
      <c r="VFA227" s="4"/>
      <c r="VFC227" s="4"/>
      <c r="VFE227" s="4"/>
      <c r="VFG227" s="4"/>
      <c r="VFI227" s="4"/>
      <c r="VFK227" s="4"/>
      <c r="VFM227" s="4"/>
      <c r="VFO227" s="4"/>
      <c r="VFQ227" s="4"/>
      <c r="VFS227" s="4"/>
      <c r="VFU227" s="4"/>
      <c r="VFW227" s="4"/>
      <c r="VFY227" s="4"/>
      <c r="VGA227" s="4"/>
      <c r="VGC227" s="4"/>
      <c r="VGE227" s="4"/>
      <c r="VGG227" s="4"/>
      <c r="VGI227" s="4"/>
      <c r="VGK227" s="4"/>
      <c r="VGM227" s="4"/>
      <c r="VGO227" s="4"/>
      <c r="VGQ227" s="4"/>
      <c r="VGS227" s="4"/>
      <c r="VGU227" s="4"/>
      <c r="VGW227" s="4"/>
      <c r="VGY227" s="4"/>
      <c r="VHA227" s="4"/>
      <c r="VHC227" s="4"/>
      <c r="VHE227" s="4"/>
      <c r="VHG227" s="4"/>
      <c r="VHI227" s="4"/>
      <c r="VHK227" s="4"/>
      <c r="VHM227" s="4"/>
      <c r="VHO227" s="4"/>
      <c r="VHQ227" s="4"/>
      <c r="VHS227" s="4"/>
      <c r="VHU227" s="4"/>
      <c r="VHW227" s="4"/>
      <c r="VHY227" s="4"/>
      <c r="VIA227" s="4"/>
      <c r="VIC227" s="4"/>
      <c r="VIE227" s="4"/>
      <c r="VIG227" s="4"/>
      <c r="VII227" s="4"/>
      <c r="VIK227" s="4"/>
      <c r="VIM227" s="4"/>
      <c r="VIO227" s="4"/>
      <c r="VIQ227" s="4"/>
      <c r="VIS227" s="4"/>
      <c r="VIU227" s="4"/>
      <c r="VIW227" s="4"/>
      <c r="VIY227" s="4"/>
      <c r="VJA227" s="4"/>
      <c r="VJC227" s="4"/>
      <c r="VJE227" s="4"/>
      <c r="VJG227" s="4"/>
      <c r="VJI227" s="4"/>
      <c r="VJK227" s="4"/>
      <c r="VJM227" s="4"/>
      <c r="VJO227" s="4"/>
      <c r="VJQ227" s="4"/>
      <c r="VJS227" s="4"/>
      <c r="VJU227" s="4"/>
      <c r="VJW227" s="4"/>
      <c r="VJY227" s="4"/>
      <c r="VKA227" s="4"/>
      <c r="VKC227" s="4"/>
      <c r="VKE227" s="4"/>
      <c r="VKG227" s="4"/>
      <c r="VKI227" s="4"/>
      <c r="VKK227" s="4"/>
      <c r="VKM227" s="4"/>
      <c r="VKO227" s="4"/>
      <c r="VKQ227" s="4"/>
      <c r="VKS227" s="4"/>
      <c r="VKU227" s="4"/>
      <c r="VKW227" s="4"/>
      <c r="VKY227" s="4"/>
      <c r="VLA227" s="4"/>
      <c r="VLC227" s="4"/>
      <c r="VLE227" s="4"/>
      <c r="VLG227" s="4"/>
      <c r="VLI227" s="4"/>
      <c r="VLK227" s="4"/>
      <c r="VLM227" s="4"/>
      <c r="VLO227" s="4"/>
      <c r="VLQ227" s="4"/>
      <c r="VLS227" s="4"/>
      <c r="VLU227" s="4"/>
      <c r="VLW227" s="4"/>
      <c r="VLY227" s="4"/>
      <c r="VMA227" s="4"/>
      <c r="VMC227" s="4"/>
      <c r="VME227" s="4"/>
      <c r="VMG227" s="4"/>
      <c r="VMI227" s="4"/>
      <c r="VMK227" s="4"/>
      <c r="VMM227" s="4"/>
      <c r="VMO227" s="4"/>
      <c r="VMQ227" s="4"/>
      <c r="VMS227" s="4"/>
      <c r="VMU227" s="4"/>
      <c r="VMW227" s="4"/>
      <c r="VMY227" s="4"/>
      <c r="VNA227" s="4"/>
      <c r="VNC227" s="4"/>
      <c r="VNE227" s="4"/>
      <c r="VNG227" s="4"/>
      <c r="VNI227" s="4"/>
      <c r="VNK227" s="4"/>
      <c r="VNM227" s="4"/>
      <c r="VNO227" s="4"/>
      <c r="VNQ227" s="4"/>
      <c r="VNS227" s="4"/>
      <c r="VNU227" s="4"/>
      <c r="VNW227" s="4"/>
      <c r="VNY227" s="4"/>
      <c r="VOA227" s="4"/>
      <c r="VOC227" s="4"/>
      <c r="VOE227" s="4"/>
      <c r="VOG227" s="4"/>
      <c r="VOI227" s="4"/>
      <c r="VOK227" s="4"/>
      <c r="VOM227" s="4"/>
      <c r="VOO227" s="4"/>
      <c r="VOQ227" s="4"/>
      <c r="VOS227" s="4"/>
      <c r="VOU227" s="4"/>
      <c r="VOW227" s="4"/>
      <c r="VOY227" s="4"/>
      <c r="VPA227" s="4"/>
      <c r="VPC227" s="4"/>
      <c r="VPE227" s="4"/>
      <c r="VPG227" s="4"/>
      <c r="VPI227" s="4"/>
      <c r="VPK227" s="4"/>
      <c r="VPM227" s="4"/>
      <c r="VPO227" s="4"/>
      <c r="VPQ227" s="4"/>
      <c r="VPS227" s="4"/>
      <c r="VPU227" s="4"/>
      <c r="VPW227" s="4"/>
      <c r="VPY227" s="4"/>
      <c r="VQA227" s="4"/>
      <c r="VQC227" s="4"/>
      <c r="VQE227" s="4"/>
      <c r="VQG227" s="4"/>
      <c r="VQI227" s="4"/>
      <c r="VQK227" s="4"/>
      <c r="VQM227" s="4"/>
      <c r="VQO227" s="4"/>
      <c r="VQQ227" s="4"/>
      <c r="VQS227" s="4"/>
      <c r="VQU227" s="4"/>
      <c r="VQW227" s="4"/>
      <c r="VQY227" s="4"/>
      <c r="VRA227" s="4"/>
      <c r="VRC227" s="4"/>
      <c r="VRE227" s="4"/>
      <c r="VRG227" s="4"/>
      <c r="VRI227" s="4"/>
      <c r="VRK227" s="4"/>
      <c r="VRM227" s="4"/>
      <c r="VRO227" s="4"/>
      <c r="VRQ227" s="4"/>
      <c r="VRS227" s="4"/>
      <c r="VRU227" s="4"/>
      <c r="VRW227" s="4"/>
      <c r="VRY227" s="4"/>
      <c r="VSA227" s="4"/>
      <c r="VSC227" s="4"/>
      <c r="VSE227" s="4"/>
      <c r="VSG227" s="4"/>
      <c r="VSI227" s="4"/>
      <c r="VSK227" s="4"/>
      <c r="VSM227" s="4"/>
      <c r="VSO227" s="4"/>
      <c r="VSQ227" s="4"/>
      <c r="VSS227" s="4"/>
      <c r="VSU227" s="4"/>
      <c r="VSW227" s="4"/>
      <c r="VSY227" s="4"/>
      <c r="VTA227" s="4"/>
      <c r="VTC227" s="4"/>
      <c r="VTE227" s="4"/>
      <c r="VTG227" s="4"/>
      <c r="VTI227" s="4"/>
      <c r="VTK227" s="4"/>
      <c r="VTM227" s="4"/>
      <c r="VTO227" s="4"/>
      <c r="VTQ227" s="4"/>
      <c r="VTS227" s="4"/>
      <c r="VTU227" s="4"/>
      <c r="VTW227" s="4"/>
      <c r="VTY227" s="4"/>
      <c r="VUA227" s="4"/>
      <c r="VUC227" s="4"/>
      <c r="VUE227" s="4"/>
      <c r="VUG227" s="4"/>
      <c r="VUI227" s="4"/>
      <c r="VUK227" s="4"/>
      <c r="VUM227" s="4"/>
      <c r="VUO227" s="4"/>
      <c r="VUQ227" s="4"/>
      <c r="VUS227" s="4"/>
      <c r="VUU227" s="4"/>
      <c r="VUW227" s="4"/>
      <c r="VUY227" s="4"/>
      <c r="VVA227" s="4"/>
      <c r="VVC227" s="4"/>
      <c r="VVE227" s="4"/>
      <c r="VVG227" s="4"/>
      <c r="VVI227" s="4"/>
      <c r="VVK227" s="4"/>
      <c r="VVM227" s="4"/>
      <c r="VVO227" s="4"/>
      <c r="VVQ227" s="4"/>
      <c r="VVS227" s="4"/>
      <c r="VVU227" s="4"/>
      <c r="VVW227" s="4"/>
      <c r="VVY227" s="4"/>
      <c r="VWA227" s="4"/>
      <c r="VWC227" s="4"/>
      <c r="VWE227" s="4"/>
      <c r="VWG227" s="4"/>
      <c r="VWI227" s="4"/>
      <c r="VWK227" s="4"/>
      <c r="VWM227" s="4"/>
      <c r="VWO227" s="4"/>
      <c r="VWQ227" s="4"/>
      <c r="VWS227" s="4"/>
      <c r="VWU227" s="4"/>
      <c r="VWW227" s="4"/>
      <c r="VWY227" s="4"/>
      <c r="VXA227" s="4"/>
      <c r="VXC227" s="4"/>
      <c r="VXE227" s="4"/>
      <c r="VXG227" s="4"/>
      <c r="VXI227" s="4"/>
      <c r="VXK227" s="4"/>
      <c r="VXM227" s="4"/>
      <c r="VXO227" s="4"/>
      <c r="VXQ227" s="4"/>
      <c r="VXS227" s="4"/>
      <c r="VXU227" s="4"/>
      <c r="VXW227" s="4"/>
      <c r="VXY227" s="4"/>
      <c r="VYA227" s="4"/>
      <c r="VYC227" s="4"/>
      <c r="VYE227" s="4"/>
      <c r="VYG227" s="4"/>
      <c r="VYI227" s="4"/>
      <c r="VYK227" s="4"/>
      <c r="VYM227" s="4"/>
      <c r="VYO227" s="4"/>
      <c r="VYQ227" s="4"/>
      <c r="VYS227" s="4"/>
      <c r="VYU227" s="4"/>
      <c r="VYW227" s="4"/>
      <c r="VYY227" s="4"/>
      <c r="VZA227" s="4"/>
      <c r="VZC227" s="4"/>
      <c r="VZE227" s="4"/>
      <c r="VZG227" s="4"/>
      <c r="VZI227" s="4"/>
      <c r="VZK227" s="4"/>
      <c r="VZM227" s="4"/>
      <c r="VZO227" s="4"/>
      <c r="VZQ227" s="4"/>
      <c r="VZS227" s="4"/>
      <c r="VZU227" s="4"/>
      <c r="VZW227" s="4"/>
      <c r="VZY227" s="4"/>
      <c r="WAA227" s="4"/>
      <c r="WAC227" s="4"/>
      <c r="WAE227" s="4"/>
      <c r="WAG227" s="4"/>
      <c r="WAI227" s="4"/>
      <c r="WAK227" s="4"/>
      <c r="WAM227" s="4"/>
      <c r="WAO227" s="4"/>
      <c r="WAQ227" s="4"/>
      <c r="WAS227" s="4"/>
      <c r="WAU227" s="4"/>
      <c r="WAW227" s="4"/>
      <c r="WAY227" s="4"/>
      <c r="WBA227" s="4"/>
      <c r="WBC227" s="4"/>
      <c r="WBE227" s="4"/>
      <c r="WBG227" s="4"/>
      <c r="WBI227" s="4"/>
      <c r="WBK227" s="4"/>
      <c r="WBM227" s="4"/>
      <c r="WBO227" s="4"/>
      <c r="WBQ227" s="4"/>
      <c r="WBS227" s="4"/>
      <c r="WBU227" s="4"/>
      <c r="WBW227" s="4"/>
      <c r="WBY227" s="4"/>
      <c r="WCA227" s="4"/>
      <c r="WCC227" s="4"/>
      <c r="WCE227" s="4"/>
      <c r="WCG227" s="4"/>
      <c r="WCI227" s="4"/>
      <c r="WCK227" s="4"/>
      <c r="WCM227" s="4"/>
      <c r="WCO227" s="4"/>
      <c r="WCQ227" s="4"/>
      <c r="WCS227" s="4"/>
      <c r="WCU227" s="4"/>
      <c r="WCW227" s="4"/>
      <c r="WCY227" s="4"/>
      <c r="WDA227" s="4"/>
      <c r="WDC227" s="4"/>
      <c r="WDE227" s="4"/>
      <c r="WDG227" s="4"/>
      <c r="WDI227" s="4"/>
      <c r="WDK227" s="4"/>
      <c r="WDM227" s="4"/>
      <c r="WDO227" s="4"/>
      <c r="WDQ227" s="4"/>
      <c r="WDS227" s="4"/>
      <c r="WDU227" s="4"/>
      <c r="WDW227" s="4"/>
      <c r="WDY227" s="4"/>
      <c r="WEA227" s="4"/>
      <c r="WEC227" s="4"/>
      <c r="WEE227" s="4"/>
      <c r="WEG227" s="4"/>
      <c r="WEI227" s="4"/>
      <c r="WEK227" s="4"/>
      <c r="WEM227" s="4"/>
      <c r="WEO227" s="4"/>
      <c r="WEQ227" s="4"/>
      <c r="WES227" s="4"/>
      <c r="WEU227" s="4"/>
      <c r="WEW227" s="4"/>
      <c r="WEY227" s="4"/>
      <c r="WFA227" s="4"/>
      <c r="WFC227" s="4"/>
      <c r="WFE227" s="4"/>
      <c r="WFG227" s="4"/>
      <c r="WFI227" s="4"/>
      <c r="WFK227" s="4"/>
      <c r="WFM227" s="4"/>
      <c r="WFO227" s="4"/>
      <c r="WFQ227" s="4"/>
      <c r="WFS227" s="4"/>
      <c r="WFU227" s="4"/>
      <c r="WFW227" s="4"/>
      <c r="WFY227" s="4"/>
      <c r="WGA227" s="4"/>
      <c r="WGC227" s="4"/>
      <c r="WGE227" s="4"/>
      <c r="WGG227" s="4"/>
      <c r="WGI227" s="4"/>
      <c r="WGK227" s="4"/>
      <c r="WGM227" s="4"/>
      <c r="WGO227" s="4"/>
      <c r="WGQ227" s="4"/>
      <c r="WGS227" s="4"/>
      <c r="WGU227" s="4"/>
      <c r="WGW227" s="4"/>
      <c r="WGY227" s="4"/>
      <c r="WHA227" s="4"/>
      <c r="WHC227" s="4"/>
      <c r="WHE227" s="4"/>
      <c r="WHG227" s="4"/>
      <c r="WHI227" s="4"/>
      <c r="WHK227" s="4"/>
      <c r="WHM227" s="4"/>
      <c r="WHO227" s="4"/>
      <c r="WHQ227" s="4"/>
      <c r="WHS227" s="4"/>
      <c r="WHU227" s="4"/>
      <c r="WHW227" s="4"/>
      <c r="WHY227" s="4"/>
      <c r="WIA227" s="4"/>
      <c r="WIC227" s="4"/>
      <c r="WIE227" s="4"/>
      <c r="WIG227" s="4"/>
      <c r="WII227" s="4"/>
      <c r="WIK227" s="4"/>
      <c r="WIM227" s="4"/>
      <c r="WIO227" s="4"/>
      <c r="WIQ227" s="4"/>
      <c r="WIS227" s="4"/>
      <c r="WIU227" s="4"/>
      <c r="WIW227" s="4"/>
      <c r="WIY227" s="4"/>
      <c r="WJA227" s="4"/>
      <c r="WJC227" s="4"/>
      <c r="WJE227" s="4"/>
      <c r="WJG227" s="4"/>
      <c r="WJI227" s="4"/>
      <c r="WJK227" s="4"/>
      <c r="WJM227" s="4"/>
      <c r="WJO227" s="4"/>
      <c r="WJQ227" s="4"/>
      <c r="WJS227" s="4"/>
      <c r="WJU227" s="4"/>
      <c r="WJW227" s="4"/>
      <c r="WJY227" s="4"/>
      <c r="WKA227" s="4"/>
      <c r="WKC227" s="4"/>
      <c r="WKE227" s="4"/>
      <c r="WKG227" s="4"/>
      <c r="WKI227" s="4"/>
      <c r="WKK227" s="4"/>
      <c r="WKM227" s="4"/>
      <c r="WKO227" s="4"/>
      <c r="WKQ227" s="4"/>
      <c r="WKS227" s="4"/>
      <c r="WKU227" s="4"/>
      <c r="WKW227" s="4"/>
      <c r="WKY227" s="4"/>
      <c r="WLA227" s="4"/>
      <c r="WLC227" s="4"/>
      <c r="WLE227" s="4"/>
      <c r="WLG227" s="4"/>
      <c r="WLI227" s="4"/>
      <c r="WLK227" s="4"/>
      <c r="WLM227" s="4"/>
      <c r="WLO227" s="4"/>
      <c r="WLQ227" s="4"/>
      <c r="WLS227" s="4"/>
      <c r="WLU227" s="4"/>
      <c r="WLW227" s="4"/>
      <c r="WLY227" s="4"/>
      <c r="WMA227" s="4"/>
      <c r="WMC227" s="4"/>
      <c r="WME227" s="4"/>
      <c r="WMG227" s="4"/>
      <c r="WMI227" s="4"/>
      <c r="WMK227" s="4"/>
      <c r="WMM227" s="4"/>
      <c r="WMO227" s="4"/>
      <c r="WMQ227" s="4"/>
      <c r="WMS227" s="4"/>
      <c r="WMU227" s="4"/>
      <c r="WMW227" s="4"/>
      <c r="WMY227" s="4"/>
      <c r="WNA227" s="4"/>
      <c r="WNC227" s="4"/>
      <c r="WNE227" s="4"/>
      <c r="WNG227" s="4"/>
      <c r="WNI227" s="4"/>
      <c r="WNK227" s="4"/>
      <c r="WNM227" s="4"/>
      <c r="WNO227" s="4"/>
      <c r="WNQ227" s="4"/>
      <c r="WNS227" s="4"/>
      <c r="WNU227" s="4"/>
      <c r="WNW227" s="4"/>
      <c r="WNY227" s="4"/>
      <c r="WOA227" s="4"/>
      <c r="WOC227" s="4"/>
      <c r="WOE227" s="4"/>
      <c r="WOG227" s="4"/>
      <c r="WOI227" s="4"/>
      <c r="WOK227" s="4"/>
      <c r="WOM227" s="4"/>
      <c r="WOO227" s="4"/>
      <c r="WOQ227" s="4"/>
      <c r="WOS227" s="4"/>
      <c r="WOU227" s="4"/>
      <c r="WOW227" s="4"/>
      <c r="WOY227" s="4"/>
      <c r="WPA227" s="4"/>
      <c r="WPC227" s="4"/>
      <c r="WPE227" s="4"/>
      <c r="WPG227" s="4"/>
      <c r="WPI227" s="4"/>
      <c r="WPK227" s="4"/>
      <c r="WPM227" s="4"/>
      <c r="WPO227" s="4"/>
      <c r="WPQ227" s="4"/>
      <c r="WPS227" s="4"/>
      <c r="WPU227" s="4"/>
      <c r="WPW227" s="4"/>
      <c r="WPY227" s="4"/>
      <c r="WQA227" s="4"/>
      <c r="WQC227" s="4"/>
      <c r="WQE227" s="4"/>
      <c r="WQG227" s="4"/>
      <c r="WQI227" s="4"/>
      <c r="WQK227" s="4"/>
      <c r="WQM227" s="4"/>
      <c r="WQO227" s="4"/>
      <c r="WQQ227" s="4"/>
      <c r="WQS227" s="4"/>
      <c r="WQU227" s="4"/>
      <c r="WQW227" s="4"/>
      <c r="WQY227" s="4"/>
      <c r="WRA227" s="4"/>
      <c r="WRC227" s="4"/>
      <c r="WRE227" s="4"/>
      <c r="WRG227" s="4"/>
      <c r="WRI227" s="4"/>
      <c r="WRK227" s="4"/>
      <c r="WRM227" s="4"/>
      <c r="WRO227" s="4"/>
      <c r="WRQ227" s="4"/>
      <c r="WRS227" s="4"/>
      <c r="WRU227" s="4"/>
      <c r="WRW227" s="4"/>
      <c r="WRY227" s="4"/>
      <c r="WSA227" s="4"/>
      <c r="WSC227" s="4"/>
      <c r="WSE227" s="4"/>
      <c r="WSG227" s="4"/>
      <c r="WSI227" s="4"/>
      <c r="WSK227" s="4"/>
      <c r="WSM227" s="4"/>
      <c r="WSO227" s="4"/>
      <c r="WSQ227" s="4"/>
      <c r="WSS227" s="4"/>
      <c r="WSU227" s="4"/>
      <c r="WSW227" s="4"/>
      <c r="WSY227" s="4"/>
      <c r="WTA227" s="4"/>
      <c r="WTC227" s="4"/>
      <c r="WTE227" s="4"/>
      <c r="WTG227" s="4"/>
      <c r="WTI227" s="4"/>
      <c r="WTK227" s="4"/>
      <c r="WTM227" s="4"/>
      <c r="WTO227" s="4"/>
      <c r="WTQ227" s="4"/>
      <c r="WTS227" s="4"/>
      <c r="WTU227" s="4"/>
      <c r="WTW227" s="4"/>
      <c r="WTY227" s="4"/>
      <c r="WUA227" s="4"/>
      <c r="WUC227" s="4"/>
      <c r="WUE227" s="4"/>
      <c r="WUG227" s="4"/>
      <c r="WUI227" s="4"/>
      <c r="WUK227" s="4"/>
      <c r="WUM227" s="4"/>
      <c r="WUO227" s="4"/>
      <c r="WUQ227" s="4"/>
      <c r="WUS227" s="4"/>
      <c r="WUU227" s="4"/>
      <c r="WUW227" s="4"/>
      <c r="WUY227" s="4"/>
      <c r="WVA227" s="4"/>
      <c r="WVC227" s="4"/>
      <c r="WVE227" s="4"/>
      <c r="WVG227" s="4"/>
      <c r="WVI227" s="4"/>
      <c r="WVK227" s="4"/>
      <c r="WVM227" s="4"/>
      <c r="WVO227" s="4"/>
      <c r="WVQ227" s="4"/>
      <c r="WVS227" s="4"/>
      <c r="WVU227" s="4"/>
      <c r="WVW227" s="4"/>
      <c r="WVY227" s="4"/>
      <c r="WWA227" s="4"/>
      <c r="WWC227" s="4"/>
      <c r="WWE227" s="4"/>
      <c r="WWG227" s="4"/>
      <c r="WWI227" s="4"/>
      <c r="WWK227" s="4"/>
      <c r="WWM227" s="4"/>
      <c r="WWO227" s="4"/>
      <c r="WWQ227" s="4"/>
      <c r="WWS227" s="4"/>
      <c r="WWU227" s="4"/>
      <c r="WWW227" s="4"/>
      <c r="WWY227" s="4"/>
      <c r="WXA227" s="4"/>
      <c r="WXC227" s="4"/>
      <c r="WXE227" s="4"/>
      <c r="WXG227" s="4"/>
      <c r="WXI227" s="4"/>
      <c r="WXK227" s="4"/>
      <c r="WXM227" s="4"/>
      <c r="WXO227" s="4"/>
      <c r="WXQ227" s="4"/>
      <c r="WXS227" s="4"/>
      <c r="WXU227" s="4"/>
      <c r="WXW227" s="4"/>
      <c r="WXY227" s="4"/>
      <c r="WYA227" s="4"/>
      <c r="WYC227" s="4"/>
      <c r="WYE227" s="4"/>
      <c r="WYG227" s="4"/>
      <c r="WYI227" s="4"/>
      <c r="WYK227" s="4"/>
      <c r="WYM227" s="4"/>
      <c r="WYO227" s="4"/>
      <c r="WYQ227" s="4"/>
      <c r="WYS227" s="4"/>
      <c r="WYU227" s="4"/>
      <c r="WYW227" s="4"/>
      <c r="WYY227" s="4"/>
      <c r="WZA227" s="4"/>
      <c r="WZC227" s="4"/>
      <c r="WZE227" s="4"/>
      <c r="WZG227" s="4"/>
      <c r="WZI227" s="4"/>
      <c r="WZK227" s="4"/>
      <c r="WZM227" s="4"/>
      <c r="WZO227" s="4"/>
      <c r="WZQ227" s="4"/>
      <c r="WZS227" s="4"/>
      <c r="WZU227" s="4"/>
      <c r="WZW227" s="4"/>
      <c r="WZY227" s="4"/>
      <c r="XAA227" s="4"/>
      <c r="XAC227" s="4"/>
      <c r="XAE227" s="4"/>
      <c r="XAG227" s="4"/>
      <c r="XAI227" s="4"/>
      <c r="XAK227" s="4"/>
      <c r="XAM227" s="4"/>
      <c r="XAO227" s="4"/>
      <c r="XAQ227" s="4"/>
      <c r="XAS227" s="4"/>
      <c r="XAU227" s="4"/>
      <c r="XAW227" s="4"/>
      <c r="XAY227" s="4"/>
      <c r="XBA227" s="4"/>
      <c r="XBC227" s="4"/>
      <c r="XBE227" s="4"/>
      <c r="XBG227" s="4"/>
      <c r="XBI227" s="4"/>
      <c r="XBK227" s="4"/>
      <c r="XBM227" s="4"/>
      <c r="XBO227" s="4"/>
      <c r="XBQ227" s="4"/>
      <c r="XBS227" s="4"/>
      <c r="XBU227" s="4"/>
      <c r="XBW227" s="4"/>
      <c r="XBY227" s="4"/>
      <c r="XCA227" s="4"/>
      <c r="XCC227" s="4"/>
      <c r="XCE227" s="4"/>
      <c r="XCG227" s="4"/>
      <c r="XCI227" s="4"/>
      <c r="XCK227" s="4"/>
      <c r="XCM227" s="4"/>
      <c r="XCO227" s="4"/>
      <c r="XCQ227" s="4"/>
      <c r="XCS227" s="4"/>
      <c r="XCU227" s="4"/>
      <c r="XCW227" s="4"/>
      <c r="XCY227" s="4"/>
      <c r="XDA227" s="4"/>
      <c r="XDC227" s="4"/>
      <c r="XDE227" s="4"/>
      <c r="XDG227" s="4"/>
      <c r="XDI227" s="4"/>
      <c r="XDK227" s="4"/>
      <c r="XDM227" s="4"/>
      <c r="XDO227" s="4"/>
      <c r="XDQ227" s="4"/>
      <c r="XDS227" s="4"/>
      <c r="XDU227" s="4"/>
      <c r="XDW227" s="4"/>
      <c r="XDY227" s="4"/>
      <c r="XEA227" s="4"/>
      <c r="XEC227" s="4"/>
      <c r="XEE227" s="4"/>
      <c r="XEG227" s="4"/>
      <c r="XEI227" s="4"/>
      <c r="XEK227" s="4"/>
      <c r="XEM227" s="4"/>
      <c r="XEO227" s="4"/>
      <c r="XEQ227" s="4"/>
      <c r="XES227" s="4"/>
      <c r="XEU227" s="4"/>
      <c r="XEW227" s="4"/>
      <c r="XEY227" s="4"/>
      <c r="XFA227" s="4"/>
      <c r="XFC227" s="4"/>
    </row>
    <row r="228" spans="1:16383">
      <c r="B228" s="9"/>
      <c r="C228" s="4"/>
      <c r="D228" s="9"/>
      <c r="E228" s="4"/>
      <c r="F228" s="9"/>
      <c r="G228" s="4"/>
      <c r="H228" s="9"/>
      <c r="I228" s="4"/>
      <c r="J228" s="9"/>
      <c r="K228" s="4"/>
      <c r="L228" s="9"/>
      <c r="M228" s="4"/>
      <c r="N228" s="9"/>
      <c r="O228" s="4"/>
      <c r="P228" s="9"/>
      <c r="Q228" s="4"/>
      <c r="R228" s="9"/>
      <c r="S228" s="4"/>
      <c r="T228" s="9"/>
      <c r="U228" s="4"/>
      <c r="V228" s="9"/>
      <c r="W228" s="4"/>
      <c r="X228" s="9"/>
      <c r="Y228" s="4"/>
      <c r="Z228" s="9"/>
      <c r="AA228" s="4"/>
      <c r="AB228" s="9"/>
      <c r="AC228" s="4"/>
      <c r="AD228" s="9"/>
      <c r="AE228" s="4"/>
      <c r="AF228" s="9"/>
      <c r="AG228" s="4"/>
      <c r="AH228" s="9"/>
      <c r="AI228" s="4"/>
      <c r="AJ228" s="9"/>
      <c r="AK228" s="4"/>
      <c r="AL228" s="9"/>
      <c r="AM228" s="4"/>
      <c r="AN228" s="9"/>
      <c r="AO228" s="4"/>
      <c r="AP228" s="9"/>
      <c r="AQ228" s="4"/>
      <c r="AR228" s="9"/>
      <c r="AS228" s="4"/>
      <c r="AT228" s="9"/>
      <c r="AU228" s="4"/>
      <c r="AV228" s="9"/>
      <c r="AW228" s="4"/>
      <c r="AX228" s="9"/>
      <c r="AY228" s="4"/>
      <c r="AZ228" s="9"/>
      <c r="BA228" s="4"/>
      <c r="BB228" s="9"/>
      <c r="BC228" s="4"/>
      <c r="BD228" s="9"/>
      <c r="BE228" s="4"/>
      <c r="BF228" s="9"/>
      <c r="BG228" s="4"/>
      <c r="BH228" s="9"/>
      <c r="BI228" s="4"/>
      <c r="BJ228" s="9"/>
      <c r="BK228" s="4"/>
      <c r="BL228" s="9"/>
      <c r="BM228" s="4"/>
      <c r="BN228" s="9"/>
      <c r="BO228" s="4"/>
      <c r="BP228" s="9"/>
      <c r="BQ228" s="4"/>
      <c r="BR228" s="9"/>
      <c r="BS228" s="4"/>
      <c r="BT228" s="9"/>
      <c r="BU228" s="4"/>
      <c r="BV228" s="9"/>
      <c r="BW228" s="4"/>
      <c r="BX228" s="9"/>
      <c r="BY228" s="4"/>
      <c r="BZ228" s="9"/>
      <c r="CA228" s="4"/>
      <c r="CB228" s="9"/>
      <c r="CC228" s="4"/>
      <c r="CD228" s="9"/>
      <c r="CE228" s="4"/>
      <c r="CF228" s="9"/>
      <c r="CG228" s="4"/>
      <c r="CH228" s="9"/>
      <c r="CI228" s="4"/>
      <c r="CJ228" s="9"/>
      <c r="CK228" s="4"/>
      <c r="CL228" s="9"/>
      <c r="CM228" s="4"/>
      <c r="CN228" s="9"/>
      <c r="CO228" s="4"/>
      <c r="CP228" s="9"/>
      <c r="CQ228" s="4"/>
      <c r="CR228" s="9"/>
      <c r="CS228" s="4"/>
      <c r="CT228" s="9"/>
      <c r="CU228" s="4"/>
      <c r="CV228" s="9"/>
      <c r="CW228" s="4"/>
      <c r="CX228" s="9"/>
      <c r="CY228" s="4"/>
      <c r="CZ228" s="9"/>
      <c r="DA228" s="4"/>
      <c r="DB228" s="9"/>
      <c r="DC228" s="4"/>
      <c r="DD228" s="9"/>
      <c r="DE228" s="4"/>
      <c r="DF228" s="9"/>
      <c r="DG228" s="4"/>
      <c r="DH228" s="9"/>
      <c r="DI228" s="4"/>
      <c r="DJ228" s="9"/>
      <c r="DK228" s="4"/>
      <c r="DL228" s="9"/>
      <c r="DM228" s="4"/>
      <c r="DN228" s="9"/>
      <c r="DO228" s="4"/>
      <c r="DP228" s="9"/>
      <c r="DQ228" s="4"/>
      <c r="DR228" s="9"/>
      <c r="DS228" s="4"/>
      <c r="DT228" s="9"/>
      <c r="DU228" s="4"/>
      <c r="DV228" s="9"/>
      <c r="DW228" s="4"/>
      <c r="DX228" s="9"/>
      <c r="DY228" s="4"/>
      <c r="DZ228" s="9"/>
      <c r="EA228" s="4"/>
      <c r="EB228" s="9"/>
      <c r="EC228" s="4"/>
      <c r="ED228" s="9"/>
      <c r="EE228" s="4"/>
      <c r="EF228" s="9"/>
      <c r="EG228" s="4"/>
      <c r="EH228" s="9"/>
      <c r="EI228" s="4"/>
      <c r="EJ228" s="9"/>
      <c r="EK228" s="4"/>
      <c r="EL228" s="9"/>
      <c r="EM228" s="4"/>
      <c r="EN228" s="9"/>
      <c r="EO228" s="4"/>
      <c r="EP228" s="9"/>
      <c r="EQ228" s="4"/>
      <c r="ER228" s="9"/>
      <c r="ES228" s="4"/>
      <c r="ET228" s="9"/>
      <c r="EU228" s="4"/>
      <c r="EV228" s="9"/>
      <c r="EW228" s="4"/>
      <c r="EX228" s="9"/>
      <c r="EY228" s="4"/>
      <c r="EZ228" s="9"/>
      <c r="FA228" s="4"/>
      <c r="FB228" s="9"/>
      <c r="FC228" s="4"/>
      <c r="FD228" s="9"/>
      <c r="FE228" s="4"/>
      <c r="FF228" s="9"/>
      <c r="FG228" s="4"/>
      <c r="FH228" s="9"/>
      <c r="FI228" s="4"/>
      <c r="FJ228" s="9"/>
      <c r="FK228" s="4"/>
      <c r="FL228" s="9"/>
      <c r="FM228" s="4"/>
      <c r="FN228" s="9"/>
      <c r="FO228" s="4"/>
      <c r="FP228" s="9"/>
      <c r="FQ228" s="4"/>
      <c r="FR228" s="9"/>
      <c r="FS228" s="4"/>
      <c r="FT228" s="9"/>
      <c r="FU228" s="4"/>
      <c r="FV228" s="9"/>
      <c r="FW228" s="4"/>
      <c r="FX228" s="9"/>
      <c r="FY228" s="4"/>
      <c r="FZ228" s="9"/>
      <c r="GA228" s="4"/>
      <c r="GB228" s="9"/>
      <c r="GC228" s="4"/>
      <c r="GD228" s="9"/>
      <c r="GE228" s="4"/>
      <c r="GF228" s="9"/>
      <c r="GG228" s="4"/>
      <c r="GH228" s="9"/>
      <c r="GI228" s="4"/>
      <c r="GJ228" s="9"/>
      <c r="GK228" s="4"/>
      <c r="GL228" s="9"/>
      <c r="GM228" s="4"/>
      <c r="GN228" s="9"/>
      <c r="GO228" s="4"/>
      <c r="GP228" s="9"/>
      <c r="GQ228" s="4"/>
      <c r="GR228" s="9"/>
      <c r="GS228" s="4"/>
      <c r="GT228" s="9"/>
      <c r="GU228" s="4"/>
      <c r="GV228" s="9"/>
      <c r="GW228" s="4"/>
      <c r="GX228" s="9"/>
      <c r="GY228" s="4"/>
      <c r="GZ228" s="9"/>
      <c r="HA228" s="4"/>
      <c r="HB228" s="9"/>
      <c r="HC228" s="4"/>
      <c r="HD228" s="9"/>
      <c r="HE228" s="4"/>
      <c r="HF228" s="9"/>
      <c r="HG228" s="4"/>
      <c r="HH228" s="9"/>
      <c r="HI228" s="4"/>
      <c r="HJ228" s="9"/>
      <c r="HK228" s="4"/>
      <c r="HL228" s="9"/>
      <c r="HM228" s="4"/>
      <c r="HN228" s="9"/>
      <c r="HO228" s="4"/>
      <c r="HP228" s="9"/>
      <c r="HQ228" s="4"/>
      <c r="HR228" s="9"/>
      <c r="HS228" s="4"/>
      <c r="HT228" s="9"/>
      <c r="HU228" s="4"/>
      <c r="HV228" s="9"/>
      <c r="HW228" s="4"/>
      <c r="HX228" s="9"/>
      <c r="HY228" s="4"/>
      <c r="HZ228" s="9"/>
      <c r="IA228" s="4"/>
      <c r="IB228" s="9"/>
      <c r="IC228" s="4"/>
      <c r="ID228" s="9"/>
      <c r="IE228" s="4"/>
      <c r="IF228" s="9"/>
      <c r="IG228" s="4"/>
      <c r="IH228" s="9"/>
      <c r="II228" s="4"/>
      <c r="IJ228" s="9"/>
      <c r="IK228" s="4"/>
      <c r="IL228" s="9"/>
      <c r="IM228" s="4"/>
      <c r="IN228" s="9"/>
      <c r="IO228" s="4"/>
      <c r="IP228" s="9"/>
      <c r="IQ228" s="4"/>
      <c r="IR228" s="9"/>
      <c r="IS228" s="4"/>
      <c r="IT228" s="9"/>
      <c r="IU228" s="4"/>
      <c r="IV228" s="9"/>
      <c r="IW228" s="4"/>
      <c r="IX228" s="9"/>
      <c r="IY228" s="4"/>
      <c r="IZ228" s="9"/>
      <c r="JA228" s="4"/>
      <c r="JB228" s="9"/>
      <c r="JC228" s="4"/>
      <c r="JD228" s="9"/>
      <c r="JE228" s="4"/>
      <c r="JF228" s="9"/>
      <c r="JG228" s="4"/>
      <c r="JH228" s="9"/>
      <c r="JI228" s="4"/>
      <c r="JJ228" s="9"/>
      <c r="JK228" s="4"/>
      <c r="JL228" s="9"/>
      <c r="JM228" s="4"/>
      <c r="JN228" s="9"/>
      <c r="JO228" s="4"/>
      <c r="JP228" s="9"/>
      <c r="JQ228" s="4"/>
      <c r="JR228" s="9"/>
      <c r="JS228" s="4"/>
      <c r="JT228" s="9"/>
      <c r="JU228" s="4"/>
      <c r="JV228" s="9"/>
      <c r="JW228" s="4"/>
      <c r="JX228" s="9"/>
      <c r="JY228" s="4"/>
      <c r="JZ228" s="9"/>
      <c r="KA228" s="4"/>
      <c r="KB228" s="9"/>
      <c r="KC228" s="4"/>
      <c r="KD228" s="9"/>
      <c r="KE228" s="4"/>
      <c r="KF228" s="9"/>
      <c r="KG228" s="4"/>
      <c r="KH228" s="9"/>
      <c r="KI228" s="4"/>
      <c r="KJ228" s="9"/>
      <c r="KK228" s="4"/>
      <c r="KL228" s="9"/>
      <c r="KM228" s="4"/>
      <c r="KN228" s="9"/>
      <c r="KO228" s="4"/>
      <c r="KP228" s="9"/>
      <c r="KQ228" s="4"/>
      <c r="KR228" s="9"/>
      <c r="KS228" s="4"/>
      <c r="KT228" s="9"/>
      <c r="KU228" s="4"/>
      <c r="KV228" s="9"/>
      <c r="KW228" s="4"/>
      <c r="KX228" s="9"/>
      <c r="KY228" s="4"/>
      <c r="KZ228" s="9"/>
      <c r="LA228" s="4"/>
      <c r="LB228" s="9"/>
      <c r="LC228" s="4"/>
      <c r="LD228" s="9"/>
      <c r="LE228" s="4"/>
      <c r="LF228" s="9"/>
      <c r="LG228" s="4"/>
      <c r="LH228" s="9"/>
      <c r="LI228" s="4"/>
      <c r="LJ228" s="9"/>
      <c r="LK228" s="4"/>
      <c r="LL228" s="9"/>
      <c r="LM228" s="4"/>
      <c r="LN228" s="9"/>
      <c r="LO228" s="4"/>
      <c r="LP228" s="9"/>
      <c r="LQ228" s="4"/>
      <c r="LR228" s="9"/>
      <c r="LS228" s="4"/>
      <c r="LT228" s="9"/>
      <c r="LU228" s="4"/>
      <c r="LV228" s="9"/>
      <c r="LW228" s="4"/>
      <c r="LX228" s="9"/>
      <c r="LY228" s="4"/>
      <c r="LZ228" s="9"/>
      <c r="MA228" s="4"/>
      <c r="MB228" s="9"/>
      <c r="MC228" s="4"/>
      <c r="MD228" s="9"/>
      <c r="ME228" s="4"/>
      <c r="MF228" s="9"/>
      <c r="MG228" s="4"/>
      <c r="MH228" s="9"/>
      <c r="MI228" s="4"/>
      <c r="MJ228" s="9"/>
      <c r="MK228" s="4"/>
      <c r="ML228" s="9"/>
      <c r="MM228" s="4"/>
      <c r="MN228" s="9"/>
      <c r="MO228" s="4"/>
      <c r="MP228" s="9"/>
      <c r="MQ228" s="4"/>
      <c r="MR228" s="9"/>
      <c r="MS228" s="4"/>
      <c r="MT228" s="9"/>
      <c r="MU228" s="4"/>
      <c r="MV228" s="9"/>
      <c r="MW228" s="4"/>
      <c r="MX228" s="9"/>
      <c r="MY228" s="4"/>
      <c r="MZ228" s="9"/>
      <c r="NA228" s="4"/>
      <c r="NB228" s="9"/>
      <c r="NC228" s="4"/>
      <c r="ND228" s="9"/>
      <c r="NE228" s="4"/>
      <c r="NF228" s="9"/>
      <c r="NG228" s="4"/>
      <c r="NH228" s="9"/>
      <c r="NI228" s="4"/>
      <c r="NJ228" s="9"/>
      <c r="NK228" s="4"/>
      <c r="NL228" s="9"/>
      <c r="NM228" s="4"/>
      <c r="NN228" s="9"/>
      <c r="NO228" s="4"/>
      <c r="NP228" s="9"/>
      <c r="NQ228" s="4"/>
      <c r="NR228" s="9"/>
      <c r="NS228" s="4"/>
      <c r="NT228" s="9"/>
      <c r="NU228" s="4"/>
      <c r="NV228" s="9"/>
      <c r="NW228" s="4"/>
      <c r="NX228" s="9"/>
      <c r="NY228" s="4"/>
      <c r="NZ228" s="9"/>
      <c r="OA228" s="4"/>
      <c r="OB228" s="9"/>
      <c r="OC228" s="4"/>
      <c r="OD228" s="9"/>
      <c r="OE228" s="4"/>
      <c r="OF228" s="9"/>
      <c r="OG228" s="4"/>
      <c r="OH228" s="9"/>
      <c r="OI228" s="4"/>
      <c r="OJ228" s="9"/>
      <c r="OK228" s="4"/>
      <c r="OL228" s="9"/>
      <c r="OM228" s="4"/>
      <c r="ON228" s="9"/>
      <c r="OO228" s="4"/>
      <c r="OP228" s="9"/>
      <c r="OQ228" s="4"/>
      <c r="OR228" s="9"/>
      <c r="OS228" s="4"/>
      <c r="OT228" s="9"/>
      <c r="OU228" s="4"/>
      <c r="OV228" s="9"/>
      <c r="OW228" s="4"/>
      <c r="OX228" s="9"/>
      <c r="OY228" s="4"/>
      <c r="OZ228" s="9"/>
      <c r="PA228" s="4"/>
      <c r="PB228" s="9"/>
      <c r="PC228" s="4"/>
      <c r="PD228" s="9"/>
      <c r="PE228" s="4"/>
      <c r="PF228" s="9"/>
      <c r="PG228" s="4"/>
      <c r="PH228" s="9"/>
      <c r="PI228" s="4"/>
      <c r="PJ228" s="9"/>
      <c r="PK228" s="4"/>
      <c r="PL228" s="9"/>
      <c r="PM228" s="4"/>
      <c r="PN228" s="9"/>
      <c r="PO228" s="4"/>
      <c r="PP228" s="9"/>
      <c r="PQ228" s="4"/>
      <c r="PR228" s="9"/>
      <c r="PS228" s="4"/>
      <c r="PT228" s="9"/>
      <c r="PU228" s="4"/>
      <c r="PV228" s="9"/>
      <c r="PW228" s="4"/>
      <c r="PX228" s="9"/>
      <c r="PY228" s="4"/>
      <c r="PZ228" s="9"/>
      <c r="QA228" s="4"/>
      <c r="QB228" s="9"/>
      <c r="QC228" s="4"/>
      <c r="QD228" s="9"/>
      <c r="QE228" s="4"/>
      <c r="QF228" s="9"/>
      <c r="QG228" s="4"/>
      <c r="QH228" s="9"/>
      <c r="QI228" s="4"/>
      <c r="QJ228" s="9"/>
      <c r="QK228" s="4"/>
      <c r="QL228" s="9"/>
      <c r="QM228" s="4"/>
      <c r="QN228" s="9"/>
      <c r="QO228" s="4"/>
      <c r="QP228" s="9"/>
      <c r="QQ228" s="4"/>
      <c r="QR228" s="9"/>
      <c r="QS228" s="4"/>
      <c r="QT228" s="9"/>
      <c r="QU228" s="4"/>
      <c r="QV228" s="9"/>
      <c r="QW228" s="4"/>
      <c r="QX228" s="9"/>
      <c r="QY228" s="4"/>
      <c r="QZ228" s="9"/>
      <c r="RA228" s="4"/>
      <c r="RB228" s="9"/>
      <c r="RC228" s="4"/>
      <c r="RD228" s="9"/>
      <c r="RE228" s="4"/>
      <c r="RF228" s="9"/>
      <c r="RG228" s="4"/>
      <c r="RH228" s="9"/>
      <c r="RI228" s="4"/>
      <c r="RJ228" s="9"/>
      <c r="RK228" s="4"/>
      <c r="RL228" s="9"/>
      <c r="RM228" s="4"/>
      <c r="RN228" s="9"/>
      <c r="RO228" s="4"/>
      <c r="RP228" s="9"/>
      <c r="RQ228" s="4"/>
      <c r="RR228" s="9"/>
      <c r="RS228" s="4"/>
      <c r="RT228" s="9"/>
      <c r="RU228" s="4"/>
      <c r="RV228" s="9"/>
      <c r="RW228" s="4"/>
      <c r="RX228" s="9"/>
      <c r="RY228" s="4"/>
      <c r="RZ228" s="9"/>
      <c r="SA228" s="4"/>
      <c r="SB228" s="9"/>
      <c r="SC228" s="4"/>
      <c r="SD228" s="9"/>
      <c r="SE228" s="4"/>
      <c r="SF228" s="9"/>
      <c r="SG228" s="4"/>
      <c r="SH228" s="9"/>
      <c r="SI228" s="4"/>
      <c r="SJ228" s="9"/>
      <c r="SK228" s="4"/>
      <c r="SL228" s="9"/>
      <c r="SM228" s="4"/>
      <c r="SN228" s="9"/>
      <c r="SO228" s="4"/>
      <c r="SP228" s="9"/>
      <c r="SQ228" s="4"/>
      <c r="SR228" s="9"/>
      <c r="SS228" s="4"/>
      <c r="ST228" s="9"/>
      <c r="SU228" s="4"/>
      <c r="SV228" s="9"/>
      <c r="SW228" s="4"/>
      <c r="SX228" s="9"/>
      <c r="SY228" s="4"/>
      <c r="SZ228" s="9"/>
      <c r="TA228" s="4"/>
      <c r="TB228" s="9"/>
      <c r="TC228" s="4"/>
      <c r="TD228" s="9"/>
      <c r="TE228" s="4"/>
      <c r="TF228" s="9"/>
      <c r="TG228" s="4"/>
      <c r="TH228" s="9"/>
      <c r="TI228" s="4"/>
      <c r="TJ228" s="9"/>
      <c r="TK228" s="4"/>
      <c r="TL228" s="9"/>
      <c r="TM228" s="4"/>
      <c r="TN228" s="9"/>
      <c r="TO228" s="4"/>
      <c r="TP228" s="9"/>
      <c r="TQ228" s="4"/>
      <c r="TR228" s="9"/>
      <c r="TS228" s="4"/>
      <c r="TT228" s="9"/>
      <c r="TU228" s="4"/>
      <c r="TV228" s="9"/>
      <c r="TW228" s="4"/>
      <c r="TX228" s="9"/>
      <c r="TY228" s="4"/>
      <c r="TZ228" s="9"/>
      <c r="UA228" s="4"/>
      <c r="UB228" s="9"/>
      <c r="UC228" s="4"/>
      <c r="UD228" s="9"/>
      <c r="UE228" s="4"/>
      <c r="UF228" s="9"/>
      <c r="UG228" s="4"/>
      <c r="UH228" s="9"/>
      <c r="UI228" s="4"/>
      <c r="UJ228" s="9"/>
      <c r="UK228" s="4"/>
      <c r="UL228" s="9"/>
      <c r="UM228" s="4"/>
      <c r="UN228" s="9"/>
      <c r="UO228" s="4"/>
      <c r="UP228" s="9"/>
      <c r="UQ228" s="4"/>
      <c r="UR228" s="9"/>
      <c r="US228" s="4"/>
      <c r="UT228" s="9"/>
      <c r="UU228" s="4"/>
      <c r="UV228" s="9"/>
      <c r="UW228" s="4"/>
      <c r="UX228" s="9"/>
      <c r="UY228" s="4"/>
      <c r="UZ228" s="9"/>
      <c r="VA228" s="4"/>
      <c r="VB228" s="9"/>
      <c r="VC228" s="4"/>
      <c r="VD228" s="9"/>
      <c r="VE228" s="4"/>
      <c r="VF228" s="9"/>
      <c r="VG228" s="4"/>
      <c r="VH228" s="9"/>
      <c r="VI228" s="4"/>
      <c r="VJ228" s="9"/>
      <c r="VK228" s="4"/>
      <c r="VL228" s="9"/>
      <c r="VM228" s="4"/>
      <c r="VN228" s="9"/>
      <c r="VO228" s="4"/>
      <c r="VP228" s="9"/>
      <c r="VQ228" s="4"/>
      <c r="VR228" s="9"/>
      <c r="VS228" s="4"/>
      <c r="VT228" s="9"/>
      <c r="VU228" s="4"/>
      <c r="VV228" s="9"/>
      <c r="VW228" s="4"/>
      <c r="VX228" s="9"/>
      <c r="VY228" s="4"/>
      <c r="VZ228" s="9"/>
      <c r="WA228" s="4"/>
      <c r="WB228" s="9"/>
      <c r="WC228" s="4"/>
      <c r="WD228" s="9"/>
      <c r="WE228" s="4"/>
      <c r="WF228" s="9"/>
      <c r="WG228" s="4"/>
      <c r="WH228" s="9"/>
      <c r="WI228" s="4"/>
      <c r="WJ228" s="9"/>
      <c r="WK228" s="4"/>
      <c r="WL228" s="9"/>
      <c r="WM228" s="4"/>
      <c r="WN228" s="9"/>
      <c r="WO228" s="4"/>
      <c r="WP228" s="9"/>
      <c r="WQ228" s="4"/>
      <c r="WR228" s="9"/>
      <c r="WS228" s="4"/>
      <c r="WT228" s="9"/>
      <c r="WU228" s="4"/>
      <c r="WV228" s="9"/>
      <c r="WW228" s="4"/>
      <c r="WX228" s="9"/>
      <c r="WY228" s="4"/>
      <c r="WZ228" s="9"/>
      <c r="XA228" s="4"/>
      <c r="XB228" s="9"/>
      <c r="XC228" s="4"/>
      <c r="XD228" s="9"/>
      <c r="XE228" s="4"/>
      <c r="XF228" s="9"/>
      <c r="XG228" s="4"/>
      <c r="XH228" s="9"/>
      <c r="XI228" s="4"/>
      <c r="XJ228" s="9"/>
      <c r="XK228" s="4"/>
      <c r="XL228" s="9"/>
      <c r="XM228" s="4"/>
      <c r="XN228" s="9"/>
      <c r="XO228" s="4"/>
      <c r="XP228" s="9"/>
      <c r="XQ228" s="4"/>
      <c r="XR228" s="9"/>
      <c r="XS228" s="4"/>
      <c r="XT228" s="9"/>
      <c r="XU228" s="4"/>
      <c r="XV228" s="9"/>
      <c r="XW228" s="4"/>
      <c r="XX228" s="9"/>
      <c r="XY228" s="4"/>
      <c r="XZ228" s="9"/>
      <c r="YA228" s="4"/>
      <c r="YB228" s="9"/>
      <c r="YC228" s="4"/>
      <c r="YD228" s="9"/>
      <c r="YE228" s="4"/>
      <c r="YF228" s="9"/>
      <c r="YG228" s="4"/>
      <c r="YH228" s="9"/>
      <c r="YI228" s="4"/>
      <c r="YJ228" s="9"/>
      <c r="YK228" s="4"/>
      <c r="YL228" s="9"/>
      <c r="YM228" s="4"/>
      <c r="YN228" s="9"/>
      <c r="YO228" s="4"/>
      <c r="YP228" s="9"/>
      <c r="YQ228" s="4"/>
      <c r="YR228" s="9"/>
      <c r="YS228" s="4"/>
      <c r="YT228" s="9"/>
      <c r="YU228" s="4"/>
      <c r="YV228" s="9"/>
      <c r="YW228" s="4"/>
      <c r="YX228" s="9"/>
      <c r="YY228" s="4"/>
      <c r="YZ228" s="9"/>
      <c r="ZA228" s="4"/>
      <c r="ZB228" s="9"/>
      <c r="ZC228" s="4"/>
      <c r="ZD228" s="9"/>
      <c r="ZE228" s="4"/>
      <c r="ZF228" s="9"/>
      <c r="ZG228" s="4"/>
      <c r="ZH228" s="9"/>
      <c r="ZI228" s="4"/>
      <c r="ZJ228" s="9"/>
      <c r="ZK228" s="4"/>
      <c r="ZL228" s="9"/>
      <c r="ZM228" s="4"/>
      <c r="ZN228" s="9"/>
      <c r="ZO228" s="4"/>
      <c r="ZP228" s="9"/>
      <c r="ZQ228" s="4"/>
      <c r="ZR228" s="9"/>
      <c r="ZS228" s="4"/>
      <c r="ZT228" s="9"/>
      <c r="ZU228" s="4"/>
      <c r="ZV228" s="9"/>
      <c r="ZW228" s="4"/>
      <c r="ZX228" s="9"/>
      <c r="ZY228" s="4"/>
      <c r="ZZ228" s="9"/>
      <c r="AAA228" s="4"/>
      <c r="AAB228" s="9"/>
      <c r="AAC228" s="4"/>
      <c r="AAD228" s="9"/>
      <c r="AAE228" s="4"/>
      <c r="AAF228" s="9"/>
      <c r="AAG228" s="4"/>
      <c r="AAH228" s="9"/>
      <c r="AAI228" s="4"/>
      <c r="AAJ228" s="9"/>
      <c r="AAK228" s="4"/>
      <c r="AAL228" s="9"/>
      <c r="AAM228" s="4"/>
      <c r="AAN228" s="9"/>
      <c r="AAO228" s="4"/>
      <c r="AAP228" s="9"/>
      <c r="AAQ228" s="4"/>
      <c r="AAR228" s="9"/>
      <c r="AAS228" s="4"/>
      <c r="AAT228" s="9"/>
      <c r="AAU228" s="4"/>
      <c r="AAV228" s="9"/>
      <c r="AAW228" s="4"/>
      <c r="AAX228" s="9"/>
      <c r="AAY228" s="4"/>
      <c r="AAZ228" s="9"/>
      <c r="ABA228" s="4"/>
      <c r="ABB228" s="9"/>
      <c r="ABC228" s="4"/>
      <c r="ABD228" s="9"/>
      <c r="ABE228" s="4"/>
      <c r="ABF228" s="9"/>
      <c r="ABG228" s="4"/>
      <c r="ABH228" s="9"/>
      <c r="ABI228" s="4"/>
      <c r="ABJ228" s="9"/>
      <c r="ABK228" s="4"/>
      <c r="ABL228" s="9"/>
      <c r="ABM228" s="4"/>
      <c r="ABN228" s="9"/>
      <c r="ABO228" s="4"/>
      <c r="ABP228" s="9"/>
      <c r="ABQ228" s="4"/>
      <c r="ABR228" s="9"/>
      <c r="ABS228" s="4"/>
      <c r="ABT228" s="9"/>
      <c r="ABU228" s="4"/>
      <c r="ABV228" s="9"/>
      <c r="ABW228" s="4"/>
      <c r="ABX228" s="9"/>
      <c r="ABY228" s="4"/>
      <c r="ABZ228" s="9"/>
      <c r="ACA228" s="4"/>
      <c r="ACB228" s="9"/>
      <c r="ACC228" s="4"/>
      <c r="ACD228" s="9"/>
      <c r="ACE228" s="4"/>
      <c r="ACF228" s="9"/>
      <c r="ACG228" s="4"/>
      <c r="ACH228" s="9"/>
      <c r="ACI228" s="4"/>
      <c r="ACJ228" s="9"/>
      <c r="ACK228" s="4"/>
      <c r="ACL228" s="9"/>
      <c r="ACM228" s="4"/>
      <c r="ACN228" s="9"/>
      <c r="ACO228" s="4"/>
      <c r="ACP228" s="9"/>
      <c r="ACQ228" s="4"/>
      <c r="ACR228" s="9"/>
      <c r="ACS228" s="4"/>
      <c r="ACT228" s="9"/>
      <c r="ACU228" s="4"/>
      <c r="ACV228" s="9"/>
      <c r="ACW228" s="4"/>
      <c r="ACX228" s="9"/>
      <c r="ACY228" s="4"/>
      <c r="ACZ228" s="9"/>
      <c r="ADA228" s="4"/>
      <c r="ADB228" s="9"/>
      <c r="ADC228" s="4"/>
      <c r="ADD228" s="9"/>
      <c r="ADE228" s="4"/>
      <c r="ADF228" s="9"/>
      <c r="ADG228" s="4"/>
      <c r="ADH228" s="9"/>
      <c r="ADI228" s="4"/>
      <c r="ADJ228" s="9"/>
      <c r="ADK228" s="4"/>
      <c r="ADL228" s="9"/>
      <c r="ADM228" s="4"/>
      <c r="ADN228" s="9"/>
      <c r="ADO228" s="4"/>
      <c r="ADP228" s="9"/>
      <c r="ADQ228" s="4"/>
      <c r="ADR228" s="9"/>
      <c r="ADS228" s="4"/>
      <c r="ADT228" s="9"/>
      <c r="ADU228" s="4"/>
      <c r="ADV228" s="9"/>
      <c r="ADW228" s="4"/>
      <c r="ADX228" s="9"/>
      <c r="ADY228" s="4"/>
      <c r="ADZ228" s="9"/>
      <c r="AEA228" s="4"/>
      <c r="AEB228" s="9"/>
      <c r="AEC228" s="4"/>
      <c r="AED228" s="9"/>
      <c r="AEE228" s="4"/>
      <c r="AEF228" s="9"/>
      <c r="AEG228" s="4"/>
      <c r="AEH228" s="9"/>
      <c r="AEI228" s="4"/>
      <c r="AEJ228" s="9"/>
      <c r="AEK228" s="4"/>
      <c r="AEL228" s="9"/>
      <c r="AEM228" s="4"/>
      <c r="AEN228" s="9"/>
      <c r="AEO228" s="4"/>
      <c r="AEP228" s="9"/>
      <c r="AEQ228" s="4"/>
      <c r="AER228" s="9"/>
      <c r="AES228" s="4"/>
      <c r="AET228" s="9"/>
      <c r="AEU228" s="4"/>
      <c r="AEV228" s="9"/>
      <c r="AEW228" s="4"/>
      <c r="AEX228" s="9"/>
      <c r="AEY228" s="4"/>
      <c r="AEZ228" s="9"/>
      <c r="AFA228" s="4"/>
      <c r="AFB228" s="9"/>
      <c r="AFC228" s="4"/>
      <c r="AFD228" s="9"/>
      <c r="AFE228" s="4"/>
      <c r="AFF228" s="9"/>
      <c r="AFG228" s="4"/>
      <c r="AFH228" s="9"/>
      <c r="AFI228" s="4"/>
      <c r="AFJ228" s="9"/>
      <c r="AFK228" s="4"/>
      <c r="AFL228" s="9"/>
      <c r="AFM228" s="4"/>
      <c r="AFN228" s="9"/>
      <c r="AFO228" s="4"/>
      <c r="AFP228" s="9"/>
      <c r="AFQ228" s="4"/>
      <c r="AFR228" s="9"/>
      <c r="AFS228" s="4"/>
      <c r="AFT228" s="9"/>
      <c r="AFU228" s="4"/>
      <c r="AFV228" s="9"/>
      <c r="AFW228" s="4"/>
      <c r="AFX228" s="9"/>
      <c r="AFY228" s="4"/>
      <c r="AFZ228" s="9"/>
      <c r="AGA228" s="4"/>
      <c r="AGB228" s="9"/>
      <c r="AGC228" s="4"/>
      <c r="AGD228" s="9"/>
      <c r="AGE228" s="4"/>
      <c r="AGF228" s="9"/>
      <c r="AGG228" s="4"/>
      <c r="AGH228" s="9"/>
      <c r="AGI228" s="4"/>
      <c r="AGJ228" s="9"/>
      <c r="AGK228" s="4"/>
      <c r="AGL228" s="9"/>
      <c r="AGM228" s="4"/>
      <c r="AGN228" s="9"/>
      <c r="AGO228" s="4"/>
      <c r="AGP228" s="9"/>
      <c r="AGQ228" s="4"/>
      <c r="AGR228" s="9"/>
      <c r="AGS228" s="4"/>
      <c r="AGT228" s="9"/>
      <c r="AGU228" s="4"/>
      <c r="AGV228" s="9"/>
      <c r="AGW228" s="4"/>
      <c r="AGX228" s="9"/>
      <c r="AGY228" s="4"/>
      <c r="AGZ228" s="9"/>
      <c r="AHA228" s="4"/>
      <c r="AHB228" s="9"/>
      <c r="AHC228" s="4"/>
      <c r="AHD228" s="9"/>
      <c r="AHE228" s="4"/>
      <c r="AHF228" s="9"/>
      <c r="AHG228" s="4"/>
      <c r="AHH228" s="9"/>
      <c r="AHI228" s="4"/>
      <c r="AHJ228" s="9"/>
      <c r="AHK228" s="4"/>
      <c r="AHL228" s="9"/>
      <c r="AHM228" s="4"/>
      <c r="AHN228" s="9"/>
      <c r="AHO228" s="4"/>
      <c r="AHP228" s="9"/>
      <c r="AHQ228" s="4"/>
      <c r="AHR228" s="9"/>
      <c r="AHS228" s="4"/>
      <c r="AHT228" s="9"/>
      <c r="AHU228" s="4"/>
      <c r="AHV228" s="9"/>
      <c r="AHW228" s="4"/>
      <c r="AHX228" s="9"/>
      <c r="AHY228" s="4"/>
      <c r="AHZ228" s="9"/>
      <c r="AIA228" s="4"/>
      <c r="AIB228" s="9"/>
      <c r="AIC228" s="4"/>
      <c r="AID228" s="9"/>
      <c r="AIE228" s="4"/>
      <c r="AIF228" s="9"/>
      <c r="AIG228" s="4"/>
      <c r="AIH228" s="9"/>
      <c r="AII228" s="4"/>
      <c r="AIJ228" s="9"/>
      <c r="AIK228" s="4"/>
      <c r="AIL228" s="9"/>
      <c r="AIM228" s="4"/>
      <c r="AIN228" s="9"/>
      <c r="AIO228" s="4"/>
      <c r="AIP228" s="9"/>
      <c r="AIQ228" s="4"/>
      <c r="AIR228" s="9"/>
      <c r="AIS228" s="4"/>
      <c r="AIT228" s="9"/>
      <c r="AIU228" s="4"/>
      <c r="AIV228" s="9"/>
      <c r="AIW228" s="4"/>
      <c r="AIX228" s="9"/>
      <c r="AIY228" s="4"/>
      <c r="AIZ228" s="9"/>
      <c r="AJA228" s="4"/>
      <c r="AJB228" s="9"/>
      <c r="AJC228" s="4"/>
      <c r="AJD228" s="9"/>
      <c r="AJE228" s="4"/>
      <c r="AJF228" s="9"/>
      <c r="AJG228" s="4"/>
      <c r="AJH228" s="9"/>
      <c r="AJI228" s="4"/>
      <c r="AJJ228" s="9"/>
      <c r="AJK228" s="4"/>
      <c r="AJL228" s="9"/>
      <c r="AJM228" s="4"/>
      <c r="AJN228" s="9"/>
      <c r="AJO228" s="4"/>
      <c r="AJP228" s="9"/>
      <c r="AJQ228" s="4"/>
      <c r="AJR228" s="9"/>
      <c r="AJS228" s="4"/>
      <c r="AJT228" s="9"/>
      <c r="AJU228" s="4"/>
      <c r="AJV228" s="9"/>
      <c r="AJW228" s="4"/>
      <c r="AJX228" s="9"/>
      <c r="AJY228" s="4"/>
      <c r="AJZ228" s="9"/>
      <c r="AKA228" s="4"/>
      <c r="AKB228" s="9"/>
      <c r="AKC228" s="4"/>
      <c r="AKD228" s="9"/>
      <c r="AKE228" s="4"/>
      <c r="AKF228" s="9"/>
      <c r="AKG228" s="4"/>
      <c r="AKH228" s="9"/>
      <c r="AKI228" s="4"/>
      <c r="AKJ228" s="9"/>
      <c r="AKK228" s="4"/>
      <c r="AKL228" s="9"/>
      <c r="AKM228" s="4"/>
      <c r="AKN228" s="9"/>
      <c r="AKO228" s="4"/>
      <c r="AKP228" s="9"/>
      <c r="AKQ228" s="4"/>
      <c r="AKR228" s="9"/>
      <c r="AKS228" s="4"/>
      <c r="AKT228" s="9"/>
      <c r="AKU228" s="4"/>
      <c r="AKV228" s="9"/>
      <c r="AKW228" s="4"/>
      <c r="AKX228" s="9"/>
      <c r="AKY228" s="4"/>
      <c r="AKZ228" s="9"/>
      <c r="ALA228" s="4"/>
      <c r="ALB228" s="9"/>
      <c r="ALC228" s="4"/>
      <c r="ALD228" s="9"/>
      <c r="ALE228" s="4"/>
      <c r="ALF228" s="9"/>
      <c r="ALG228" s="4"/>
      <c r="ALH228" s="9"/>
      <c r="ALI228" s="4"/>
      <c r="ALJ228" s="9"/>
      <c r="ALK228" s="4"/>
      <c r="ALL228" s="9"/>
      <c r="ALM228" s="4"/>
      <c r="ALN228" s="9"/>
      <c r="ALO228" s="4"/>
      <c r="ALP228" s="9"/>
      <c r="ALQ228" s="4"/>
      <c r="ALR228" s="9"/>
      <c r="ALS228" s="4"/>
      <c r="ALT228" s="9"/>
      <c r="ALU228" s="4"/>
      <c r="ALV228" s="9"/>
      <c r="ALW228" s="4"/>
      <c r="ALX228" s="9"/>
      <c r="ALY228" s="4"/>
      <c r="ALZ228" s="9"/>
      <c r="AMA228" s="4"/>
      <c r="AMB228" s="9"/>
      <c r="AMC228" s="4"/>
      <c r="AMD228" s="9"/>
      <c r="AME228" s="4"/>
      <c r="AMF228" s="9"/>
      <c r="AMG228" s="4"/>
      <c r="AMH228" s="9"/>
      <c r="AMI228" s="4"/>
      <c r="AMJ228" s="9"/>
      <c r="AMK228" s="4"/>
      <c r="AML228" s="9"/>
      <c r="AMM228" s="4"/>
      <c r="AMN228" s="9"/>
      <c r="AMO228" s="4"/>
      <c r="AMP228" s="9"/>
      <c r="AMQ228" s="4"/>
      <c r="AMR228" s="9"/>
      <c r="AMS228" s="4"/>
      <c r="AMT228" s="9"/>
      <c r="AMU228" s="4"/>
      <c r="AMV228" s="9"/>
      <c r="AMW228" s="4"/>
      <c r="AMX228" s="9"/>
      <c r="AMY228" s="4"/>
      <c r="AMZ228" s="9"/>
      <c r="ANA228" s="4"/>
      <c r="ANB228" s="9"/>
      <c r="ANC228" s="4"/>
      <c r="AND228" s="9"/>
      <c r="ANE228" s="4"/>
      <c r="ANF228" s="9"/>
      <c r="ANG228" s="4"/>
      <c r="ANH228" s="9"/>
      <c r="ANI228" s="4"/>
      <c r="ANJ228" s="9"/>
      <c r="ANK228" s="4"/>
      <c r="ANL228" s="9"/>
      <c r="ANM228" s="4"/>
      <c r="ANN228" s="9"/>
      <c r="ANO228" s="4"/>
      <c r="ANP228" s="9"/>
      <c r="ANQ228" s="4"/>
      <c r="ANR228" s="9"/>
      <c r="ANS228" s="4"/>
      <c r="ANT228" s="9"/>
      <c r="ANU228" s="4"/>
      <c r="ANV228" s="9"/>
      <c r="ANW228" s="4"/>
      <c r="ANX228" s="9"/>
      <c r="ANY228" s="4"/>
      <c r="ANZ228" s="9"/>
      <c r="AOA228" s="4"/>
      <c r="AOB228" s="9"/>
      <c r="AOC228" s="4"/>
      <c r="AOD228" s="9"/>
      <c r="AOE228" s="4"/>
      <c r="AOF228" s="9"/>
      <c r="AOG228" s="4"/>
      <c r="AOH228" s="9"/>
      <c r="AOI228" s="4"/>
      <c r="AOJ228" s="9"/>
      <c r="AOK228" s="4"/>
      <c r="AOL228" s="9"/>
      <c r="AOM228" s="4"/>
      <c r="AON228" s="9"/>
      <c r="AOO228" s="4"/>
      <c r="AOP228" s="9"/>
      <c r="AOQ228" s="4"/>
      <c r="AOR228" s="9"/>
      <c r="AOS228" s="4"/>
      <c r="AOT228" s="9"/>
      <c r="AOU228" s="4"/>
      <c r="AOV228" s="9"/>
      <c r="AOW228" s="4"/>
      <c r="AOX228" s="9"/>
      <c r="AOY228" s="4"/>
      <c r="AOZ228" s="9"/>
      <c r="APA228" s="4"/>
      <c r="APB228" s="9"/>
      <c r="APC228" s="4"/>
      <c r="APD228" s="9"/>
      <c r="APE228" s="4"/>
      <c r="APF228" s="9"/>
      <c r="APG228" s="4"/>
      <c r="APH228" s="9"/>
      <c r="API228" s="4"/>
      <c r="APJ228" s="9"/>
      <c r="APK228" s="4"/>
      <c r="APL228" s="9"/>
      <c r="APM228" s="4"/>
      <c r="APN228" s="9"/>
      <c r="APO228" s="4"/>
      <c r="APP228" s="9"/>
      <c r="APQ228" s="4"/>
      <c r="APR228" s="9"/>
      <c r="APS228" s="4"/>
      <c r="APT228" s="9"/>
      <c r="APU228" s="4"/>
      <c r="APV228" s="9"/>
      <c r="APW228" s="4"/>
      <c r="APX228" s="9"/>
      <c r="APY228" s="4"/>
      <c r="APZ228" s="9"/>
      <c r="AQA228" s="4"/>
      <c r="AQB228" s="9"/>
      <c r="AQC228" s="4"/>
      <c r="AQD228" s="9"/>
      <c r="AQE228" s="4"/>
      <c r="AQF228" s="9"/>
      <c r="AQG228" s="4"/>
      <c r="AQH228" s="9"/>
      <c r="AQI228" s="4"/>
      <c r="AQJ228" s="9"/>
      <c r="AQK228" s="4"/>
      <c r="AQL228" s="9"/>
      <c r="AQM228" s="4"/>
      <c r="AQN228" s="9"/>
      <c r="AQO228" s="4"/>
      <c r="AQP228" s="9"/>
      <c r="AQQ228" s="4"/>
      <c r="AQR228" s="9"/>
      <c r="AQS228" s="4"/>
      <c r="AQT228" s="9"/>
      <c r="AQU228" s="4"/>
      <c r="AQV228" s="9"/>
      <c r="AQW228" s="4"/>
      <c r="AQX228" s="9"/>
      <c r="AQY228" s="4"/>
      <c r="AQZ228" s="9"/>
      <c r="ARA228" s="4"/>
      <c r="ARB228" s="9"/>
      <c r="ARC228" s="4"/>
      <c r="ARD228" s="9"/>
      <c r="ARE228" s="4"/>
      <c r="ARF228" s="9"/>
      <c r="ARG228" s="4"/>
      <c r="ARH228" s="9"/>
      <c r="ARI228" s="4"/>
      <c r="ARJ228" s="9"/>
      <c r="ARK228" s="4"/>
      <c r="ARL228" s="9"/>
      <c r="ARM228" s="4"/>
      <c r="ARN228" s="9"/>
      <c r="ARO228" s="4"/>
      <c r="ARP228" s="9"/>
      <c r="ARQ228" s="4"/>
      <c r="ARR228" s="9"/>
      <c r="ARS228" s="4"/>
      <c r="ART228" s="9"/>
      <c r="ARU228" s="4"/>
      <c r="ARV228" s="9"/>
      <c r="ARW228" s="4"/>
      <c r="ARX228" s="9"/>
      <c r="ARY228" s="4"/>
      <c r="ARZ228" s="9"/>
      <c r="ASA228" s="4"/>
      <c r="ASB228" s="9"/>
      <c r="ASC228" s="4"/>
      <c r="ASD228" s="9"/>
      <c r="ASE228" s="4"/>
      <c r="ASF228" s="9"/>
      <c r="ASG228" s="4"/>
      <c r="ASH228" s="9"/>
      <c r="ASI228" s="4"/>
      <c r="ASJ228" s="9"/>
      <c r="ASK228" s="4"/>
      <c r="ASL228" s="9"/>
      <c r="ASM228" s="4"/>
      <c r="ASN228" s="9"/>
      <c r="ASO228" s="4"/>
      <c r="ASP228" s="9"/>
      <c r="ASQ228" s="4"/>
      <c r="ASR228" s="9"/>
      <c r="ASS228" s="4"/>
      <c r="AST228" s="9"/>
      <c r="ASU228" s="4"/>
      <c r="ASV228" s="9"/>
      <c r="ASW228" s="4"/>
      <c r="ASX228" s="9"/>
      <c r="ASY228" s="4"/>
      <c r="ASZ228" s="9"/>
      <c r="ATA228" s="4"/>
      <c r="ATB228" s="9"/>
      <c r="ATC228" s="4"/>
      <c r="ATD228" s="9"/>
      <c r="ATE228" s="4"/>
      <c r="ATF228" s="9"/>
      <c r="ATG228" s="4"/>
      <c r="ATH228" s="9"/>
      <c r="ATI228" s="4"/>
      <c r="ATJ228" s="9"/>
      <c r="ATK228" s="4"/>
      <c r="ATL228" s="9"/>
      <c r="ATM228" s="4"/>
      <c r="ATN228" s="9"/>
      <c r="ATO228" s="4"/>
      <c r="ATP228" s="9"/>
      <c r="ATQ228" s="4"/>
      <c r="ATR228" s="9"/>
      <c r="ATS228" s="4"/>
      <c r="ATT228" s="9"/>
      <c r="ATU228" s="4"/>
      <c r="ATV228" s="9"/>
      <c r="ATW228" s="4"/>
      <c r="ATX228" s="9"/>
      <c r="ATY228" s="4"/>
      <c r="ATZ228" s="9"/>
      <c r="AUA228" s="4"/>
      <c r="AUB228" s="9"/>
      <c r="AUC228" s="4"/>
      <c r="AUD228" s="9"/>
      <c r="AUE228" s="4"/>
      <c r="AUF228" s="9"/>
      <c r="AUG228" s="4"/>
      <c r="AUH228" s="9"/>
      <c r="AUI228" s="4"/>
      <c r="AUJ228" s="9"/>
      <c r="AUK228" s="4"/>
      <c r="AUL228" s="9"/>
      <c r="AUM228" s="4"/>
      <c r="AUN228" s="9"/>
      <c r="AUO228" s="4"/>
      <c r="AUP228" s="9"/>
      <c r="AUQ228" s="4"/>
      <c r="AUR228" s="9"/>
      <c r="AUS228" s="4"/>
      <c r="AUT228" s="9"/>
      <c r="AUU228" s="4"/>
      <c r="AUV228" s="9"/>
      <c r="AUW228" s="4"/>
      <c r="AUX228" s="9"/>
      <c r="AUY228" s="4"/>
      <c r="AUZ228" s="9"/>
      <c r="AVA228" s="4"/>
      <c r="AVB228" s="9"/>
      <c r="AVC228" s="4"/>
      <c r="AVD228" s="9"/>
      <c r="AVE228" s="4"/>
      <c r="AVF228" s="9"/>
      <c r="AVG228" s="4"/>
      <c r="AVH228" s="9"/>
      <c r="AVI228" s="4"/>
      <c r="AVJ228" s="9"/>
      <c r="AVK228" s="4"/>
      <c r="AVL228" s="9"/>
      <c r="AVM228" s="4"/>
      <c r="AVN228" s="9"/>
      <c r="AVO228" s="4"/>
      <c r="AVP228" s="9"/>
      <c r="AVQ228" s="4"/>
      <c r="AVR228" s="9"/>
      <c r="AVS228" s="4"/>
      <c r="AVT228" s="9"/>
      <c r="AVU228" s="4"/>
      <c r="AVV228" s="9"/>
      <c r="AVW228" s="4"/>
      <c r="AVX228" s="9"/>
      <c r="AVY228" s="4"/>
      <c r="AVZ228" s="9"/>
      <c r="AWA228" s="4"/>
      <c r="AWB228" s="9"/>
      <c r="AWC228" s="4"/>
      <c r="AWD228" s="9"/>
      <c r="AWE228" s="4"/>
      <c r="AWF228" s="9"/>
      <c r="AWG228" s="4"/>
      <c r="AWH228" s="9"/>
      <c r="AWI228" s="4"/>
      <c r="AWJ228" s="9"/>
      <c r="AWK228" s="4"/>
      <c r="AWL228" s="9"/>
      <c r="AWM228" s="4"/>
      <c r="AWN228" s="9"/>
      <c r="AWO228" s="4"/>
      <c r="AWP228" s="9"/>
      <c r="AWQ228" s="4"/>
      <c r="AWR228" s="9"/>
      <c r="AWS228" s="4"/>
      <c r="AWT228" s="9"/>
      <c r="AWU228" s="4"/>
      <c r="AWV228" s="9"/>
      <c r="AWW228" s="4"/>
      <c r="AWX228" s="9"/>
      <c r="AWY228" s="4"/>
      <c r="AWZ228" s="9"/>
      <c r="AXA228" s="4"/>
      <c r="AXB228" s="9"/>
      <c r="AXC228" s="4"/>
      <c r="AXD228" s="9"/>
      <c r="AXE228" s="4"/>
      <c r="AXF228" s="9"/>
      <c r="AXG228" s="4"/>
      <c r="AXH228" s="9"/>
      <c r="AXI228" s="4"/>
      <c r="AXJ228" s="9"/>
      <c r="AXK228" s="4"/>
      <c r="AXL228" s="9"/>
      <c r="AXM228" s="4"/>
      <c r="AXN228" s="9"/>
      <c r="AXO228" s="4"/>
      <c r="AXP228" s="9"/>
      <c r="AXQ228" s="4"/>
      <c r="AXR228" s="9"/>
      <c r="AXS228" s="4"/>
      <c r="AXT228" s="9"/>
      <c r="AXU228" s="4"/>
      <c r="AXV228" s="9"/>
      <c r="AXW228" s="4"/>
      <c r="AXX228" s="9"/>
      <c r="AXY228" s="4"/>
      <c r="AXZ228" s="9"/>
      <c r="AYA228" s="4"/>
      <c r="AYB228" s="9"/>
      <c r="AYC228" s="4"/>
      <c r="AYD228" s="9"/>
      <c r="AYE228" s="4"/>
      <c r="AYF228" s="9"/>
      <c r="AYG228" s="4"/>
      <c r="AYH228" s="9"/>
      <c r="AYI228" s="4"/>
      <c r="AYJ228" s="9"/>
      <c r="AYK228" s="4"/>
      <c r="AYL228" s="9"/>
      <c r="AYM228" s="4"/>
      <c r="AYN228" s="9"/>
      <c r="AYO228" s="4"/>
      <c r="AYP228" s="9"/>
      <c r="AYQ228" s="4"/>
      <c r="AYR228" s="9"/>
      <c r="AYS228" s="4"/>
      <c r="AYT228" s="9"/>
      <c r="AYU228" s="4"/>
      <c r="AYV228" s="9"/>
      <c r="AYW228" s="4"/>
      <c r="AYX228" s="9"/>
      <c r="AYY228" s="4"/>
      <c r="AYZ228" s="9"/>
      <c r="AZA228" s="4"/>
      <c r="AZB228" s="9"/>
      <c r="AZC228" s="4"/>
      <c r="AZD228" s="9"/>
      <c r="AZE228" s="4"/>
      <c r="AZF228" s="9"/>
      <c r="AZG228" s="4"/>
      <c r="AZH228" s="9"/>
      <c r="AZI228" s="4"/>
      <c r="AZJ228" s="9"/>
      <c r="AZK228" s="4"/>
      <c r="AZL228" s="9"/>
      <c r="AZM228" s="4"/>
      <c r="AZN228" s="9"/>
      <c r="AZO228" s="4"/>
      <c r="AZP228" s="9"/>
      <c r="AZQ228" s="4"/>
      <c r="AZR228" s="9"/>
      <c r="AZS228" s="4"/>
      <c r="AZT228" s="9"/>
      <c r="AZU228" s="4"/>
      <c r="AZV228" s="9"/>
      <c r="AZW228" s="4"/>
      <c r="AZX228" s="9"/>
      <c r="AZY228" s="4"/>
      <c r="AZZ228" s="9"/>
      <c r="BAA228" s="4"/>
      <c r="BAB228" s="9"/>
      <c r="BAC228" s="4"/>
      <c r="BAD228" s="9"/>
      <c r="BAE228" s="4"/>
      <c r="BAF228" s="9"/>
      <c r="BAG228" s="4"/>
      <c r="BAH228" s="9"/>
      <c r="BAI228" s="4"/>
      <c r="BAJ228" s="9"/>
      <c r="BAK228" s="4"/>
      <c r="BAL228" s="9"/>
      <c r="BAM228" s="4"/>
      <c r="BAN228" s="9"/>
      <c r="BAO228" s="4"/>
      <c r="BAP228" s="9"/>
      <c r="BAQ228" s="4"/>
      <c r="BAR228" s="9"/>
      <c r="BAS228" s="4"/>
      <c r="BAT228" s="9"/>
      <c r="BAU228" s="4"/>
      <c r="BAV228" s="9"/>
      <c r="BAW228" s="4"/>
      <c r="BAX228" s="9"/>
      <c r="BAY228" s="4"/>
      <c r="BAZ228" s="9"/>
      <c r="BBA228" s="4"/>
      <c r="BBB228" s="9"/>
      <c r="BBC228" s="4"/>
      <c r="BBD228" s="9"/>
      <c r="BBE228" s="4"/>
      <c r="BBF228" s="9"/>
      <c r="BBG228" s="4"/>
      <c r="BBH228" s="9"/>
      <c r="BBI228" s="4"/>
      <c r="BBJ228" s="9"/>
      <c r="BBK228" s="4"/>
      <c r="BBL228" s="9"/>
      <c r="BBM228" s="4"/>
      <c r="BBN228" s="9"/>
      <c r="BBO228" s="4"/>
      <c r="BBP228" s="9"/>
      <c r="BBQ228" s="4"/>
      <c r="BBR228" s="9"/>
      <c r="BBS228" s="4"/>
      <c r="BBT228" s="9"/>
      <c r="BBU228" s="4"/>
      <c r="BBV228" s="9"/>
      <c r="BBW228" s="4"/>
      <c r="BBX228" s="9"/>
      <c r="BBY228" s="4"/>
      <c r="BBZ228" s="9"/>
      <c r="BCA228" s="4"/>
      <c r="BCB228" s="9"/>
      <c r="BCC228" s="4"/>
      <c r="BCD228" s="9"/>
      <c r="BCE228" s="4"/>
      <c r="BCF228" s="9"/>
      <c r="BCG228" s="4"/>
      <c r="BCH228" s="9"/>
      <c r="BCI228" s="4"/>
      <c r="BCJ228" s="9"/>
      <c r="BCK228" s="4"/>
      <c r="BCL228" s="9"/>
      <c r="BCM228" s="4"/>
      <c r="BCN228" s="9"/>
      <c r="BCO228" s="4"/>
      <c r="BCP228" s="9"/>
      <c r="BCQ228" s="4"/>
      <c r="BCR228" s="9"/>
      <c r="BCS228" s="4"/>
      <c r="BCT228" s="9"/>
      <c r="BCU228" s="4"/>
      <c r="BCV228" s="9"/>
      <c r="BCW228" s="4"/>
      <c r="BCX228" s="9"/>
      <c r="BCY228" s="4"/>
      <c r="BCZ228" s="9"/>
      <c r="BDA228" s="4"/>
      <c r="BDB228" s="9"/>
      <c r="BDC228" s="4"/>
      <c r="BDD228" s="9"/>
      <c r="BDE228" s="4"/>
      <c r="BDF228" s="9"/>
      <c r="BDG228" s="4"/>
      <c r="BDH228" s="9"/>
      <c r="BDI228" s="4"/>
      <c r="BDJ228" s="9"/>
      <c r="BDK228" s="4"/>
      <c r="BDL228" s="9"/>
      <c r="BDM228" s="4"/>
      <c r="BDN228" s="9"/>
      <c r="BDO228" s="4"/>
      <c r="BDP228" s="9"/>
      <c r="BDQ228" s="4"/>
      <c r="BDR228" s="9"/>
      <c r="BDS228" s="4"/>
      <c r="BDT228" s="9"/>
      <c r="BDU228" s="4"/>
      <c r="BDV228" s="9"/>
      <c r="BDW228" s="4"/>
      <c r="BDX228" s="9"/>
      <c r="BDY228" s="4"/>
      <c r="BDZ228" s="9"/>
      <c r="BEA228" s="4"/>
      <c r="BEB228" s="9"/>
      <c r="BEC228" s="4"/>
      <c r="BED228" s="9"/>
      <c r="BEE228" s="4"/>
      <c r="BEF228" s="9"/>
      <c r="BEG228" s="4"/>
      <c r="BEH228" s="9"/>
      <c r="BEI228" s="4"/>
      <c r="BEJ228" s="9"/>
      <c r="BEK228" s="4"/>
      <c r="BEL228" s="9"/>
      <c r="BEM228" s="4"/>
      <c r="BEN228" s="9"/>
      <c r="BEO228" s="4"/>
      <c r="BEP228" s="9"/>
      <c r="BEQ228" s="4"/>
      <c r="BER228" s="9"/>
      <c r="BES228" s="4"/>
      <c r="BET228" s="9"/>
      <c r="BEU228" s="4"/>
      <c r="BEV228" s="9"/>
      <c r="BEW228" s="4"/>
      <c r="BEX228" s="9"/>
      <c r="BEY228" s="4"/>
      <c r="BEZ228" s="9"/>
      <c r="BFA228" s="4"/>
      <c r="BFB228" s="9"/>
      <c r="BFC228" s="4"/>
      <c r="BFD228" s="9"/>
      <c r="BFE228" s="4"/>
      <c r="BFF228" s="9"/>
      <c r="BFG228" s="4"/>
      <c r="BFH228" s="9"/>
      <c r="BFI228" s="4"/>
      <c r="BFJ228" s="9"/>
      <c r="BFK228" s="4"/>
      <c r="BFL228" s="9"/>
      <c r="BFM228" s="4"/>
      <c r="BFN228" s="9"/>
      <c r="BFO228" s="4"/>
      <c r="BFP228" s="9"/>
      <c r="BFQ228" s="4"/>
      <c r="BFR228" s="9"/>
      <c r="BFS228" s="4"/>
      <c r="BFT228" s="9"/>
      <c r="BFU228" s="4"/>
      <c r="BFV228" s="9"/>
      <c r="BFW228" s="4"/>
      <c r="BFX228" s="9"/>
      <c r="BFY228" s="4"/>
      <c r="BFZ228" s="9"/>
      <c r="BGA228" s="4"/>
      <c r="BGB228" s="9"/>
      <c r="BGC228" s="4"/>
      <c r="BGD228" s="9"/>
      <c r="BGE228" s="4"/>
      <c r="BGF228" s="9"/>
      <c r="BGG228" s="4"/>
      <c r="BGH228" s="9"/>
      <c r="BGI228" s="4"/>
      <c r="BGJ228" s="9"/>
      <c r="BGK228" s="4"/>
      <c r="BGL228" s="9"/>
      <c r="BGM228" s="4"/>
      <c r="BGN228" s="9"/>
      <c r="BGO228" s="4"/>
      <c r="BGP228" s="9"/>
      <c r="BGQ228" s="4"/>
      <c r="BGR228" s="9"/>
      <c r="BGS228" s="4"/>
      <c r="BGT228" s="9"/>
      <c r="BGU228" s="4"/>
      <c r="BGV228" s="9"/>
      <c r="BGW228" s="4"/>
      <c r="BGX228" s="9"/>
      <c r="BGY228" s="4"/>
      <c r="BGZ228" s="9"/>
      <c r="BHA228" s="4"/>
      <c r="BHB228" s="9"/>
      <c r="BHC228" s="4"/>
      <c r="BHD228" s="9"/>
      <c r="BHE228" s="4"/>
      <c r="BHF228" s="9"/>
      <c r="BHG228" s="4"/>
      <c r="BHH228" s="9"/>
      <c r="BHI228" s="4"/>
      <c r="BHJ228" s="9"/>
      <c r="BHK228" s="4"/>
      <c r="BHL228" s="9"/>
      <c r="BHM228" s="4"/>
      <c r="BHN228" s="9"/>
      <c r="BHO228" s="4"/>
      <c r="BHP228" s="9"/>
      <c r="BHQ228" s="4"/>
      <c r="BHR228" s="9"/>
      <c r="BHS228" s="4"/>
      <c r="BHT228" s="9"/>
      <c r="BHU228" s="4"/>
      <c r="BHV228" s="9"/>
      <c r="BHW228" s="4"/>
      <c r="BHX228" s="9"/>
      <c r="BHY228" s="4"/>
      <c r="BHZ228" s="9"/>
      <c r="BIA228" s="4"/>
      <c r="BIB228" s="9"/>
      <c r="BIC228" s="4"/>
      <c r="BID228" s="9"/>
      <c r="BIE228" s="4"/>
      <c r="BIF228" s="9"/>
      <c r="BIG228" s="4"/>
      <c r="BIH228" s="9"/>
      <c r="BII228" s="4"/>
      <c r="BIJ228" s="9"/>
      <c r="BIK228" s="4"/>
      <c r="BIL228" s="9"/>
      <c r="BIM228" s="4"/>
      <c r="BIN228" s="9"/>
      <c r="BIO228" s="4"/>
      <c r="BIP228" s="9"/>
      <c r="BIQ228" s="4"/>
      <c r="BIR228" s="9"/>
      <c r="BIS228" s="4"/>
      <c r="BIT228" s="9"/>
      <c r="BIU228" s="4"/>
      <c r="BIV228" s="9"/>
      <c r="BIW228" s="4"/>
      <c r="BIX228" s="9"/>
      <c r="BIY228" s="4"/>
      <c r="BIZ228" s="9"/>
      <c r="BJA228" s="4"/>
      <c r="BJB228" s="9"/>
      <c r="BJC228" s="4"/>
      <c r="BJD228" s="9"/>
      <c r="BJE228" s="4"/>
      <c r="BJF228" s="9"/>
      <c r="BJG228" s="4"/>
      <c r="BJH228" s="9"/>
      <c r="BJI228" s="4"/>
      <c r="BJJ228" s="9"/>
      <c r="BJK228" s="4"/>
      <c r="BJL228" s="9"/>
      <c r="BJM228" s="4"/>
      <c r="BJN228" s="9"/>
      <c r="BJO228" s="4"/>
      <c r="BJP228" s="9"/>
      <c r="BJQ228" s="4"/>
      <c r="BJR228" s="9"/>
      <c r="BJS228" s="4"/>
      <c r="BJT228" s="9"/>
      <c r="BJU228" s="4"/>
      <c r="BJV228" s="9"/>
      <c r="BJW228" s="4"/>
      <c r="BJX228" s="9"/>
      <c r="BJY228" s="4"/>
      <c r="BJZ228" s="9"/>
      <c r="BKA228" s="4"/>
      <c r="BKB228" s="9"/>
      <c r="BKC228" s="4"/>
      <c r="BKD228" s="9"/>
      <c r="BKE228" s="4"/>
      <c r="BKF228" s="9"/>
      <c r="BKG228" s="4"/>
      <c r="BKH228" s="9"/>
      <c r="BKI228" s="4"/>
      <c r="BKJ228" s="9"/>
      <c r="BKK228" s="4"/>
      <c r="BKL228" s="9"/>
      <c r="BKM228" s="4"/>
      <c r="BKN228" s="9"/>
      <c r="BKO228" s="4"/>
      <c r="BKP228" s="9"/>
      <c r="BKQ228" s="4"/>
      <c r="BKR228" s="9"/>
      <c r="BKS228" s="4"/>
      <c r="BKT228" s="9"/>
      <c r="BKU228" s="4"/>
      <c r="BKV228" s="9"/>
      <c r="BKW228" s="4"/>
      <c r="BKX228" s="9"/>
      <c r="BKY228" s="4"/>
      <c r="BKZ228" s="9"/>
      <c r="BLA228" s="4"/>
      <c r="BLB228" s="9"/>
      <c r="BLC228" s="4"/>
      <c r="BLD228" s="9"/>
      <c r="BLE228" s="4"/>
      <c r="BLF228" s="9"/>
      <c r="BLG228" s="4"/>
      <c r="BLH228" s="9"/>
      <c r="BLI228" s="4"/>
      <c r="BLJ228" s="9"/>
      <c r="BLK228" s="4"/>
      <c r="BLL228" s="9"/>
      <c r="BLM228" s="4"/>
      <c r="BLN228" s="9"/>
      <c r="BLO228" s="4"/>
      <c r="BLP228" s="9"/>
      <c r="BLQ228" s="4"/>
      <c r="BLR228" s="9"/>
      <c r="BLS228" s="4"/>
      <c r="BLT228" s="9"/>
      <c r="BLU228" s="4"/>
      <c r="BLV228" s="9"/>
      <c r="BLW228" s="4"/>
      <c r="BLX228" s="9"/>
      <c r="BLY228" s="4"/>
      <c r="BLZ228" s="9"/>
      <c r="BMA228" s="4"/>
      <c r="BMB228" s="9"/>
      <c r="BMC228" s="4"/>
      <c r="BMD228" s="9"/>
      <c r="BME228" s="4"/>
      <c r="BMF228" s="9"/>
      <c r="BMG228" s="4"/>
      <c r="BMH228" s="9"/>
      <c r="BMI228" s="4"/>
      <c r="BMJ228" s="9"/>
      <c r="BMK228" s="4"/>
      <c r="BML228" s="9"/>
      <c r="BMM228" s="4"/>
      <c r="BMN228" s="9"/>
      <c r="BMO228" s="4"/>
      <c r="BMP228" s="9"/>
      <c r="BMQ228" s="4"/>
      <c r="BMR228" s="9"/>
      <c r="BMS228" s="4"/>
      <c r="BMT228" s="9"/>
      <c r="BMU228" s="4"/>
      <c r="BMV228" s="9"/>
      <c r="BMW228" s="4"/>
      <c r="BMX228" s="9"/>
      <c r="BMY228" s="4"/>
      <c r="BMZ228" s="9"/>
      <c r="BNA228" s="4"/>
      <c r="BNB228" s="9"/>
      <c r="BNC228" s="4"/>
      <c r="BND228" s="9"/>
      <c r="BNE228" s="4"/>
      <c r="BNF228" s="9"/>
      <c r="BNG228" s="4"/>
      <c r="BNH228" s="9"/>
      <c r="BNI228" s="4"/>
      <c r="BNJ228" s="9"/>
      <c r="BNK228" s="4"/>
      <c r="BNL228" s="9"/>
      <c r="BNM228" s="4"/>
      <c r="BNN228" s="9"/>
      <c r="BNO228" s="4"/>
      <c r="BNP228" s="9"/>
      <c r="BNQ228" s="4"/>
      <c r="BNR228" s="9"/>
      <c r="BNS228" s="4"/>
      <c r="BNT228" s="9"/>
      <c r="BNU228" s="4"/>
      <c r="BNV228" s="9"/>
      <c r="BNW228" s="4"/>
      <c r="BNX228" s="9"/>
      <c r="BNY228" s="4"/>
      <c r="BNZ228" s="9"/>
      <c r="BOA228" s="4"/>
      <c r="BOB228" s="9"/>
      <c r="BOC228" s="4"/>
      <c r="BOD228" s="9"/>
      <c r="BOE228" s="4"/>
      <c r="BOF228" s="9"/>
      <c r="BOG228" s="4"/>
      <c r="BOH228" s="9"/>
      <c r="BOI228" s="4"/>
      <c r="BOJ228" s="9"/>
      <c r="BOK228" s="4"/>
      <c r="BOL228" s="9"/>
      <c r="BOM228" s="4"/>
      <c r="BON228" s="9"/>
      <c r="BOO228" s="4"/>
      <c r="BOP228" s="9"/>
      <c r="BOQ228" s="4"/>
      <c r="BOR228" s="9"/>
      <c r="BOS228" s="4"/>
      <c r="BOT228" s="9"/>
      <c r="BOU228" s="4"/>
      <c r="BOV228" s="9"/>
      <c r="BOW228" s="4"/>
      <c r="BOX228" s="9"/>
      <c r="BOY228" s="4"/>
      <c r="BOZ228" s="9"/>
      <c r="BPA228" s="4"/>
      <c r="BPB228" s="9"/>
      <c r="BPC228" s="4"/>
      <c r="BPD228" s="9"/>
      <c r="BPE228" s="4"/>
      <c r="BPF228" s="9"/>
      <c r="BPG228" s="4"/>
      <c r="BPH228" s="9"/>
      <c r="BPI228" s="4"/>
      <c r="BPJ228" s="9"/>
      <c r="BPK228" s="4"/>
      <c r="BPL228" s="9"/>
      <c r="BPM228" s="4"/>
      <c r="BPN228" s="9"/>
      <c r="BPO228" s="4"/>
      <c r="BPP228" s="9"/>
      <c r="BPQ228" s="4"/>
      <c r="BPR228" s="9"/>
      <c r="BPS228" s="4"/>
      <c r="BPT228" s="9"/>
      <c r="BPU228" s="4"/>
      <c r="BPV228" s="9"/>
      <c r="BPW228" s="4"/>
      <c r="BPX228" s="9"/>
      <c r="BPY228" s="4"/>
      <c r="BPZ228" s="9"/>
      <c r="BQA228" s="4"/>
      <c r="BQB228" s="9"/>
      <c r="BQC228" s="4"/>
      <c r="BQD228" s="9"/>
      <c r="BQE228" s="4"/>
      <c r="BQF228" s="9"/>
      <c r="BQG228" s="4"/>
      <c r="BQH228" s="9"/>
      <c r="BQI228" s="4"/>
      <c r="BQJ228" s="9"/>
      <c r="BQK228" s="4"/>
      <c r="BQL228" s="9"/>
      <c r="BQM228" s="4"/>
      <c r="BQN228" s="9"/>
      <c r="BQO228" s="4"/>
      <c r="BQP228" s="9"/>
      <c r="BQQ228" s="4"/>
      <c r="BQR228" s="9"/>
      <c r="BQS228" s="4"/>
      <c r="BQT228" s="9"/>
      <c r="BQU228" s="4"/>
      <c r="BQV228" s="9"/>
      <c r="BQW228" s="4"/>
      <c r="BQX228" s="9"/>
      <c r="BQY228" s="4"/>
      <c r="BQZ228" s="9"/>
      <c r="BRA228" s="4"/>
      <c r="BRB228" s="9"/>
      <c r="BRC228" s="4"/>
      <c r="BRD228" s="9"/>
      <c r="BRE228" s="4"/>
      <c r="BRF228" s="9"/>
      <c r="BRG228" s="4"/>
      <c r="BRH228" s="9"/>
      <c r="BRI228" s="4"/>
      <c r="BRJ228" s="9"/>
      <c r="BRK228" s="4"/>
      <c r="BRL228" s="9"/>
      <c r="BRM228" s="4"/>
      <c r="BRN228" s="9"/>
      <c r="BRO228" s="4"/>
      <c r="BRP228" s="9"/>
      <c r="BRQ228" s="4"/>
      <c r="BRR228" s="9"/>
      <c r="BRS228" s="4"/>
      <c r="BRT228" s="9"/>
      <c r="BRU228" s="4"/>
      <c r="BRV228" s="9"/>
      <c r="BRW228" s="4"/>
      <c r="BRX228" s="9"/>
      <c r="BRY228" s="4"/>
      <c r="BRZ228" s="9"/>
      <c r="BSA228" s="4"/>
      <c r="BSB228" s="9"/>
      <c r="BSC228" s="4"/>
      <c r="BSD228" s="9"/>
      <c r="BSE228" s="4"/>
      <c r="BSF228" s="9"/>
      <c r="BSG228" s="4"/>
      <c r="BSH228" s="9"/>
      <c r="BSI228" s="4"/>
      <c r="BSJ228" s="9"/>
      <c r="BSK228" s="4"/>
      <c r="BSL228" s="9"/>
      <c r="BSM228" s="4"/>
      <c r="BSN228" s="9"/>
      <c r="BSO228" s="4"/>
      <c r="BSP228" s="9"/>
      <c r="BSQ228" s="4"/>
      <c r="BSR228" s="9"/>
      <c r="BSS228" s="4"/>
      <c r="BST228" s="9"/>
      <c r="BSU228" s="4"/>
      <c r="BSV228" s="9"/>
      <c r="BSW228" s="4"/>
      <c r="BSX228" s="9"/>
      <c r="BSY228" s="4"/>
      <c r="BSZ228" s="9"/>
      <c r="BTA228" s="4"/>
      <c r="BTB228" s="9"/>
      <c r="BTC228" s="4"/>
      <c r="BTD228" s="9"/>
      <c r="BTE228" s="4"/>
      <c r="BTF228" s="9"/>
      <c r="BTG228" s="4"/>
      <c r="BTH228" s="9"/>
      <c r="BTI228" s="4"/>
      <c r="BTJ228" s="9"/>
      <c r="BTK228" s="4"/>
      <c r="BTL228" s="9"/>
      <c r="BTM228" s="4"/>
      <c r="BTN228" s="9"/>
      <c r="BTO228" s="4"/>
      <c r="BTP228" s="9"/>
      <c r="BTQ228" s="4"/>
      <c r="BTR228" s="9"/>
      <c r="BTS228" s="4"/>
      <c r="BTT228" s="9"/>
      <c r="BTU228" s="4"/>
      <c r="BTV228" s="9"/>
      <c r="BTW228" s="4"/>
      <c r="BTX228" s="9"/>
      <c r="BTY228" s="4"/>
      <c r="BTZ228" s="9"/>
      <c r="BUA228" s="4"/>
      <c r="BUB228" s="9"/>
      <c r="BUC228" s="4"/>
      <c r="BUD228" s="9"/>
      <c r="BUE228" s="4"/>
      <c r="BUF228" s="9"/>
      <c r="BUG228" s="4"/>
      <c r="BUH228" s="9"/>
      <c r="BUI228" s="4"/>
      <c r="BUJ228" s="9"/>
      <c r="BUK228" s="4"/>
      <c r="BUL228" s="9"/>
      <c r="BUM228" s="4"/>
      <c r="BUN228" s="9"/>
      <c r="BUO228" s="4"/>
      <c r="BUP228" s="9"/>
      <c r="BUQ228" s="4"/>
      <c r="BUR228" s="9"/>
      <c r="BUS228" s="4"/>
      <c r="BUT228" s="9"/>
      <c r="BUU228" s="4"/>
      <c r="BUV228" s="9"/>
      <c r="BUW228" s="4"/>
      <c r="BUX228" s="9"/>
      <c r="BUY228" s="4"/>
      <c r="BUZ228" s="9"/>
      <c r="BVA228" s="4"/>
      <c r="BVB228" s="9"/>
      <c r="BVC228" s="4"/>
      <c r="BVD228" s="9"/>
      <c r="BVE228" s="4"/>
      <c r="BVF228" s="9"/>
      <c r="BVG228" s="4"/>
      <c r="BVH228" s="9"/>
      <c r="BVI228" s="4"/>
      <c r="BVJ228" s="9"/>
      <c r="BVK228" s="4"/>
      <c r="BVL228" s="9"/>
      <c r="BVM228" s="4"/>
      <c r="BVN228" s="9"/>
      <c r="BVO228" s="4"/>
      <c r="BVP228" s="9"/>
      <c r="BVQ228" s="4"/>
      <c r="BVR228" s="9"/>
      <c r="BVS228" s="4"/>
      <c r="BVT228" s="9"/>
      <c r="BVU228" s="4"/>
      <c r="BVV228" s="9"/>
      <c r="BVW228" s="4"/>
      <c r="BVX228" s="9"/>
      <c r="BVY228" s="4"/>
      <c r="BVZ228" s="9"/>
      <c r="BWA228" s="4"/>
      <c r="BWB228" s="9"/>
      <c r="BWC228" s="4"/>
      <c r="BWD228" s="9"/>
      <c r="BWE228" s="4"/>
      <c r="BWF228" s="9"/>
      <c r="BWG228" s="4"/>
      <c r="BWH228" s="9"/>
      <c r="BWI228" s="4"/>
      <c r="BWJ228" s="9"/>
      <c r="BWK228" s="4"/>
      <c r="BWL228" s="9"/>
      <c r="BWM228" s="4"/>
      <c r="BWN228" s="9"/>
      <c r="BWO228" s="4"/>
      <c r="BWP228" s="9"/>
      <c r="BWQ228" s="4"/>
      <c r="BWR228" s="9"/>
      <c r="BWS228" s="4"/>
      <c r="BWT228" s="9"/>
      <c r="BWU228" s="4"/>
      <c r="BWV228" s="9"/>
      <c r="BWW228" s="4"/>
      <c r="BWX228" s="9"/>
      <c r="BWY228" s="4"/>
      <c r="BWZ228" s="9"/>
      <c r="BXA228" s="4"/>
      <c r="BXB228" s="9"/>
      <c r="BXC228" s="4"/>
      <c r="BXD228" s="9"/>
      <c r="BXE228" s="4"/>
      <c r="BXF228" s="9"/>
      <c r="BXG228" s="4"/>
      <c r="BXH228" s="9"/>
      <c r="BXI228" s="4"/>
      <c r="BXJ228" s="9"/>
      <c r="BXK228" s="4"/>
      <c r="BXL228" s="9"/>
      <c r="BXM228" s="4"/>
      <c r="BXN228" s="9"/>
      <c r="BXO228" s="4"/>
      <c r="BXP228" s="9"/>
      <c r="BXQ228" s="4"/>
      <c r="BXR228" s="9"/>
      <c r="BXS228" s="4"/>
      <c r="BXT228" s="9"/>
      <c r="BXU228" s="4"/>
      <c r="BXV228" s="9"/>
      <c r="BXW228" s="4"/>
      <c r="BXX228" s="9"/>
      <c r="BXY228" s="4"/>
      <c r="BXZ228" s="9"/>
      <c r="BYA228" s="4"/>
      <c r="BYB228" s="9"/>
      <c r="BYC228" s="4"/>
      <c r="BYD228" s="9"/>
      <c r="BYE228" s="4"/>
      <c r="BYF228" s="9"/>
      <c r="BYG228" s="4"/>
      <c r="BYH228" s="9"/>
      <c r="BYI228" s="4"/>
      <c r="BYJ228" s="9"/>
      <c r="BYK228" s="4"/>
      <c r="BYL228" s="9"/>
      <c r="BYM228" s="4"/>
      <c r="BYN228" s="9"/>
      <c r="BYO228" s="4"/>
      <c r="BYP228" s="9"/>
      <c r="BYQ228" s="4"/>
      <c r="BYR228" s="9"/>
      <c r="BYS228" s="4"/>
      <c r="BYT228" s="9"/>
      <c r="BYU228" s="4"/>
      <c r="BYV228" s="9"/>
      <c r="BYW228" s="4"/>
      <c r="BYX228" s="9"/>
      <c r="BYY228" s="4"/>
      <c r="BYZ228" s="9"/>
      <c r="BZA228" s="4"/>
      <c r="BZB228" s="9"/>
      <c r="BZC228" s="4"/>
      <c r="BZD228" s="9"/>
      <c r="BZE228" s="4"/>
      <c r="BZF228" s="9"/>
      <c r="BZG228" s="4"/>
      <c r="BZH228" s="9"/>
      <c r="BZI228" s="4"/>
      <c r="BZJ228" s="9"/>
      <c r="BZK228" s="4"/>
      <c r="BZL228" s="9"/>
      <c r="BZM228" s="4"/>
      <c r="BZN228" s="9"/>
      <c r="BZO228" s="4"/>
      <c r="BZP228" s="9"/>
      <c r="BZQ228" s="4"/>
      <c r="BZR228" s="9"/>
      <c r="BZS228" s="4"/>
      <c r="BZT228" s="9"/>
      <c r="BZU228" s="4"/>
      <c r="BZV228" s="9"/>
      <c r="BZW228" s="4"/>
      <c r="BZX228" s="9"/>
      <c r="BZY228" s="4"/>
      <c r="BZZ228" s="9"/>
      <c r="CAA228" s="4"/>
      <c r="CAB228" s="9"/>
      <c r="CAC228" s="4"/>
      <c r="CAD228" s="9"/>
      <c r="CAE228" s="4"/>
      <c r="CAF228" s="9"/>
      <c r="CAG228" s="4"/>
      <c r="CAH228" s="9"/>
      <c r="CAI228" s="4"/>
      <c r="CAJ228" s="9"/>
      <c r="CAK228" s="4"/>
      <c r="CAL228" s="9"/>
      <c r="CAM228" s="4"/>
      <c r="CAN228" s="9"/>
      <c r="CAO228" s="4"/>
      <c r="CAP228" s="9"/>
      <c r="CAQ228" s="4"/>
      <c r="CAR228" s="9"/>
      <c r="CAS228" s="4"/>
      <c r="CAT228" s="9"/>
      <c r="CAU228" s="4"/>
      <c r="CAV228" s="9"/>
      <c r="CAW228" s="4"/>
      <c r="CAX228" s="9"/>
      <c r="CAY228" s="4"/>
      <c r="CAZ228" s="9"/>
      <c r="CBA228" s="4"/>
      <c r="CBB228" s="9"/>
      <c r="CBC228" s="4"/>
      <c r="CBD228" s="9"/>
      <c r="CBE228" s="4"/>
      <c r="CBF228" s="9"/>
      <c r="CBG228" s="4"/>
      <c r="CBH228" s="9"/>
      <c r="CBI228" s="4"/>
      <c r="CBJ228" s="9"/>
      <c r="CBK228" s="4"/>
      <c r="CBL228" s="9"/>
      <c r="CBM228" s="4"/>
      <c r="CBN228" s="9"/>
      <c r="CBO228" s="4"/>
      <c r="CBP228" s="9"/>
      <c r="CBQ228" s="4"/>
      <c r="CBR228" s="9"/>
      <c r="CBS228" s="4"/>
      <c r="CBT228" s="9"/>
      <c r="CBU228" s="4"/>
      <c r="CBV228" s="9"/>
      <c r="CBW228" s="4"/>
      <c r="CBX228" s="9"/>
      <c r="CBY228" s="4"/>
      <c r="CBZ228" s="9"/>
      <c r="CCA228" s="4"/>
      <c r="CCB228" s="9"/>
      <c r="CCC228" s="4"/>
      <c r="CCD228" s="9"/>
      <c r="CCE228" s="4"/>
      <c r="CCF228" s="9"/>
      <c r="CCG228" s="4"/>
      <c r="CCH228" s="9"/>
      <c r="CCI228" s="4"/>
      <c r="CCJ228" s="9"/>
      <c r="CCK228" s="4"/>
      <c r="CCL228" s="9"/>
      <c r="CCM228" s="4"/>
      <c r="CCN228" s="9"/>
      <c r="CCO228" s="4"/>
      <c r="CCP228" s="9"/>
      <c r="CCQ228" s="4"/>
      <c r="CCR228" s="9"/>
      <c r="CCS228" s="4"/>
      <c r="CCT228" s="9"/>
      <c r="CCU228" s="4"/>
      <c r="CCV228" s="9"/>
      <c r="CCW228" s="4"/>
      <c r="CCX228" s="9"/>
      <c r="CCY228" s="4"/>
      <c r="CCZ228" s="9"/>
      <c r="CDA228" s="4"/>
      <c r="CDB228" s="9"/>
      <c r="CDC228" s="4"/>
      <c r="CDD228" s="9"/>
      <c r="CDE228" s="4"/>
      <c r="CDF228" s="9"/>
      <c r="CDG228" s="4"/>
      <c r="CDH228" s="9"/>
      <c r="CDI228" s="4"/>
      <c r="CDJ228" s="9"/>
      <c r="CDK228" s="4"/>
      <c r="CDL228" s="9"/>
      <c r="CDM228" s="4"/>
      <c r="CDN228" s="9"/>
      <c r="CDO228" s="4"/>
      <c r="CDP228" s="9"/>
      <c r="CDQ228" s="4"/>
      <c r="CDR228" s="9"/>
      <c r="CDS228" s="4"/>
      <c r="CDT228" s="9"/>
      <c r="CDU228" s="4"/>
      <c r="CDV228" s="9"/>
      <c r="CDW228" s="4"/>
      <c r="CDX228" s="9"/>
      <c r="CDY228" s="4"/>
      <c r="CDZ228" s="9"/>
      <c r="CEA228" s="4"/>
      <c r="CEB228" s="9"/>
      <c r="CEC228" s="4"/>
      <c r="CED228" s="9"/>
      <c r="CEE228" s="4"/>
      <c r="CEF228" s="9"/>
      <c r="CEG228" s="4"/>
      <c r="CEH228" s="9"/>
      <c r="CEI228" s="4"/>
      <c r="CEJ228" s="9"/>
      <c r="CEK228" s="4"/>
      <c r="CEL228" s="9"/>
      <c r="CEM228" s="4"/>
      <c r="CEN228" s="9"/>
      <c r="CEO228" s="4"/>
      <c r="CEP228" s="9"/>
      <c r="CEQ228" s="4"/>
      <c r="CER228" s="9"/>
      <c r="CES228" s="4"/>
      <c r="CET228" s="9"/>
      <c r="CEU228" s="4"/>
      <c r="CEV228" s="9"/>
      <c r="CEW228" s="4"/>
      <c r="CEX228" s="9"/>
      <c r="CEY228" s="4"/>
      <c r="CEZ228" s="9"/>
      <c r="CFA228" s="4"/>
      <c r="CFB228" s="9"/>
      <c r="CFC228" s="4"/>
      <c r="CFD228" s="9"/>
      <c r="CFE228" s="4"/>
      <c r="CFF228" s="9"/>
      <c r="CFG228" s="4"/>
      <c r="CFH228" s="9"/>
      <c r="CFI228" s="4"/>
      <c r="CFJ228" s="9"/>
      <c r="CFK228" s="4"/>
      <c r="CFL228" s="9"/>
      <c r="CFM228" s="4"/>
      <c r="CFN228" s="9"/>
      <c r="CFO228" s="4"/>
      <c r="CFP228" s="9"/>
      <c r="CFQ228" s="4"/>
      <c r="CFR228" s="9"/>
      <c r="CFS228" s="4"/>
      <c r="CFT228" s="9"/>
      <c r="CFU228" s="4"/>
      <c r="CFV228" s="9"/>
      <c r="CFW228" s="4"/>
      <c r="CFX228" s="9"/>
      <c r="CFY228" s="4"/>
      <c r="CFZ228" s="9"/>
      <c r="CGA228" s="4"/>
      <c r="CGB228" s="9"/>
      <c r="CGC228" s="4"/>
      <c r="CGD228" s="9"/>
      <c r="CGE228" s="4"/>
      <c r="CGF228" s="9"/>
      <c r="CGG228" s="4"/>
      <c r="CGH228" s="9"/>
      <c r="CGI228" s="4"/>
      <c r="CGJ228" s="9"/>
      <c r="CGK228" s="4"/>
      <c r="CGL228" s="9"/>
      <c r="CGM228" s="4"/>
      <c r="CGN228" s="9"/>
      <c r="CGO228" s="4"/>
      <c r="CGP228" s="9"/>
      <c r="CGQ228" s="4"/>
      <c r="CGR228" s="9"/>
      <c r="CGS228" s="4"/>
      <c r="CGT228" s="9"/>
      <c r="CGU228" s="4"/>
      <c r="CGV228" s="9"/>
      <c r="CGW228" s="4"/>
      <c r="CGX228" s="9"/>
      <c r="CGY228" s="4"/>
      <c r="CGZ228" s="9"/>
      <c r="CHA228" s="4"/>
      <c r="CHB228" s="9"/>
      <c r="CHC228" s="4"/>
      <c r="CHD228" s="9"/>
      <c r="CHE228" s="4"/>
      <c r="CHF228" s="9"/>
      <c r="CHG228" s="4"/>
      <c r="CHH228" s="9"/>
      <c r="CHI228" s="4"/>
      <c r="CHJ228" s="9"/>
      <c r="CHK228" s="4"/>
      <c r="CHL228" s="9"/>
      <c r="CHM228" s="4"/>
      <c r="CHN228" s="9"/>
      <c r="CHO228" s="4"/>
      <c r="CHP228" s="9"/>
      <c r="CHQ228" s="4"/>
      <c r="CHR228" s="9"/>
      <c r="CHS228" s="4"/>
      <c r="CHT228" s="9"/>
      <c r="CHU228" s="4"/>
      <c r="CHV228" s="9"/>
      <c r="CHW228" s="4"/>
      <c r="CHX228" s="9"/>
      <c r="CHY228" s="4"/>
      <c r="CHZ228" s="9"/>
      <c r="CIA228" s="4"/>
      <c r="CIB228" s="9"/>
      <c r="CIC228" s="4"/>
      <c r="CID228" s="9"/>
      <c r="CIE228" s="4"/>
      <c r="CIF228" s="9"/>
      <c r="CIG228" s="4"/>
      <c r="CIH228" s="9"/>
      <c r="CII228" s="4"/>
      <c r="CIJ228" s="9"/>
      <c r="CIK228" s="4"/>
      <c r="CIL228" s="9"/>
      <c r="CIM228" s="4"/>
      <c r="CIN228" s="9"/>
      <c r="CIO228" s="4"/>
      <c r="CIP228" s="9"/>
      <c r="CIQ228" s="4"/>
      <c r="CIR228" s="9"/>
      <c r="CIS228" s="4"/>
      <c r="CIT228" s="9"/>
      <c r="CIU228" s="4"/>
      <c r="CIV228" s="9"/>
      <c r="CIW228" s="4"/>
      <c r="CIX228" s="9"/>
      <c r="CIY228" s="4"/>
      <c r="CIZ228" s="9"/>
      <c r="CJA228" s="4"/>
      <c r="CJB228" s="9"/>
      <c r="CJC228" s="4"/>
      <c r="CJD228" s="9"/>
      <c r="CJE228" s="4"/>
      <c r="CJF228" s="9"/>
      <c r="CJG228" s="4"/>
      <c r="CJH228" s="9"/>
      <c r="CJI228" s="4"/>
      <c r="CJJ228" s="9"/>
      <c r="CJK228" s="4"/>
      <c r="CJL228" s="9"/>
      <c r="CJM228" s="4"/>
      <c r="CJN228" s="9"/>
      <c r="CJO228" s="4"/>
      <c r="CJP228" s="9"/>
      <c r="CJQ228" s="4"/>
      <c r="CJR228" s="9"/>
      <c r="CJS228" s="4"/>
      <c r="CJT228" s="9"/>
      <c r="CJU228" s="4"/>
      <c r="CJV228" s="9"/>
      <c r="CJW228" s="4"/>
      <c r="CJX228" s="9"/>
      <c r="CJY228" s="4"/>
      <c r="CJZ228" s="9"/>
      <c r="CKA228" s="4"/>
      <c r="CKB228" s="9"/>
      <c r="CKC228" s="4"/>
      <c r="CKD228" s="9"/>
      <c r="CKE228" s="4"/>
      <c r="CKF228" s="9"/>
      <c r="CKG228" s="4"/>
      <c r="CKH228" s="9"/>
      <c r="CKI228" s="4"/>
      <c r="CKJ228" s="9"/>
      <c r="CKK228" s="4"/>
      <c r="CKL228" s="9"/>
      <c r="CKM228" s="4"/>
      <c r="CKN228" s="9"/>
      <c r="CKO228" s="4"/>
      <c r="CKP228" s="9"/>
      <c r="CKQ228" s="4"/>
      <c r="CKR228" s="9"/>
      <c r="CKS228" s="4"/>
      <c r="CKT228" s="9"/>
      <c r="CKU228" s="4"/>
      <c r="CKV228" s="9"/>
      <c r="CKW228" s="4"/>
      <c r="CKX228" s="9"/>
      <c r="CKY228" s="4"/>
      <c r="CKZ228" s="9"/>
      <c r="CLA228" s="4"/>
      <c r="CLB228" s="9"/>
      <c r="CLC228" s="4"/>
      <c r="CLD228" s="9"/>
      <c r="CLE228" s="4"/>
      <c r="CLF228" s="9"/>
      <c r="CLG228" s="4"/>
      <c r="CLH228" s="9"/>
      <c r="CLI228" s="4"/>
      <c r="CLJ228" s="9"/>
      <c r="CLK228" s="4"/>
      <c r="CLL228" s="9"/>
      <c r="CLM228" s="4"/>
      <c r="CLN228" s="9"/>
      <c r="CLO228" s="4"/>
      <c r="CLP228" s="9"/>
      <c r="CLQ228" s="4"/>
      <c r="CLR228" s="9"/>
      <c r="CLS228" s="4"/>
      <c r="CLT228" s="9"/>
      <c r="CLU228" s="4"/>
      <c r="CLV228" s="9"/>
      <c r="CLW228" s="4"/>
      <c r="CLX228" s="9"/>
      <c r="CLY228" s="4"/>
      <c r="CLZ228" s="9"/>
      <c r="CMA228" s="4"/>
      <c r="CMB228" s="9"/>
      <c r="CMC228" s="4"/>
      <c r="CMD228" s="9"/>
      <c r="CME228" s="4"/>
      <c r="CMF228" s="9"/>
      <c r="CMG228" s="4"/>
      <c r="CMH228" s="9"/>
      <c r="CMI228" s="4"/>
      <c r="CMJ228" s="9"/>
      <c r="CMK228" s="4"/>
      <c r="CML228" s="9"/>
      <c r="CMM228" s="4"/>
      <c r="CMN228" s="9"/>
      <c r="CMO228" s="4"/>
      <c r="CMP228" s="9"/>
      <c r="CMQ228" s="4"/>
      <c r="CMR228" s="9"/>
      <c r="CMS228" s="4"/>
      <c r="CMT228" s="9"/>
      <c r="CMU228" s="4"/>
      <c r="CMV228" s="9"/>
      <c r="CMW228" s="4"/>
      <c r="CMX228" s="9"/>
      <c r="CMY228" s="4"/>
      <c r="CMZ228" s="9"/>
      <c r="CNA228" s="4"/>
      <c r="CNB228" s="9"/>
      <c r="CNC228" s="4"/>
      <c r="CND228" s="9"/>
      <c r="CNE228" s="4"/>
      <c r="CNF228" s="9"/>
      <c r="CNG228" s="4"/>
      <c r="CNH228" s="9"/>
      <c r="CNI228" s="4"/>
      <c r="CNJ228" s="9"/>
      <c r="CNK228" s="4"/>
      <c r="CNL228" s="9"/>
      <c r="CNM228" s="4"/>
      <c r="CNN228" s="9"/>
      <c r="CNO228" s="4"/>
      <c r="CNP228" s="9"/>
      <c r="CNQ228" s="4"/>
      <c r="CNR228" s="9"/>
      <c r="CNS228" s="4"/>
      <c r="CNT228" s="9"/>
      <c r="CNU228" s="4"/>
      <c r="CNV228" s="9"/>
      <c r="CNW228" s="4"/>
      <c r="CNX228" s="9"/>
      <c r="CNY228" s="4"/>
      <c r="CNZ228" s="9"/>
      <c r="COA228" s="4"/>
      <c r="COB228" s="9"/>
      <c r="COC228" s="4"/>
      <c r="COD228" s="9"/>
      <c r="COE228" s="4"/>
      <c r="COF228" s="9"/>
      <c r="COG228" s="4"/>
      <c r="COH228" s="9"/>
      <c r="COI228" s="4"/>
      <c r="COJ228" s="9"/>
      <c r="COK228" s="4"/>
      <c r="COL228" s="9"/>
      <c r="COM228" s="4"/>
      <c r="CON228" s="9"/>
      <c r="COO228" s="4"/>
      <c r="COP228" s="9"/>
      <c r="COQ228" s="4"/>
      <c r="COR228" s="9"/>
      <c r="COS228" s="4"/>
      <c r="COT228" s="9"/>
      <c r="COU228" s="4"/>
      <c r="COV228" s="9"/>
      <c r="COW228" s="4"/>
      <c r="COX228" s="9"/>
      <c r="COY228" s="4"/>
      <c r="COZ228" s="9"/>
      <c r="CPA228" s="4"/>
      <c r="CPB228" s="9"/>
      <c r="CPC228" s="4"/>
      <c r="CPD228" s="9"/>
      <c r="CPE228" s="4"/>
      <c r="CPF228" s="9"/>
      <c r="CPG228" s="4"/>
      <c r="CPH228" s="9"/>
      <c r="CPI228" s="4"/>
      <c r="CPJ228" s="9"/>
      <c r="CPK228" s="4"/>
      <c r="CPL228" s="9"/>
      <c r="CPM228" s="4"/>
      <c r="CPN228" s="9"/>
      <c r="CPO228" s="4"/>
      <c r="CPP228" s="9"/>
      <c r="CPQ228" s="4"/>
      <c r="CPR228" s="9"/>
      <c r="CPS228" s="4"/>
      <c r="CPT228" s="9"/>
      <c r="CPU228" s="4"/>
      <c r="CPV228" s="9"/>
      <c r="CPW228" s="4"/>
      <c r="CPX228" s="9"/>
      <c r="CPY228" s="4"/>
      <c r="CPZ228" s="9"/>
      <c r="CQA228" s="4"/>
      <c r="CQB228" s="9"/>
      <c r="CQC228" s="4"/>
      <c r="CQD228" s="9"/>
      <c r="CQE228" s="4"/>
      <c r="CQF228" s="9"/>
      <c r="CQG228" s="4"/>
      <c r="CQH228" s="9"/>
      <c r="CQI228" s="4"/>
      <c r="CQJ228" s="9"/>
      <c r="CQK228" s="4"/>
      <c r="CQL228" s="9"/>
      <c r="CQM228" s="4"/>
      <c r="CQN228" s="9"/>
      <c r="CQO228" s="4"/>
      <c r="CQP228" s="9"/>
      <c r="CQQ228" s="4"/>
      <c r="CQR228" s="9"/>
      <c r="CQS228" s="4"/>
      <c r="CQT228" s="9"/>
      <c r="CQU228" s="4"/>
      <c r="CQV228" s="9"/>
      <c r="CQW228" s="4"/>
      <c r="CQX228" s="9"/>
      <c r="CQY228" s="4"/>
      <c r="CQZ228" s="9"/>
      <c r="CRA228" s="4"/>
      <c r="CRB228" s="9"/>
      <c r="CRC228" s="4"/>
      <c r="CRD228" s="9"/>
      <c r="CRE228" s="4"/>
      <c r="CRF228" s="9"/>
      <c r="CRG228" s="4"/>
      <c r="CRH228" s="9"/>
      <c r="CRI228" s="4"/>
      <c r="CRJ228" s="9"/>
      <c r="CRK228" s="4"/>
      <c r="CRL228" s="9"/>
      <c r="CRM228" s="4"/>
      <c r="CRN228" s="9"/>
      <c r="CRO228" s="4"/>
      <c r="CRP228" s="9"/>
      <c r="CRQ228" s="4"/>
      <c r="CRR228" s="9"/>
      <c r="CRS228" s="4"/>
      <c r="CRT228" s="9"/>
      <c r="CRU228" s="4"/>
      <c r="CRV228" s="9"/>
      <c r="CRW228" s="4"/>
      <c r="CRX228" s="9"/>
      <c r="CRY228" s="4"/>
      <c r="CRZ228" s="9"/>
      <c r="CSA228" s="4"/>
      <c r="CSB228" s="9"/>
      <c r="CSC228" s="4"/>
      <c r="CSD228" s="9"/>
      <c r="CSE228" s="4"/>
      <c r="CSF228" s="9"/>
      <c r="CSG228" s="4"/>
      <c r="CSH228" s="9"/>
      <c r="CSI228" s="4"/>
      <c r="CSJ228" s="9"/>
      <c r="CSK228" s="4"/>
      <c r="CSL228" s="9"/>
      <c r="CSM228" s="4"/>
      <c r="CSN228" s="9"/>
      <c r="CSO228" s="4"/>
      <c r="CSP228" s="9"/>
      <c r="CSQ228" s="4"/>
      <c r="CSR228" s="9"/>
      <c r="CSS228" s="4"/>
      <c r="CST228" s="9"/>
      <c r="CSU228" s="4"/>
      <c r="CSV228" s="9"/>
      <c r="CSW228" s="4"/>
      <c r="CSX228" s="9"/>
      <c r="CSY228" s="4"/>
      <c r="CSZ228" s="9"/>
      <c r="CTA228" s="4"/>
      <c r="CTB228" s="9"/>
      <c r="CTC228" s="4"/>
      <c r="CTD228" s="9"/>
      <c r="CTE228" s="4"/>
      <c r="CTF228" s="9"/>
      <c r="CTG228" s="4"/>
      <c r="CTH228" s="9"/>
      <c r="CTI228" s="4"/>
      <c r="CTJ228" s="9"/>
      <c r="CTK228" s="4"/>
      <c r="CTL228" s="9"/>
      <c r="CTM228" s="4"/>
      <c r="CTN228" s="9"/>
      <c r="CTO228" s="4"/>
      <c r="CTP228" s="9"/>
      <c r="CTQ228" s="4"/>
      <c r="CTR228" s="9"/>
      <c r="CTS228" s="4"/>
      <c r="CTT228" s="9"/>
      <c r="CTU228" s="4"/>
      <c r="CTV228" s="9"/>
      <c r="CTW228" s="4"/>
      <c r="CTX228" s="9"/>
      <c r="CTY228" s="4"/>
      <c r="CTZ228" s="9"/>
      <c r="CUA228" s="4"/>
      <c r="CUB228" s="9"/>
      <c r="CUC228" s="4"/>
      <c r="CUD228" s="9"/>
      <c r="CUE228" s="4"/>
      <c r="CUF228" s="9"/>
      <c r="CUG228" s="4"/>
      <c r="CUH228" s="9"/>
      <c r="CUI228" s="4"/>
      <c r="CUJ228" s="9"/>
      <c r="CUK228" s="4"/>
      <c r="CUL228" s="9"/>
      <c r="CUM228" s="4"/>
      <c r="CUN228" s="9"/>
      <c r="CUO228" s="4"/>
      <c r="CUP228" s="9"/>
      <c r="CUQ228" s="4"/>
      <c r="CUR228" s="9"/>
      <c r="CUS228" s="4"/>
      <c r="CUT228" s="9"/>
      <c r="CUU228" s="4"/>
      <c r="CUV228" s="9"/>
      <c r="CUW228" s="4"/>
      <c r="CUX228" s="9"/>
      <c r="CUY228" s="4"/>
      <c r="CUZ228" s="9"/>
      <c r="CVA228" s="4"/>
      <c r="CVB228" s="9"/>
      <c r="CVC228" s="4"/>
      <c r="CVD228" s="9"/>
      <c r="CVE228" s="4"/>
      <c r="CVF228" s="9"/>
      <c r="CVG228" s="4"/>
      <c r="CVH228" s="9"/>
      <c r="CVI228" s="4"/>
      <c r="CVJ228" s="9"/>
      <c r="CVK228" s="4"/>
      <c r="CVL228" s="9"/>
      <c r="CVM228" s="4"/>
      <c r="CVN228" s="9"/>
      <c r="CVO228" s="4"/>
      <c r="CVP228" s="9"/>
      <c r="CVQ228" s="4"/>
      <c r="CVR228" s="9"/>
      <c r="CVS228" s="4"/>
      <c r="CVT228" s="9"/>
      <c r="CVU228" s="4"/>
      <c r="CVV228" s="9"/>
      <c r="CVW228" s="4"/>
      <c r="CVX228" s="9"/>
      <c r="CVY228" s="4"/>
      <c r="CVZ228" s="9"/>
      <c r="CWA228" s="4"/>
      <c r="CWB228" s="9"/>
      <c r="CWC228" s="4"/>
      <c r="CWD228" s="9"/>
      <c r="CWE228" s="4"/>
      <c r="CWF228" s="9"/>
      <c r="CWG228" s="4"/>
      <c r="CWH228" s="9"/>
      <c r="CWI228" s="4"/>
      <c r="CWJ228" s="9"/>
      <c r="CWK228" s="4"/>
      <c r="CWL228" s="9"/>
      <c r="CWM228" s="4"/>
      <c r="CWN228" s="9"/>
      <c r="CWO228" s="4"/>
      <c r="CWP228" s="9"/>
      <c r="CWQ228" s="4"/>
      <c r="CWR228" s="9"/>
      <c r="CWS228" s="4"/>
      <c r="CWT228" s="9"/>
      <c r="CWU228" s="4"/>
      <c r="CWV228" s="9"/>
      <c r="CWW228" s="4"/>
      <c r="CWX228" s="9"/>
      <c r="CWY228" s="4"/>
      <c r="CWZ228" s="9"/>
      <c r="CXA228" s="4"/>
      <c r="CXB228" s="9"/>
      <c r="CXC228" s="4"/>
      <c r="CXD228" s="9"/>
      <c r="CXE228" s="4"/>
      <c r="CXF228" s="9"/>
      <c r="CXG228" s="4"/>
      <c r="CXH228" s="9"/>
      <c r="CXI228" s="4"/>
      <c r="CXJ228" s="9"/>
      <c r="CXK228" s="4"/>
      <c r="CXL228" s="9"/>
      <c r="CXM228" s="4"/>
      <c r="CXN228" s="9"/>
      <c r="CXO228" s="4"/>
      <c r="CXP228" s="9"/>
      <c r="CXQ228" s="4"/>
      <c r="CXR228" s="9"/>
      <c r="CXS228" s="4"/>
      <c r="CXT228" s="9"/>
      <c r="CXU228" s="4"/>
      <c r="CXV228" s="9"/>
      <c r="CXW228" s="4"/>
      <c r="CXX228" s="9"/>
      <c r="CXY228" s="4"/>
      <c r="CXZ228" s="9"/>
      <c r="CYA228" s="4"/>
      <c r="CYB228" s="9"/>
      <c r="CYC228" s="4"/>
      <c r="CYD228" s="9"/>
      <c r="CYE228" s="4"/>
      <c r="CYF228" s="9"/>
      <c r="CYG228" s="4"/>
      <c r="CYH228" s="9"/>
      <c r="CYI228" s="4"/>
      <c r="CYJ228" s="9"/>
      <c r="CYK228" s="4"/>
      <c r="CYL228" s="9"/>
      <c r="CYM228" s="4"/>
      <c r="CYN228" s="9"/>
      <c r="CYO228" s="4"/>
      <c r="CYP228" s="9"/>
      <c r="CYQ228" s="4"/>
      <c r="CYR228" s="9"/>
      <c r="CYS228" s="4"/>
      <c r="CYT228" s="9"/>
      <c r="CYU228" s="4"/>
      <c r="CYV228" s="9"/>
      <c r="CYW228" s="4"/>
      <c r="CYX228" s="9"/>
      <c r="CYY228" s="4"/>
      <c r="CYZ228" s="9"/>
      <c r="CZA228" s="4"/>
      <c r="CZB228" s="9"/>
      <c r="CZC228" s="4"/>
      <c r="CZD228" s="9"/>
      <c r="CZE228" s="4"/>
      <c r="CZF228" s="9"/>
      <c r="CZG228" s="4"/>
      <c r="CZH228" s="9"/>
      <c r="CZI228" s="4"/>
      <c r="CZJ228" s="9"/>
      <c r="CZK228" s="4"/>
      <c r="CZL228" s="9"/>
      <c r="CZM228" s="4"/>
      <c r="CZN228" s="9"/>
      <c r="CZO228" s="4"/>
      <c r="CZP228" s="9"/>
      <c r="CZQ228" s="4"/>
      <c r="CZR228" s="9"/>
      <c r="CZS228" s="4"/>
      <c r="CZT228" s="9"/>
      <c r="CZU228" s="4"/>
      <c r="CZV228" s="9"/>
      <c r="CZW228" s="4"/>
      <c r="CZX228" s="9"/>
      <c r="CZY228" s="4"/>
      <c r="CZZ228" s="9"/>
      <c r="DAA228" s="4"/>
      <c r="DAB228" s="9"/>
      <c r="DAC228" s="4"/>
      <c r="DAD228" s="9"/>
      <c r="DAE228" s="4"/>
      <c r="DAF228" s="9"/>
      <c r="DAG228" s="4"/>
      <c r="DAH228" s="9"/>
      <c r="DAI228" s="4"/>
      <c r="DAJ228" s="9"/>
      <c r="DAK228" s="4"/>
      <c r="DAL228" s="9"/>
      <c r="DAM228" s="4"/>
      <c r="DAN228" s="9"/>
      <c r="DAO228" s="4"/>
      <c r="DAP228" s="9"/>
      <c r="DAQ228" s="4"/>
      <c r="DAR228" s="9"/>
      <c r="DAS228" s="4"/>
      <c r="DAT228" s="9"/>
      <c r="DAU228" s="4"/>
      <c r="DAV228" s="9"/>
      <c r="DAW228" s="4"/>
      <c r="DAX228" s="9"/>
      <c r="DAY228" s="4"/>
      <c r="DAZ228" s="9"/>
      <c r="DBA228" s="4"/>
      <c r="DBB228" s="9"/>
      <c r="DBC228" s="4"/>
      <c r="DBD228" s="9"/>
      <c r="DBE228" s="4"/>
      <c r="DBF228" s="9"/>
      <c r="DBG228" s="4"/>
      <c r="DBH228" s="9"/>
      <c r="DBI228" s="4"/>
      <c r="DBJ228" s="9"/>
      <c r="DBK228" s="4"/>
      <c r="DBL228" s="9"/>
      <c r="DBM228" s="4"/>
      <c r="DBN228" s="9"/>
      <c r="DBO228" s="4"/>
      <c r="DBP228" s="9"/>
      <c r="DBQ228" s="4"/>
      <c r="DBR228" s="9"/>
      <c r="DBS228" s="4"/>
      <c r="DBT228" s="9"/>
      <c r="DBU228" s="4"/>
      <c r="DBV228" s="9"/>
      <c r="DBW228" s="4"/>
      <c r="DBX228" s="9"/>
      <c r="DBY228" s="4"/>
      <c r="DBZ228" s="9"/>
      <c r="DCA228" s="4"/>
      <c r="DCB228" s="9"/>
      <c r="DCC228" s="4"/>
      <c r="DCD228" s="9"/>
      <c r="DCE228" s="4"/>
      <c r="DCF228" s="9"/>
      <c r="DCG228" s="4"/>
      <c r="DCH228" s="9"/>
      <c r="DCI228" s="4"/>
      <c r="DCJ228" s="9"/>
      <c r="DCK228" s="4"/>
      <c r="DCL228" s="9"/>
      <c r="DCM228" s="4"/>
      <c r="DCN228" s="9"/>
      <c r="DCO228" s="4"/>
      <c r="DCP228" s="9"/>
      <c r="DCQ228" s="4"/>
      <c r="DCR228" s="9"/>
      <c r="DCS228" s="4"/>
      <c r="DCT228" s="9"/>
      <c r="DCU228" s="4"/>
      <c r="DCV228" s="9"/>
      <c r="DCW228" s="4"/>
      <c r="DCX228" s="9"/>
      <c r="DCY228" s="4"/>
      <c r="DCZ228" s="9"/>
      <c r="DDA228" s="4"/>
      <c r="DDB228" s="9"/>
      <c r="DDC228" s="4"/>
      <c r="DDD228" s="9"/>
      <c r="DDE228" s="4"/>
      <c r="DDF228" s="9"/>
      <c r="DDG228" s="4"/>
      <c r="DDH228" s="9"/>
      <c r="DDI228" s="4"/>
      <c r="DDJ228" s="9"/>
      <c r="DDK228" s="4"/>
      <c r="DDL228" s="9"/>
      <c r="DDM228" s="4"/>
      <c r="DDN228" s="9"/>
      <c r="DDO228" s="4"/>
      <c r="DDP228" s="9"/>
      <c r="DDQ228" s="4"/>
      <c r="DDR228" s="9"/>
      <c r="DDS228" s="4"/>
      <c r="DDT228" s="9"/>
      <c r="DDU228" s="4"/>
      <c r="DDV228" s="9"/>
      <c r="DDW228" s="4"/>
      <c r="DDX228" s="9"/>
      <c r="DDY228" s="4"/>
      <c r="DDZ228" s="9"/>
      <c r="DEA228" s="4"/>
      <c r="DEB228" s="9"/>
      <c r="DEC228" s="4"/>
      <c r="DED228" s="9"/>
      <c r="DEE228" s="4"/>
      <c r="DEF228" s="9"/>
      <c r="DEG228" s="4"/>
      <c r="DEH228" s="9"/>
      <c r="DEI228" s="4"/>
      <c r="DEJ228" s="9"/>
      <c r="DEK228" s="4"/>
      <c r="DEL228" s="9"/>
      <c r="DEM228" s="4"/>
      <c r="DEN228" s="9"/>
      <c r="DEO228" s="4"/>
      <c r="DEP228" s="9"/>
      <c r="DEQ228" s="4"/>
      <c r="DER228" s="9"/>
      <c r="DES228" s="4"/>
      <c r="DET228" s="9"/>
      <c r="DEU228" s="4"/>
      <c r="DEV228" s="9"/>
      <c r="DEW228" s="4"/>
      <c r="DEX228" s="9"/>
      <c r="DEY228" s="4"/>
      <c r="DEZ228" s="9"/>
      <c r="DFA228" s="4"/>
      <c r="DFB228" s="9"/>
      <c r="DFC228" s="4"/>
      <c r="DFD228" s="9"/>
      <c r="DFE228" s="4"/>
      <c r="DFF228" s="9"/>
      <c r="DFG228" s="4"/>
      <c r="DFH228" s="9"/>
      <c r="DFI228" s="4"/>
      <c r="DFJ228" s="9"/>
      <c r="DFK228" s="4"/>
      <c r="DFL228" s="9"/>
      <c r="DFM228" s="4"/>
      <c r="DFN228" s="9"/>
      <c r="DFO228" s="4"/>
      <c r="DFP228" s="9"/>
      <c r="DFQ228" s="4"/>
      <c r="DFR228" s="9"/>
      <c r="DFS228" s="4"/>
      <c r="DFT228" s="9"/>
      <c r="DFU228" s="4"/>
      <c r="DFV228" s="9"/>
      <c r="DFW228" s="4"/>
      <c r="DFX228" s="9"/>
      <c r="DFY228" s="4"/>
      <c r="DFZ228" s="9"/>
      <c r="DGA228" s="4"/>
      <c r="DGB228" s="9"/>
      <c r="DGC228" s="4"/>
      <c r="DGD228" s="9"/>
      <c r="DGE228" s="4"/>
      <c r="DGF228" s="9"/>
      <c r="DGG228" s="4"/>
      <c r="DGH228" s="9"/>
      <c r="DGI228" s="4"/>
      <c r="DGJ228" s="9"/>
      <c r="DGK228" s="4"/>
      <c r="DGL228" s="9"/>
      <c r="DGM228" s="4"/>
      <c r="DGN228" s="9"/>
      <c r="DGO228" s="4"/>
      <c r="DGP228" s="9"/>
      <c r="DGQ228" s="4"/>
      <c r="DGR228" s="9"/>
      <c r="DGS228" s="4"/>
      <c r="DGT228" s="9"/>
      <c r="DGU228" s="4"/>
      <c r="DGV228" s="9"/>
      <c r="DGW228" s="4"/>
      <c r="DGX228" s="9"/>
      <c r="DGY228" s="4"/>
      <c r="DGZ228" s="9"/>
      <c r="DHA228" s="4"/>
      <c r="DHB228" s="9"/>
      <c r="DHC228" s="4"/>
      <c r="DHD228" s="9"/>
      <c r="DHE228" s="4"/>
      <c r="DHF228" s="9"/>
      <c r="DHG228" s="4"/>
      <c r="DHH228" s="9"/>
      <c r="DHI228" s="4"/>
      <c r="DHJ228" s="9"/>
      <c r="DHK228" s="4"/>
      <c r="DHL228" s="9"/>
      <c r="DHM228" s="4"/>
      <c r="DHN228" s="9"/>
      <c r="DHO228" s="4"/>
      <c r="DHP228" s="9"/>
      <c r="DHQ228" s="4"/>
      <c r="DHR228" s="9"/>
      <c r="DHS228" s="4"/>
      <c r="DHT228" s="9"/>
      <c r="DHU228" s="4"/>
      <c r="DHV228" s="9"/>
      <c r="DHW228" s="4"/>
      <c r="DHX228" s="9"/>
      <c r="DHY228" s="4"/>
      <c r="DHZ228" s="9"/>
      <c r="DIA228" s="4"/>
      <c r="DIB228" s="9"/>
      <c r="DIC228" s="4"/>
      <c r="DID228" s="9"/>
      <c r="DIE228" s="4"/>
      <c r="DIF228" s="9"/>
      <c r="DIG228" s="4"/>
      <c r="DIH228" s="9"/>
      <c r="DII228" s="4"/>
      <c r="DIJ228" s="9"/>
      <c r="DIK228" s="4"/>
      <c r="DIL228" s="9"/>
      <c r="DIM228" s="4"/>
      <c r="DIN228" s="9"/>
      <c r="DIO228" s="4"/>
      <c r="DIP228" s="9"/>
      <c r="DIQ228" s="4"/>
      <c r="DIR228" s="9"/>
      <c r="DIS228" s="4"/>
      <c r="DIT228" s="9"/>
      <c r="DIU228" s="4"/>
      <c r="DIV228" s="9"/>
      <c r="DIW228" s="4"/>
      <c r="DIX228" s="9"/>
      <c r="DIY228" s="4"/>
      <c r="DIZ228" s="9"/>
      <c r="DJA228" s="4"/>
      <c r="DJB228" s="9"/>
      <c r="DJC228" s="4"/>
      <c r="DJD228" s="9"/>
      <c r="DJE228" s="4"/>
      <c r="DJF228" s="9"/>
      <c r="DJG228" s="4"/>
      <c r="DJH228" s="9"/>
      <c r="DJI228" s="4"/>
      <c r="DJJ228" s="9"/>
      <c r="DJK228" s="4"/>
      <c r="DJL228" s="9"/>
      <c r="DJM228" s="4"/>
      <c r="DJN228" s="9"/>
      <c r="DJO228" s="4"/>
      <c r="DJP228" s="9"/>
      <c r="DJQ228" s="4"/>
      <c r="DJR228" s="9"/>
      <c r="DJS228" s="4"/>
      <c r="DJT228" s="9"/>
      <c r="DJU228" s="4"/>
      <c r="DJV228" s="9"/>
      <c r="DJW228" s="4"/>
      <c r="DJX228" s="9"/>
      <c r="DJY228" s="4"/>
      <c r="DJZ228" s="9"/>
      <c r="DKA228" s="4"/>
      <c r="DKB228" s="9"/>
      <c r="DKC228" s="4"/>
      <c r="DKD228" s="9"/>
      <c r="DKE228" s="4"/>
      <c r="DKF228" s="9"/>
      <c r="DKG228" s="4"/>
      <c r="DKH228" s="9"/>
      <c r="DKI228" s="4"/>
      <c r="DKJ228" s="9"/>
      <c r="DKK228" s="4"/>
      <c r="DKL228" s="9"/>
      <c r="DKM228" s="4"/>
      <c r="DKN228" s="9"/>
      <c r="DKO228" s="4"/>
      <c r="DKP228" s="9"/>
      <c r="DKQ228" s="4"/>
      <c r="DKR228" s="9"/>
      <c r="DKS228" s="4"/>
      <c r="DKT228" s="9"/>
      <c r="DKU228" s="4"/>
      <c r="DKV228" s="9"/>
      <c r="DKW228" s="4"/>
      <c r="DKX228" s="9"/>
      <c r="DKY228" s="4"/>
      <c r="DKZ228" s="9"/>
      <c r="DLA228" s="4"/>
      <c r="DLB228" s="9"/>
      <c r="DLC228" s="4"/>
      <c r="DLD228" s="9"/>
      <c r="DLE228" s="4"/>
      <c r="DLF228" s="9"/>
      <c r="DLG228" s="4"/>
      <c r="DLH228" s="9"/>
      <c r="DLI228" s="4"/>
      <c r="DLJ228" s="9"/>
      <c r="DLK228" s="4"/>
      <c r="DLL228" s="9"/>
      <c r="DLM228" s="4"/>
      <c r="DLN228" s="9"/>
      <c r="DLO228" s="4"/>
      <c r="DLP228" s="9"/>
      <c r="DLQ228" s="4"/>
      <c r="DLR228" s="9"/>
      <c r="DLS228" s="4"/>
      <c r="DLT228" s="9"/>
      <c r="DLU228" s="4"/>
      <c r="DLV228" s="9"/>
      <c r="DLW228" s="4"/>
      <c r="DLX228" s="9"/>
      <c r="DLY228" s="4"/>
      <c r="DLZ228" s="9"/>
      <c r="DMA228" s="4"/>
      <c r="DMB228" s="9"/>
      <c r="DMC228" s="4"/>
      <c r="DMD228" s="9"/>
      <c r="DME228" s="4"/>
      <c r="DMF228" s="9"/>
      <c r="DMG228" s="4"/>
      <c r="DMH228" s="9"/>
      <c r="DMI228" s="4"/>
      <c r="DMJ228" s="9"/>
      <c r="DMK228" s="4"/>
      <c r="DML228" s="9"/>
      <c r="DMM228" s="4"/>
      <c r="DMN228" s="9"/>
      <c r="DMO228" s="4"/>
      <c r="DMP228" s="9"/>
      <c r="DMQ228" s="4"/>
      <c r="DMR228" s="9"/>
      <c r="DMS228" s="4"/>
      <c r="DMT228" s="9"/>
      <c r="DMU228" s="4"/>
      <c r="DMV228" s="9"/>
      <c r="DMW228" s="4"/>
      <c r="DMX228" s="9"/>
      <c r="DMY228" s="4"/>
      <c r="DMZ228" s="9"/>
      <c r="DNA228" s="4"/>
      <c r="DNB228" s="9"/>
      <c r="DNC228" s="4"/>
      <c r="DND228" s="9"/>
      <c r="DNE228" s="4"/>
      <c r="DNF228" s="9"/>
      <c r="DNG228" s="4"/>
      <c r="DNH228" s="9"/>
      <c r="DNI228" s="4"/>
      <c r="DNJ228" s="9"/>
      <c r="DNK228" s="4"/>
      <c r="DNL228" s="9"/>
      <c r="DNM228" s="4"/>
      <c r="DNN228" s="9"/>
      <c r="DNO228" s="4"/>
      <c r="DNP228" s="9"/>
      <c r="DNQ228" s="4"/>
      <c r="DNR228" s="9"/>
      <c r="DNS228" s="4"/>
      <c r="DNT228" s="9"/>
      <c r="DNU228" s="4"/>
      <c r="DNV228" s="9"/>
      <c r="DNW228" s="4"/>
      <c r="DNX228" s="9"/>
      <c r="DNY228" s="4"/>
      <c r="DNZ228" s="9"/>
      <c r="DOA228" s="4"/>
      <c r="DOB228" s="9"/>
      <c r="DOC228" s="4"/>
      <c r="DOD228" s="9"/>
      <c r="DOE228" s="4"/>
      <c r="DOF228" s="9"/>
      <c r="DOG228" s="4"/>
      <c r="DOH228" s="9"/>
      <c r="DOI228" s="4"/>
      <c r="DOJ228" s="9"/>
      <c r="DOK228" s="4"/>
      <c r="DOL228" s="9"/>
      <c r="DOM228" s="4"/>
      <c r="DON228" s="9"/>
      <c r="DOO228" s="4"/>
      <c r="DOP228" s="9"/>
      <c r="DOQ228" s="4"/>
      <c r="DOR228" s="9"/>
      <c r="DOS228" s="4"/>
      <c r="DOT228" s="9"/>
      <c r="DOU228" s="4"/>
      <c r="DOV228" s="9"/>
      <c r="DOW228" s="4"/>
      <c r="DOX228" s="9"/>
      <c r="DOY228" s="4"/>
      <c r="DOZ228" s="9"/>
      <c r="DPA228" s="4"/>
      <c r="DPB228" s="9"/>
      <c r="DPC228" s="4"/>
      <c r="DPD228" s="9"/>
      <c r="DPE228" s="4"/>
      <c r="DPF228" s="9"/>
      <c r="DPG228" s="4"/>
      <c r="DPH228" s="9"/>
      <c r="DPI228" s="4"/>
      <c r="DPJ228" s="9"/>
      <c r="DPK228" s="4"/>
      <c r="DPL228" s="9"/>
      <c r="DPM228" s="4"/>
      <c r="DPN228" s="9"/>
      <c r="DPO228" s="4"/>
      <c r="DPP228" s="9"/>
      <c r="DPQ228" s="4"/>
      <c r="DPR228" s="9"/>
      <c r="DPS228" s="4"/>
      <c r="DPT228" s="9"/>
      <c r="DPU228" s="4"/>
      <c r="DPV228" s="9"/>
      <c r="DPW228" s="4"/>
      <c r="DPX228" s="9"/>
      <c r="DPY228" s="4"/>
      <c r="DPZ228" s="9"/>
      <c r="DQA228" s="4"/>
      <c r="DQB228" s="9"/>
      <c r="DQC228" s="4"/>
      <c r="DQD228" s="9"/>
      <c r="DQE228" s="4"/>
      <c r="DQF228" s="9"/>
      <c r="DQG228" s="4"/>
      <c r="DQH228" s="9"/>
      <c r="DQI228" s="4"/>
      <c r="DQJ228" s="9"/>
      <c r="DQK228" s="4"/>
      <c r="DQL228" s="9"/>
      <c r="DQM228" s="4"/>
      <c r="DQN228" s="9"/>
      <c r="DQO228" s="4"/>
      <c r="DQP228" s="9"/>
      <c r="DQQ228" s="4"/>
      <c r="DQR228" s="9"/>
      <c r="DQS228" s="4"/>
      <c r="DQT228" s="9"/>
      <c r="DQU228" s="4"/>
      <c r="DQV228" s="9"/>
      <c r="DQW228" s="4"/>
      <c r="DQX228" s="9"/>
      <c r="DQY228" s="4"/>
      <c r="DQZ228" s="9"/>
      <c r="DRA228" s="4"/>
      <c r="DRB228" s="9"/>
      <c r="DRC228" s="4"/>
      <c r="DRD228" s="9"/>
      <c r="DRE228" s="4"/>
      <c r="DRF228" s="9"/>
      <c r="DRG228" s="4"/>
      <c r="DRH228" s="9"/>
      <c r="DRI228" s="4"/>
      <c r="DRJ228" s="9"/>
      <c r="DRK228" s="4"/>
      <c r="DRL228" s="9"/>
      <c r="DRM228" s="4"/>
      <c r="DRN228" s="9"/>
      <c r="DRO228" s="4"/>
      <c r="DRP228" s="9"/>
      <c r="DRQ228" s="4"/>
      <c r="DRR228" s="9"/>
      <c r="DRS228" s="4"/>
      <c r="DRT228" s="9"/>
      <c r="DRU228" s="4"/>
      <c r="DRV228" s="9"/>
      <c r="DRW228" s="4"/>
      <c r="DRX228" s="9"/>
      <c r="DRY228" s="4"/>
      <c r="DRZ228" s="9"/>
      <c r="DSA228" s="4"/>
      <c r="DSB228" s="9"/>
      <c r="DSC228" s="4"/>
      <c r="DSD228" s="9"/>
      <c r="DSE228" s="4"/>
      <c r="DSF228" s="9"/>
      <c r="DSG228" s="4"/>
      <c r="DSH228" s="9"/>
      <c r="DSI228" s="4"/>
      <c r="DSJ228" s="9"/>
      <c r="DSK228" s="4"/>
      <c r="DSL228" s="9"/>
      <c r="DSM228" s="4"/>
      <c r="DSN228" s="9"/>
      <c r="DSO228" s="4"/>
      <c r="DSP228" s="9"/>
      <c r="DSQ228" s="4"/>
      <c r="DSR228" s="9"/>
      <c r="DSS228" s="4"/>
      <c r="DST228" s="9"/>
      <c r="DSU228" s="4"/>
      <c r="DSV228" s="9"/>
      <c r="DSW228" s="4"/>
      <c r="DSX228" s="9"/>
      <c r="DSY228" s="4"/>
      <c r="DSZ228" s="9"/>
      <c r="DTA228" s="4"/>
      <c r="DTB228" s="9"/>
      <c r="DTC228" s="4"/>
      <c r="DTD228" s="9"/>
      <c r="DTE228" s="4"/>
      <c r="DTF228" s="9"/>
      <c r="DTG228" s="4"/>
      <c r="DTH228" s="9"/>
      <c r="DTI228" s="4"/>
      <c r="DTJ228" s="9"/>
      <c r="DTK228" s="4"/>
      <c r="DTL228" s="9"/>
      <c r="DTM228" s="4"/>
      <c r="DTN228" s="9"/>
      <c r="DTO228" s="4"/>
      <c r="DTP228" s="9"/>
      <c r="DTQ228" s="4"/>
      <c r="DTR228" s="9"/>
      <c r="DTS228" s="4"/>
      <c r="DTT228" s="9"/>
      <c r="DTU228" s="4"/>
      <c r="DTV228" s="9"/>
      <c r="DTW228" s="4"/>
      <c r="DTX228" s="9"/>
      <c r="DTY228" s="4"/>
      <c r="DTZ228" s="9"/>
      <c r="DUA228" s="4"/>
      <c r="DUB228" s="9"/>
      <c r="DUC228" s="4"/>
      <c r="DUD228" s="9"/>
      <c r="DUE228" s="4"/>
      <c r="DUF228" s="9"/>
      <c r="DUG228" s="4"/>
      <c r="DUH228" s="9"/>
      <c r="DUI228" s="4"/>
      <c r="DUJ228" s="9"/>
      <c r="DUK228" s="4"/>
      <c r="DUL228" s="9"/>
      <c r="DUM228" s="4"/>
      <c r="DUN228" s="9"/>
      <c r="DUO228" s="4"/>
      <c r="DUP228" s="9"/>
      <c r="DUQ228" s="4"/>
      <c r="DUR228" s="9"/>
      <c r="DUS228" s="4"/>
      <c r="DUT228" s="9"/>
      <c r="DUU228" s="4"/>
      <c r="DUV228" s="9"/>
      <c r="DUW228" s="4"/>
      <c r="DUX228" s="9"/>
      <c r="DUY228" s="4"/>
      <c r="DUZ228" s="9"/>
      <c r="DVA228" s="4"/>
      <c r="DVB228" s="9"/>
      <c r="DVC228" s="4"/>
      <c r="DVD228" s="9"/>
      <c r="DVE228" s="4"/>
      <c r="DVF228" s="9"/>
      <c r="DVG228" s="4"/>
      <c r="DVH228" s="9"/>
      <c r="DVI228" s="4"/>
      <c r="DVJ228" s="9"/>
      <c r="DVK228" s="4"/>
      <c r="DVL228" s="9"/>
      <c r="DVM228" s="4"/>
      <c r="DVN228" s="9"/>
      <c r="DVO228" s="4"/>
      <c r="DVP228" s="9"/>
      <c r="DVQ228" s="4"/>
      <c r="DVR228" s="9"/>
      <c r="DVS228" s="4"/>
      <c r="DVT228" s="9"/>
      <c r="DVU228" s="4"/>
      <c r="DVV228" s="9"/>
      <c r="DVW228" s="4"/>
      <c r="DVX228" s="9"/>
      <c r="DVY228" s="4"/>
      <c r="DVZ228" s="9"/>
      <c r="DWA228" s="4"/>
      <c r="DWB228" s="9"/>
      <c r="DWC228" s="4"/>
      <c r="DWD228" s="9"/>
      <c r="DWE228" s="4"/>
      <c r="DWF228" s="9"/>
      <c r="DWG228" s="4"/>
      <c r="DWH228" s="9"/>
      <c r="DWI228" s="4"/>
      <c r="DWJ228" s="9"/>
      <c r="DWK228" s="4"/>
      <c r="DWL228" s="9"/>
      <c r="DWM228" s="4"/>
      <c r="DWN228" s="9"/>
      <c r="DWO228" s="4"/>
      <c r="DWP228" s="9"/>
      <c r="DWQ228" s="4"/>
      <c r="DWR228" s="9"/>
      <c r="DWS228" s="4"/>
      <c r="DWT228" s="9"/>
      <c r="DWU228" s="4"/>
      <c r="DWV228" s="9"/>
      <c r="DWW228" s="4"/>
      <c r="DWX228" s="9"/>
      <c r="DWY228" s="4"/>
      <c r="DWZ228" s="9"/>
      <c r="DXA228" s="4"/>
      <c r="DXB228" s="9"/>
      <c r="DXC228" s="4"/>
      <c r="DXD228" s="9"/>
      <c r="DXE228" s="4"/>
      <c r="DXF228" s="9"/>
      <c r="DXG228" s="4"/>
      <c r="DXH228" s="9"/>
      <c r="DXI228" s="4"/>
      <c r="DXJ228" s="9"/>
      <c r="DXK228" s="4"/>
      <c r="DXL228" s="9"/>
      <c r="DXM228" s="4"/>
      <c r="DXN228" s="9"/>
      <c r="DXO228" s="4"/>
      <c r="DXP228" s="9"/>
      <c r="DXQ228" s="4"/>
      <c r="DXR228" s="9"/>
      <c r="DXS228" s="4"/>
      <c r="DXT228" s="9"/>
      <c r="DXU228" s="4"/>
      <c r="DXV228" s="9"/>
      <c r="DXW228" s="4"/>
      <c r="DXX228" s="9"/>
      <c r="DXY228" s="4"/>
      <c r="DXZ228" s="9"/>
      <c r="DYA228" s="4"/>
      <c r="DYB228" s="9"/>
      <c r="DYC228" s="4"/>
      <c r="DYD228" s="9"/>
      <c r="DYE228" s="4"/>
      <c r="DYF228" s="9"/>
      <c r="DYG228" s="4"/>
      <c r="DYH228" s="9"/>
      <c r="DYI228" s="4"/>
      <c r="DYJ228" s="9"/>
      <c r="DYK228" s="4"/>
      <c r="DYL228" s="9"/>
      <c r="DYM228" s="4"/>
      <c r="DYN228" s="9"/>
      <c r="DYO228" s="4"/>
      <c r="DYP228" s="9"/>
      <c r="DYQ228" s="4"/>
      <c r="DYR228" s="9"/>
      <c r="DYS228" s="4"/>
      <c r="DYT228" s="9"/>
      <c r="DYU228" s="4"/>
      <c r="DYV228" s="9"/>
      <c r="DYW228" s="4"/>
      <c r="DYX228" s="9"/>
      <c r="DYY228" s="4"/>
      <c r="DYZ228" s="9"/>
      <c r="DZA228" s="4"/>
      <c r="DZB228" s="9"/>
      <c r="DZC228" s="4"/>
      <c r="DZD228" s="9"/>
      <c r="DZE228" s="4"/>
      <c r="DZF228" s="9"/>
      <c r="DZG228" s="4"/>
      <c r="DZH228" s="9"/>
      <c r="DZI228" s="4"/>
      <c r="DZJ228" s="9"/>
      <c r="DZK228" s="4"/>
      <c r="DZL228" s="9"/>
      <c r="DZM228" s="4"/>
      <c r="DZN228" s="9"/>
      <c r="DZO228" s="4"/>
      <c r="DZP228" s="9"/>
      <c r="DZQ228" s="4"/>
      <c r="DZR228" s="9"/>
      <c r="DZS228" s="4"/>
      <c r="DZT228" s="9"/>
      <c r="DZU228" s="4"/>
      <c r="DZV228" s="9"/>
      <c r="DZW228" s="4"/>
      <c r="DZX228" s="9"/>
      <c r="DZY228" s="4"/>
      <c r="DZZ228" s="9"/>
      <c r="EAA228" s="4"/>
      <c r="EAB228" s="9"/>
      <c r="EAC228" s="4"/>
      <c r="EAD228" s="9"/>
      <c r="EAE228" s="4"/>
      <c r="EAF228" s="9"/>
      <c r="EAG228" s="4"/>
      <c r="EAH228" s="9"/>
      <c r="EAI228" s="4"/>
      <c r="EAJ228" s="9"/>
      <c r="EAK228" s="4"/>
      <c r="EAL228" s="9"/>
      <c r="EAM228" s="4"/>
      <c r="EAN228" s="9"/>
      <c r="EAO228" s="4"/>
      <c r="EAP228" s="9"/>
      <c r="EAQ228" s="4"/>
      <c r="EAR228" s="9"/>
      <c r="EAS228" s="4"/>
      <c r="EAT228" s="9"/>
      <c r="EAU228" s="4"/>
      <c r="EAV228" s="9"/>
      <c r="EAW228" s="4"/>
      <c r="EAX228" s="9"/>
      <c r="EAY228" s="4"/>
      <c r="EAZ228" s="9"/>
      <c r="EBA228" s="4"/>
      <c r="EBB228" s="9"/>
      <c r="EBC228" s="4"/>
      <c r="EBD228" s="9"/>
      <c r="EBE228" s="4"/>
      <c r="EBF228" s="9"/>
      <c r="EBG228" s="4"/>
      <c r="EBH228" s="9"/>
      <c r="EBI228" s="4"/>
      <c r="EBJ228" s="9"/>
      <c r="EBK228" s="4"/>
      <c r="EBL228" s="9"/>
      <c r="EBM228" s="4"/>
      <c r="EBN228" s="9"/>
      <c r="EBO228" s="4"/>
      <c r="EBP228" s="9"/>
      <c r="EBQ228" s="4"/>
      <c r="EBR228" s="9"/>
      <c r="EBS228" s="4"/>
      <c r="EBT228" s="9"/>
      <c r="EBU228" s="4"/>
      <c r="EBV228" s="9"/>
      <c r="EBW228" s="4"/>
      <c r="EBX228" s="9"/>
      <c r="EBY228" s="4"/>
      <c r="EBZ228" s="9"/>
      <c r="ECA228" s="4"/>
      <c r="ECB228" s="9"/>
      <c r="ECC228" s="4"/>
      <c r="ECD228" s="9"/>
      <c r="ECE228" s="4"/>
      <c r="ECF228" s="9"/>
      <c r="ECG228" s="4"/>
      <c r="ECH228" s="9"/>
      <c r="ECI228" s="4"/>
      <c r="ECJ228" s="9"/>
      <c r="ECK228" s="4"/>
      <c r="ECL228" s="9"/>
      <c r="ECM228" s="4"/>
      <c r="ECN228" s="9"/>
      <c r="ECO228" s="4"/>
      <c r="ECP228" s="9"/>
      <c r="ECQ228" s="4"/>
      <c r="ECR228" s="9"/>
      <c r="ECS228" s="4"/>
      <c r="ECT228" s="9"/>
      <c r="ECU228" s="4"/>
      <c r="ECV228" s="9"/>
      <c r="ECW228" s="4"/>
      <c r="ECX228" s="9"/>
      <c r="ECY228" s="4"/>
      <c r="ECZ228" s="9"/>
      <c r="EDA228" s="4"/>
      <c r="EDB228" s="9"/>
      <c r="EDC228" s="4"/>
      <c r="EDD228" s="9"/>
      <c r="EDE228" s="4"/>
      <c r="EDF228" s="9"/>
      <c r="EDG228" s="4"/>
      <c r="EDH228" s="9"/>
      <c r="EDI228" s="4"/>
      <c r="EDJ228" s="9"/>
      <c r="EDK228" s="4"/>
      <c r="EDL228" s="9"/>
      <c r="EDM228" s="4"/>
      <c r="EDN228" s="9"/>
      <c r="EDO228" s="4"/>
      <c r="EDP228" s="9"/>
      <c r="EDQ228" s="4"/>
      <c r="EDR228" s="9"/>
      <c r="EDS228" s="4"/>
      <c r="EDT228" s="9"/>
      <c r="EDU228" s="4"/>
      <c r="EDV228" s="9"/>
      <c r="EDW228" s="4"/>
      <c r="EDX228" s="9"/>
      <c r="EDY228" s="4"/>
      <c r="EDZ228" s="9"/>
      <c r="EEA228" s="4"/>
      <c r="EEB228" s="9"/>
      <c r="EEC228" s="4"/>
      <c r="EED228" s="9"/>
      <c r="EEE228" s="4"/>
      <c r="EEF228" s="9"/>
      <c r="EEG228" s="4"/>
      <c r="EEH228" s="9"/>
      <c r="EEI228" s="4"/>
      <c r="EEJ228" s="9"/>
      <c r="EEK228" s="4"/>
      <c r="EEL228" s="9"/>
      <c r="EEM228" s="4"/>
      <c r="EEN228" s="9"/>
      <c r="EEO228" s="4"/>
      <c r="EEP228" s="9"/>
      <c r="EEQ228" s="4"/>
      <c r="EER228" s="9"/>
      <c r="EES228" s="4"/>
      <c r="EET228" s="9"/>
      <c r="EEU228" s="4"/>
      <c r="EEV228" s="9"/>
      <c r="EEW228" s="4"/>
      <c r="EEX228" s="9"/>
      <c r="EEY228" s="4"/>
      <c r="EEZ228" s="9"/>
      <c r="EFA228" s="4"/>
      <c r="EFB228" s="9"/>
      <c r="EFC228" s="4"/>
      <c r="EFD228" s="9"/>
      <c r="EFE228" s="4"/>
      <c r="EFF228" s="9"/>
      <c r="EFG228" s="4"/>
      <c r="EFH228" s="9"/>
      <c r="EFI228" s="4"/>
      <c r="EFJ228" s="9"/>
      <c r="EFK228" s="4"/>
      <c r="EFL228" s="9"/>
      <c r="EFM228" s="4"/>
      <c r="EFN228" s="9"/>
      <c r="EFO228" s="4"/>
      <c r="EFP228" s="9"/>
      <c r="EFQ228" s="4"/>
      <c r="EFR228" s="9"/>
      <c r="EFS228" s="4"/>
      <c r="EFT228" s="9"/>
      <c r="EFU228" s="4"/>
      <c r="EFV228" s="9"/>
      <c r="EFW228" s="4"/>
      <c r="EFX228" s="9"/>
      <c r="EFY228" s="4"/>
      <c r="EFZ228" s="9"/>
      <c r="EGA228" s="4"/>
      <c r="EGB228" s="9"/>
      <c r="EGC228" s="4"/>
      <c r="EGD228" s="9"/>
      <c r="EGE228" s="4"/>
      <c r="EGF228" s="9"/>
      <c r="EGG228" s="4"/>
      <c r="EGH228" s="9"/>
      <c r="EGI228" s="4"/>
      <c r="EGJ228" s="9"/>
      <c r="EGK228" s="4"/>
      <c r="EGL228" s="9"/>
      <c r="EGM228" s="4"/>
      <c r="EGN228" s="9"/>
      <c r="EGO228" s="4"/>
      <c r="EGP228" s="9"/>
      <c r="EGQ228" s="4"/>
      <c r="EGR228" s="9"/>
      <c r="EGS228" s="4"/>
      <c r="EGT228" s="9"/>
      <c r="EGU228" s="4"/>
      <c r="EGV228" s="9"/>
      <c r="EGW228" s="4"/>
      <c r="EGX228" s="9"/>
      <c r="EGY228" s="4"/>
      <c r="EGZ228" s="9"/>
      <c r="EHA228" s="4"/>
      <c r="EHB228" s="9"/>
      <c r="EHC228" s="4"/>
      <c r="EHD228" s="9"/>
      <c r="EHE228" s="4"/>
      <c r="EHF228" s="9"/>
      <c r="EHG228" s="4"/>
      <c r="EHH228" s="9"/>
      <c r="EHI228" s="4"/>
      <c r="EHJ228" s="9"/>
      <c r="EHK228" s="4"/>
      <c r="EHL228" s="9"/>
      <c r="EHM228" s="4"/>
      <c r="EHN228" s="9"/>
      <c r="EHO228" s="4"/>
      <c r="EHP228" s="9"/>
      <c r="EHQ228" s="4"/>
      <c r="EHR228" s="9"/>
      <c r="EHS228" s="4"/>
      <c r="EHT228" s="9"/>
      <c r="EHU228" s="4"/>
      <c r="EHV228" s="9"/>
      <c r="EHW228" s="4"/>
      <c r="EHX228" s="9"/>
      <c r="EHY228" s="4"/>
      <c r="EHZ228" s="9"/>
      <c r="EIA228" s="4"/>
      <c r="EIB228" s="9"/>
      <c r="EIC228" s="4"/>
      <c r="EID228" s="9"/>
      <c r="EIE228" s="4"/>
      <c r="EIF228" s="9"/>
      <c r="EIG228" s="4"/>
      <c r="EIH228" s="9"/>
      <c r="EII228" s="4"/>
      <c r="EIJ228" s="9"/>
      <c r="EIK228" s="4"/>
      <c r="EIL228" s="9"/>
      <c r="EIM228" s="4"/>
      <c r="EIN228" s="9"/>
      <c r="EIO228" s="4"/>
      <c r="EIP228" s="9"/>
      <c r="EIQ228" s="4"/>
      <c r="EIR228" s="9"/>
      <c r="EIS228" s="4"/>
      <c r="EIT228" s="9"/>
      <c r="EIU228" s="4"/>
      <c r="EIV228" s="9"/>
      <c r="EIW228" s="4"/>
      <c r="EIX228" s="9"/>
      <c r="EIY228" s="4"/>
      <c r="EIZ228" s="9"/>
      <c r="EJA228" s="4"/>
      <c r="EJB228" s="9"/>
      <c r="EJC228" s="4"/>
      <c r="EJD228" s="9"/>
      <c r="EJE228" s="4"/>
      <c r="EJF228" s="9"/>
      <c r="EJG228" s="4"/>
      <c r="EJH228" s="9"/>
      <c r="EJI228" s="4"/>
      <c r="EJJ228" s="9"/>
      <c r="EJK228" s="4"/>
      <c r="EJL228" s="9"/>
      <c r="EJM228" s="4"/>
      <c r="EJN228" s="9"/>
      <c r="EJO228" s="4"/>
      <c r="EJP228" s="9"/>
      <c r="EJQ228" s="4"/>
      <c r="EJR228" s="9"/>
      <c r="EJS228" s="4"/>
      <c r="EJT228" s="9"/>
      <c r="EJU228" s="4"/>
      <c r="EJV228" s="9"/>
      <c r="EJW228" s="4"/>
      <c r="EJX228" s="9"/>
      <c r="EJY228" s="4"/>
      <c r="EJZ228" s="9"/>
      <c r="EKA228" s="4"/>
      <c r="EKB228" s="9"/>
      <c r="EKC228" s="4"/>
      <c r="EKD228" s="9"/>
      <c r="EKE228" s="4"/>
      <c r="EKF228" s="9"/>
      <c r="EKG228" s="4"/>
      <c r="EKH228" s="9"/>
      <c r="EKI228" s="4"/>
      <c r="EKJ228" s="9"/>
      <c r="EKK228" s="4"/>
      <c r="EKL228" s="9"/>
      <c r="EKM228" s="4"/>
      <c r="EKN228" s="9"/>
      <c r="EKO228" s="4"/>
      <c r="EKP228" s="9"/>
      <c r="EKQ228" s="4"/>
      <c r="EKR228" s="9"/>
      <c r="EKS228" s="4"/>
      <c r="EKT228" s="9"/>
      <c r="EKU228" s="4"/>
      <c r="EKV228" s="9"/>
      <c r="EKW228" s="4"/>
      <c r="EKX228" s="9"/>
      <c r="EKY228" s="4"/>
      <c r="EKZ228" s="9"/>
      <c r="ELA228" s="4"/>
      <c r="ELB228" s="9"/>
      <c r="ELC228" s="4"/>
      <c r="ELD228" s="9"/>
      <c r="ELE228" s="4"/>
      <c r="ELF228" s="9"/>
      <c r="ELG228" s="4"/>
      <c r="ELH228" s="9"/>
      <c r="ELI228" s="4"/>
      <c r="ELJ228" s="9"/>
      <c r="ELK228" s="4"/>
      <c r="ELL228" s="9"/>
      <c r="ELM228" s="4"/>
      <c r="ELN228" s="9"/>
      <c r="ELO228" s="4"/>
      <c r="ELP228" s="9"/>
      <c r="ELQ228" s="4"/>
      <c r="ELR228" s="9"/>
      <c r="ELS228" s="4"/>
      <c r="ELT228" s="9"/>
      <c r="ELU228" s="4"/>
      <c r="ELV228" s="9"/>
      <c r="ELW228" s="4"/>
      <c r="ELX228" s="9"/>
      <c r="ELY228" s="4"/>
      <c r="ELZ228" s="9"/>
      <c r="EMA228" s="4"/>
      <c r="EMB228" s="9"/>
      <c r="EMC228" s="4"/>
      <c r="EMD228" s="9"/>
      <c r="EME228" s="4"/>
      <c r="EMF228" s="9"/>
      <c r="EMG228" s="4"/>
      <c r="EMH228" s="9"/>
      <c r="EMI228" s="4"/>
      <c r="EMJ228" s="9"/>
      <c r="EMK228" s="4"/>
      <c r="EML228" s="9"/>
      <c r="EMM228" s="4"/>
      <c r="EMN228" s="9"/>
      <c r="EMO228" s="4"/>
      <c r="EMP228" s="9"/>
      <c r="EMQ228" s="4"/>
      <c r="EMR228" s="9"/>
      <c r="EMS228" s="4"/>
      <c r="EMT228" s="9"/>
      <c r="EMU228" s="4"/>
      <c r="EMV228" s="9"/>
      <c r="EMW228" s="4"/>
      <c r="EMX228" s="9"/>
      <c r="EMY228" s="4"/>
      <c r="EMZ228" s="9"/>
      <c r="ENA228" s="4"/>
      <c r="ENB228" s="9"/>
      <c r="ENC228" s="4"/>
      <c r="END228" s="9"/>
      <c r="ENE228" s="4"/>
      <c r="ENF228" s="9"/>
      <c r="ENG228" s="4"/>
      <c r="ENH228" s="9"/>
      <c r="ENI228" s="4"/>
      <c r="ENJ228" s="9"/>
      <c r="ENK228" s="4"/>
      <c r="ENL228" s="9"/>
      <c r="ENM228" s="4"/>
      <c r="ENN228" s="9"/>
      <c r="ENO228" s="4"/>
      <c r="ENP228" s="9"/>
      <c r="ENQ228" s="4"/>
      <c r="ENR228" s="9"/>
      <c r="ENS228" s="4"/>
      <c r="ENT228" s="9"/>
      <c r="ENU228" s="4"/>
      <c r="ENV228" s="9"/>
      <c r="ENW228" s="4"/>
      <c r="ENX228" s="9"/>
      <c r="ENY228" s="4"/>
      <c r="ENZ228" s="9"/>
      <c r="EOA228" s="4"/>
      <c r="EOB228" s="9"/>
      <c r="EOC228" s="4"/>
      <c r="EOD228" s="9"/>
      <c r="EOE228" s="4"/>
      <c r="EOF228" s="9"/>
      <c r="EOG228" s="4"/>
      <c r="EOH228" s="9"/>
      <c r="EOI228" s="4"/>
      <c r="EOJ228" s="9"/>
      <c r="EOK228" s="4"/>
      <c r="EOL228" s="9"/>
      <c r="EOM228" s="4"/>
      <c r="EON228" s="9"/>
      <c r="EOO228" s="4"/>
      <c r="EOP228" s="9"/>
      <c r="EOQ228" s="4"/>
      <c r="EOR228" s="9"/>
      <c r="EOS228" s="4"/>
      <c r="EOT228" s="9"/>
      <c r="EOU228" s="4"/>
      <c r="EOV228" s="9"/>
      <c r="EOW228" s="4"/>
      <c r="EOX228" s="9"/>
      <c r="EOY228" s="4"/>
      <c r="EOZ228" s="9"/>
      <c r="EPA228" s="4"/>
      <c r="EPB228" s="9"/>
      <c r="EPC228" s="4"/>
      <c r="EPD228" s="9"/>
      <c r="EPE228" s="4"/>
      <c r="EPF228" s="9"/>
      <c r="EPG228" s="4"/>
      <c r="EPH228" s="9"/>
      <c r="EPI228" s="4"/>
      <c r="EPJ228" s="9"/>
      <c r="EPK228" s="4"/>
      <c r="EPL228" s="9"/>
      <c r="EPM228" s="4"/>
      <c r="EPN228" s="9"/>
      <c r="EPO228" s="4"/>
      <c r="EPP228" s="9"/>
      <c r="EPQ228" s="4"/>
      <c r="EPR228" s="9"/>
      <c r="EPS228" s="4"/>
      <c r="EPT228" s="9"/>
      <c r="EPU228" s="4"/>
      <c r="EPV228" s="9"/>
      <c r="EPW228" s="4"/>
      <c r="EPX228" s="9"/>
      <c r="EPY228" s="4"/>
      <c r="EPZ228" s="9"/>
      <c r="EQA228" s="4"/>
      <c r="EQB228" s="9"/>
      <c r="EQC228" s="4"/>
      <c r="EQD228" s="9"/>
      <c r="EQE228" s="4"/>
      <c r="EQF228" s="9"/>
      <c r="EQG228" s="4"/>
      <c r="EQH228" s="9"/>
      <c r="EQI228" s="4"/>
      <c r="EQJ228" s="9"/>
      <c r="EQK228" s="4"/>
      <c r="EQL228" s="9"/>
      <c r="EQM228" s="4"/>
      <c r="EQN228" s="9"/>
      <c r="EQO228" s="4"/>
      <c r="EQP228" s="9"/>
      <c r="EQQ228" s="4"/>
      <c r="EQR228" s="9"/>
      <c r="EQS228" s="4"/>
      <c r="EQT228" s="9"/>
      <c r="EQU228" s="4"/>
      <c r="EQV228" s="9"/>
      <c r="EQW228" s="4"/>
      <c r="EQX228" s="9"/>
      <c r="EQY228" s="4"/>
      <c r="EQZ228" s="9"/>
      <c r="ERA228" s="4"/>
      <c r="ERB228" s="9"/>
      <c r="ERC228" s="4"/>
      <c r="ERD228" s="9"/>
      <c r="ERE228" s="4"/>
      <c r="ERF228" s="9"/>
      <c r="ERG228" s="4"/>
      <c r="ERH228" s="9"/>
      <c r="ERI228" s="4"/>
      <c r="ERJ228" s="9"/>
      <c r="ERK228" s="4"/>
      <c r="ERL228" s="9"/>
      <c r="ERM228" s="4"/>
      <c r="ERN228" s="9"/>
      <c r="ERO228" s="4"/>
      <c r="ERP228" s="9"/>
      <c r="ERQ228" s="4"/>
      <c r="ERR228" s="9"/>
      <c r="ERS228" s="4"/>
      <c r="ERT228" s="9"/>
      <c r="ERU228" s="4"/>
      <c r="ERV228" s="9"/>
      <c r="ERW228" s="4"/>
      <c r="ERX228" s="9"/>
      <c r="ERY228" s="4"/>
      <c r="ERZ228" s="9"/>
      <c r="ESA228" s="4"/>
      <c r="ESB228" s="9"/>
      <c r="ESC228" s="4"/>
      <c r="ESD228" s="9"/>
      <c r="ESE228" s="4"/>
      <c r="ESF228" s="9"/>
      <c r="ESG228" s="4"/>
      <c r="ESH228" s="9"/>
      <c r="ESI228" s="4"/>
      <c r="ESJ228" s="9"/>
      <c r="ESK228" s="4"/>
      <c r="ESL228" s="9"/>
      <c r="ESM228" s="4"/>
      <c r="ESN228" s="9"/>
      <c r="ESO228" s="4"/>
      <c r="ESP228" s="9"/>
      <c r="ESQ228" s="4"/>
      <c r="ESR228" s="9"/>
      <c r="ESS228" s="4"/>
      <c r="EST228" s="9"/>
      <c r="ESU228" s="4"/>
      <c r="ESV228" s="9"/>
      <c r="ESW228" s="4"/>
      <c r="ESX228" s="9"/>
      <c r="ESY228" s="4"/>
      <c r="ESZ228" s="9"/>
      <c r="ETA228" s="4"/>
      <c r="ETB228" s="9"/>
      <c r="ETC228" s="4"/>
      <c r="ETD228" s="9"/>
      <c r="ETE228" s="4"/>
      <c r="ETF228" s="9"/>
      <c r="ETG228" s="4"/>
      <c r="ETH228" s="9"/>
      <c r="ETI228" s="4"/>
      <c r="ETJ228" s="9"/>
      <c r="ETK228" s="4"/>
      <c r="ETL228" s="9"/>
      <c r="ETM228" s="4"/>
      <c r="ETN228" s="9"/>
      <c r="ETO228" s="4"/>
      <c r="ETP228" s="9"/>
      <c r="ETQ228" s="4"/>
      <c r="ETR228" s="9"/>
      <c r="ETS228" s="4"/>
      <c r="ETT228" s="9"/>
      <c r="ETU228" s="4"/>
      <c r="ETV228" s="9"/>
      <c r="ETW228" s="4"/>
      <c r="ETX228" s="9"/>
      <c r="ETY228" s="4"/>
      <c r="ETZ228" s="9"/>
      <c r="EUA228" s="4"/>
      <c r="EUB228" s="9"/>
      <c r="EUC228" s="4"/>
      <c r="EUD228" s="9"/>
      <c r="EUE228" s="4"/>
      <c r="EUF228" s="9"/>
      <c r="EUG228" s="4"/>
      <c r="EUH228" s="9"/>
      <c r="EUI228" s="4"/>
      <c r="EUJ228" s="9"/>
      <c r="EUK228" s="4"/>
      <c r="EUL228" s="9"/>
      <c r="EUM228" s="4"/>
      <c r="EUN228" s="9"/>
      <c r="EUO228" s="4"/>
      <c r="EUP228" s="9"/>
      <c r="EUQ228" s="4"/>
      <c r="EUR228" s="9"/>
      <c r="EUS228" s="4"/>
      <c r="EUT228" s="9"/>
      <c r="EUU228" s="4"/>
      <c r="EUV228" s="9"/>
      <c r="EUW228" s="4"/>
      <c r="EUX228" s="9"/>
      <c r="EUY228" s="4"/>
      <c r="EUZ228" s="9"/>
      <c r="EVA228" s="4"/>
      <c r="EVB228" s="9"/>
      <c r="EVC228" s="4"/>
      <c r="EVD228" s="9"/>
      <c r="EVE228" s="4"/>
      <c r="EVF228" s="9"/>
      <c r="EVG228" s="4"/>
      <c r="EVH228" s="9"/>
      <c r="EVI228" s="4"/>
      <c r="EVJ228" s="9"/>
      <c r="EVK228" s="4"/>
      <c r="EVL228" s="9"/>
      <c r="EVM228" s="4"/>
      <c r="EVN228" s="9"/>
      <c r="EVO228" s="4"/>
      <c r="EVP228" s="9"/>
      <c r="EVQ228" s="4"/>
      <c r="EVR228" s="9"/>
      <c r="EVS228" s="4"/>
      <c r="EVT228" s="9"/>
      <c r="EVU228" s="4"/>
      <c r="EVV228" s="9"/>
      <c r="EVW228" s="4"/>
      <c r="EVX228" s="9"/>
      <c r="EVY228" s="4"/>
      <c r="EVZ228" s="9"/>
      <c r="EWA228" s="4"/>
      <c r="EWB228" s="9"/>
      <c r="EWC228" s="4"/>
      <c r="EWD228" s="9"/>
      <c r="EWE228" s="4"/>
      <c r="EWF228" s="9"/>
      <c r="EWG228" s="4"/>
      <c r="EWH228" s="9"/>
      <c r="EWI228" s="4"/>
      <c r="EWJ228" s="9"/>
      <c r="EWK228" s="4"/>
      <c r="EWL228" s="9"/>
      <c r="EWM228" s="4"/>
      <c r="EWN228" s="9"/>
      <c r="EWO228" s="4"/>
      <c r="EWP228" s="9"/>
      <c r="EWQ228" s="4"/>
      <c r="EWR228" s="9"/>
      <c r="EWS228" s="4"/>
      <c r="EWT228" s="9"/>
      <c r="EWU228" s="4"/>
      <c r="EWV228" s="9"/>
      <c r="EWW228" s="4"/>
      <c r="EWX228" s="9"/>
      <c r="EWY228" s="4"/>
      <c r="EWZ228" s="9"/>
      <c r="EXA228" s="4"/>
      <c r="EXB228" s="9"/>
      <c r="EXC228" s="4"/>
      <c r="EXD228" s="9"/>
      <c r="EXE228" s="4"/>
      <c r="EXF228" s="9"/>
      <c r="EXG228" s="4"/>
      <c r="EXH228" s="9"/>
      <c r="EXI228" s="4"/>
      <c r="EXJ228" s="9"/>
      <c r="EXK228" s="4"/>
      <c r="EXL228" s="9"/>
      <c r="EXM228" s="4"/>
      <c r="EXN228" s="9"/>
      <c r="EXO228" s="4"/>
      <c r="EXP228" s="9"/>
      <c r="EXQ228" s="4"/>
      <c r="EXR228" s="9"/>
      <c r="EXS228" s="4"/>
      <c r="EXT228" s="9"/>
      <c r="EXU228" s="4"/>
      <c r="EXV228" s="9"/>
      <c r="EXW228" s="4"/>
      <c r="EXX228" s="9"/>
      <c r="EXY228" s="4"/>
      <c r="EXZ228" s="9"/>
      <c r="EYA228" s="4"/>
      <c r="EYB228" s="9"/>
      <c r="EYC228" s="4"/>
      <c r="EYD228" s="9"/>
      <c r="EYE228" s="4"/>
      <c r="EYF228" s="9"/>
      <c r="EYG228" s="4"/>
      <c r="EYH228" s="9"/>
      <c r="EYI228" s="4"/>
      <c r="EYJ228" s="9"/>
      <c r="EYK228" s="4"/>
      <c r="EYL228" s="9"/>
      <c r="EYM228" s="4"/>
      <c r="EYN228" s="9"/>
      <c r="EYO228" s="4"/>
      <c r="EYP228" s="9"/>
      <c r="EYQ228" s="4"/>
      <c r="EYR228" s="9"/>
      <c r="EYS228" s="4"/>
      <c r="EYT228" s="9"/>
      <c r="EYU228" s="4"/>
      <c r="EYV228" s="9"/>
      <c r="EYW228" s="4"/>
      <c r="EYX228" s="9"/>
      <c r="EYY228" s="4"/>
      <c r="EYZ228" s="9"/>
      <c r="EZA228" s="4"/>
      <c r="EZB228" s="9"/>
      <c r="EZC228" s="4"/>
      <c r="EZD228" s="9"/>
      <c r="EZE228" s="4"/>
      <c r="EZF228" s="9"/>
      <c r="EZG228" s="4"/>
      <c r="EZH228" s="9"/>
      <c r="EZI228" s="4"/>
      <c r="EZJ228" s="9"/>
      <c r="EZK228" s="4"/>
      <c r="EZL228" s="9"/>
      <c r="EZM228" s="4"/>
      <c r="EZN228" s="9"/>
      <c r="EZO228" s="4"/>
      <c r="EZP228" s="9"/>
      <c r="EZQ228" s="4"/>
      <c r="EZR228" s="9"/>
      <c r="EZS228" s="4"/>
      <c r="EZT228" s="9"/>
      <c r="EZU228" s="4"/>
      <c r="EZV228" s="9"/>
      <c r="EZW228" s="4"/>
      <c r="EZX228" s="9"/>
      <c r="EZY228" s="4"/>
      <c r="EZZ228" s="9"/>
      <c r="FAA228" s="4"/>
      <c r="FAB228" s="9"/>
      <c r="FAC228" s="4"/>
      <c r="FAD228" s="9"/>
      <c r="FAE228" s="4"/>
      <c r="FAF228" s="9"/>
      <c r="FAG228" s="4"/>
      <c r="FAH228" s="9"/>
      <c r="FAI228" s="4"/>
      <c r="FAJ228" s="9"/>
      <c r="FAK228" s="4"/>
      <c r="FAL228" s="9"/>
      <c r="FAM228" s="4"/>
      <c r="FAN228" s="9"/>
      <c r="FAO228" s="4"/>
      <c r="FAP228" s="9"/>
      <c r="FAQ228" s="4"/>
      <c r="FAR228" s="9"/>
      <c r="FAS228" s="4"/>
      <c r="FAT228" s="9"/>
      <c r="FAU228" s="4"/>
      <c r="FAV228" s="9"/>
      <c r="FAW228" s="4"/>
      <c r="FAX228" s="9"/>
      <c r="FAY228" s="4"/>
      <c r="FAZ228" s="9"/>
      <c r="FBA228" s="4"/>
      <c r="FBB228" s="9"/>
      <c r="FBC228" s="4"/>
      <c r="FBD228" s="9"/>
      <c r="FBE228" s="4"/>
      <c r="FBF228" s="9"/>
      <c r="FBG228" s="4"/>
      <c r="FBH228" s="9"/>
      <c r="FBI228" s="4"/>
      <c r="FBJ228" s="9"/>
      <c r="FBK228" s="4"/>
      <c r="FBL228" s="9"/>
      <c r="FBM228" s="4"/>
      <c r="FBN228" s="9"/>
      <c r="FBO228" s="4"/>
      <c r="FBP228" s="9"/>
      <c r="FBQ228" s="4"/>
      <c r="FBR228" s="9"/>
      <c r="FBS228" s="4"/>
      <c r="FBT228" s="9"/>
      <c r="FBU228" s="4"/>
      <c r="FBV228" s="9"/>
      <c r="FBW228" s="4"/>
      <c r="FBX228" s="9"/>
      <c r="FBY228" s="4"/>
      <c r="FBZ228" s="9"/>
      <c r="FCA228" s="4"/>
      <c r="FCB228" s="9"/>
      <c r="FCC228" s="4"/>
      <c r="FCD228" s="9"/>
      <c r="FCE228" s="4"/>
      <c r="FCF228" s="9"/>
      <c r="FCG228" s="4"/>
      <c r="FCH228" s="9"/>
      <c r="FCI228" s="4"/>
      <c r="FCJ228" s="9"/>
      <c r="FCK228" s="4"/>
      <c r="FCL228" s="9"/>
      <c r="FCM228" s="4"/>
      <c r="FCN228" s="9"/>
      <c r="FCO228" s="4"/>
      <c r="FCP228" s="9"/>
      <c r="FCQ228" s="4"/>
      <c r="FCR228" s="9"/>
      <c r="FCS228" s="4"/>
      <c r="FCT228" s="9"/>
      <c r="FCU228" s="4"/>
      <c r="FCV228" s="9"/>
      <c r="FCW228" s="4"/>
      <c r="FCX228" s="9"/>
      <c r="FCY228" s="4"/>
      <c r="FCZ228" s="9"/>
      <c r="FDA228" s="4"/>
      <c r="FDB228" s="9"/>
      <c r="FDC228" s="4"/>
      <c r="FDD228" s="9"/>
      <c r="FDE228" s="4"/>
      <c r="FDF228" s="9"/>
      <c r="FDG228" s="4"/>
      <c r="FDH228" s="9"/>
      <c r="FDI228" s="4"/>
      <c r="FDJ228" s="9"/>
      <c r="FDK228" s="4"/>
      <c r="FDL228" s="9"/>
      <c r="FDM228" s="4"/>
      <c r="FDN228" s="9"/>
      <c r="FDO228" s="4"/>
      <c r="FDP228" s="9"/>
      <c r="FDQ228" s="4"/>
      <c r="FDR228" s="9"/>
      <c r="FDS228" s="4"/>
      <c r="FDT228" s="9"/>
      <c r="FDU228" s="4"/>
      <c r="FDV228" s="9"/>
      <c r="FDW228" s="4"/>
      <c r="FDX228" s="9"/>
      <c r="FDY228" s="4"/>
      <c r="FDZ228" s="9"/>
      <c r="FEA228" s="4"/>
      <c r="FEB228" s="9"/>
      <c r="FEC228" s="4"/>
      <c r="FED228" s="9"/>
      <c r="FEE228" s="4"/>
      <c r="FEF228" s="9"/>
      <c r="FEG228" s="4"/>
      <c r="FEH228" s="9"/>
      <c r="FEI228" s="4"/>
      <c r="FEJ228" s="9"/>
      <c r="FEK228" s="4"/>
      <c r="FEL228" s="9"/>
      <c r="FEM228" s="4"/>
      <c r="FEN228" s="9"/>
      <c r="FEO228" s="4"/>
      <c r="FEP228" s="9"/>
      <c r="FEQ228" s="4"/>
      <c r="FER228" s="9"/>
      <c r="FES228" s="4"/>
      <c r="FET228" s="9"/>
      <c r="FEU228" s="4"/>
      <c r="FEV228" s="9"/>
      <c r="FEW228" s="4"/>
      <c r="FEX228" s="9"/>
      <c r="FEY228" s="4"/>
      <c r="FEZ228" s="9"/>
      <c r="FFA228" s="4"/>
      <c r="FFB228" s="9"/>
      <c r="FFC228" s="4"/>
      <c r="FFD228" s="9"/>
      <c r="FFE228" s="4"/>
      <c r="FFF228" s="9"/>
      <c r="FFG228" s="4"/>
      <c r="FFH228" s="9"/>
      <c r="FFI228" s="4"/>
      <c r="FFJ228" s="9"/>
      <c r="FFK228" s="4"/>
      <c r="FFL228" s="9"/>
      <c r="FFM228" s="4"/>
      <c r="FFN228" s="9"/>
      <c r="FFO228" s="4"/>
      <c r="FFP228" s="9"/>
      <c r="FFQ228" s="4"/>
      <c r="FFR228" s="9"/>
      <c r="FFS228" s="4"/>
      <c r="FFT228" s="9"/>
      <c r="FFU228" s="4"/>
      <c r="FFV228" s="9"/>
      <c r="FFW228" s="4"/>
      <c r="FFX228" s="9"/>
      <c r="FFY228" s="4"/>
      <c r="FFZ228" s="9"/>
      <c r="FGA228" s="4"/>
      <c r="FGB228" s="9"/>
      <c r="FGC228" s="4"/>
      <c r="FGD228" s="9"/>
      <c r="FGE228" s="4"/>
      <c r="FGF228" s="9"/>
      <c r="FGG228" s="4"/>
      <c r="FGH228" s="9"/>
      <c r="FGI228" s="4"/>
      <c r="FGJ228" s="9"/>
      <c r="FGK228" s="4"/>
      <c r="FGL228" s="9"/>
      <c r="FGM228" s="4"/>
      <c r="FGN228" s="9"/>
      <c r="FGO228" s="4"/>
      <c r="FGP228" s="9"/>
      <c r="FGQ228" s="4"/>
      <c r="FGR228" s="9"/>
      <c r="FGS228" s="4"/>
      <c r="FGT228" s="9"/>
      <c r="FGU228" s="4"/>
      <c r="FGV228" s="9"/>
      <c r="FGW228" s="4"/>
      <c r="FGX228" s="9"/>
      <c r="FGY228" s="4"/>
      <c r="FGZ228" s="9"/>
      <c r="FHA228" s="4"/>
      <c r="FHB228" s="9"/>
      <c r="FHC228" s="4"/>
      <c r="FHD228" s="9"/>
      <c r="FHE228" s="4"/>
      <c r="FHF228" s="9"/>
      <c r="FHG228" s="4"/>
      <c r="FHH228" s="9"/>
      <c r="FHI228" s="4"/>
      <c r="FHJ228" s="9"/>
      <c r="FHK228" s="4"/>
      <c r="FHL228" s="9"/>
      <c r="FHM228" s="4"/>
      <c r="FHN228" s="9"/>
      <c r="FHO228" s="4"/>
      <c r="FHP228" s="9"/>
      <c r="FHQ228" s="4"/>
      <c r="FHR228" s="9"/>
      <c r="FHS228" s="4"/>
      <c r="FHT228" s="9"/>
      <c r="FHU228" s="4"/>
      <c r="FHV228" s="9"/>
      <c r="FHW228" s="4"/>
      <c r="FHX228" s="9"/>
      <c r="FHY228" s="4"/>
      <c r="FHZ228" s="9"/>
      <c r="FIA228" s="4"/>
      <c r="FIB228" s="9"/>
      <c r="FIC228" s="4"/>
      <c r="FID228" s="9"/>
      <c r="FIE228" s="4"/>
      <c r="FIF228" s="9"/>
      <c r="FIG228" s="4"/>
      <c r="FIH228" s="9"/>
      <c r="FII228" s="4"/>
      <c r="FIJ228" s="9"/>
      <c r="FIK228" s="4"/>
      <c r="FIL228" s="9"/>
      <c r="FIM228" s="4"/>
      <c r="FIN228" s="9"/>
      <c r="FIO228" s="4"/>
      <c r="FIP228" s="9"/>
      <c r="FIQ228" s="4"/>
      <c r="FIR228" s="9"/>
      <c r="FIS228" s="4"/>
      <c r="FIT228" s="9"/>
      <c r="FIU228" s="4"/>
      <c r="FIV228" s="9"/>
      <c r="FIW228" s="4"/>
      <c r="FIX228" s="9"/>
      <c r="FIY228" s="4"/>
      <c r="FIZ228" s="9"/>
      <c r="FJA228" s="4"/>
      <c r="FJB228" s="9"/>
      <c r="FJC228" s="4"/>
      <c r="FJD228" s="9"/>
      <c r="FJE228" s="4"/>
      <c r="FJF228" s="9"/>
      <c r="FJG228" s="4"/>
      <c r="FJH228" s="9"/>
      <c r="FJI228" s="4"/>
      <c r="FJJ228" s="9"/>
      <c r="FJK228" s="4"/>
      <c r="FJL228" s="9"/>
      <c r="FJM228" s="4"/>
      <c r="FJN228" s="9"/>
      <c r="FJO228" s="4"/>
      <c r="FJP228" s="9"/>
      <c r="FJQ228" s="4"/>
      <c r="FJR228" s="9"/>
      <c r="FJS228" s="4"/>
      <c r="FJT228" s="9"/>
      <c r="FJU228" s="4"/>
      <c r="FJV228" s="9"/>
      <c r="FJW228" s="4"/>
      <c r="FJX228" s="9"/>
      <c r="FJY228" s="4"/>
      <c r="FJZ228" s="9"/>
      <c r="FKA228" s="4"/>
      <c r="FKB228" s="9"/>
      <c r="FKC228" s="4"/>
      <c r="FKD228" s="9"/>
      <c r="FKE228" s="4"/>
      <c r="FKF228" s="9"/>
      <c r="FKG228" s="4"/>
      <c r="FKH228" s="9"/>
      <c r="FKI228" s="4"/>
      <c r="FKJ228" s="9"/>
      <c r="FKK228" s="4"/>
      <c r="FKL228" s="9"/>
      <c r="FKM228" s="4"/>
      <c r="FKN228" s="9"/>
      <c r="FKO228" s="4"/>
      <c r="FKP228" s="9"/>
      <c r="FKQ228" s="4"/>
      <c r="FKR228" s="9"/>
      <c r="FKS228" s="4"/>
      <c r="FKT228" s="9"/>
      <c r="FKU228" s="4"/>
      <c r="FKV228" s="9"/>
      <c r="FKW228" s="4"/>
      <c r="FKX228" s="9"/>
      <c r="FKY228" s="4"/>
      <c r="FKZ228" s="9"/>
      <c r="FLA228" s="4"/>
      <c r="FLB228" s="9"/>
      <c r="FLC228" s="4"/>
      <c r="FLD228" s="9"/>
      <c r="FLE228" s="4"/>
      <c r="FLF228" s="9"/>
      <c r="FLG228" s="4"/>
      <c r="FLH228" s="9"/>
      <c r="FLI228" s="4"/>
      <c r="FLJ228" s="9"/>
      <c r="FLK228" s="4"/>
      <c r="FLL228" s="9"/>
      <c r="FLM228" s="4"/>
      <c r="FLN228" s="9"/>
      <c r="FLO228" s="4"/>
      <c r="FLP228" s="9"/>
      <c r="FLQ228" s="4"/>
      <c r="FLR228" s="9"/>
      <c r="FLS228" s="4"/>
      <c r="FLT228" s="9"/>
      <c r="FLU228" s="4"/>
      <c r="FLV228" s="9"/>
      <c r="FLW228" s="4"/>
      <c r="FLX228" s="9"/>
      <c r="FLY228" s="4"/>
      <c r="FLZ228" s="9"/>
      <c r="FMA228" s="4"/>
      <c r="FMB228" s="9"/>
      <c r="FMC228" s="4"/>
      <c r="FMD228" s="9"/>
      <c r="FME228" s="4"/>
      <c r="FMF228" s="9"/>
      <c r="FMG228" s="4"/>
      <c r="FMH228" s="9"/>
      <c r="FMI228" s="4"/>
      <c r="FMJ228" s="9"/>
      <c r="FMK228" s="4"/>
      <c r="FML228" s="9"/>
      <c r="FMM228" s="4"/>
      <c r="FMN228" s="9"/>
      <c r="FMO228" s="4"/>
      <c r="FMP228" s="9"/>
      <c r="FMQ228" s="4"/>
      <c r="FMR228" s="9"/>
      <c r="FMS228" s="4"/>
      <c r="FMT228" s="9"/>
      <c r="FMU228" s="4"/>
      <c r="FMV228" s="9"/>
      <c r="FMW228" s="4"/>
      <c r="FMX228" s="9"/>
      <c r="FMY228" s="4"/>
      <c r="FMZ228" s="9"/>
      <c r="FNA228" s="4"/>
      <c r="FNB228" s="9"/>
      <c r="FNC228" s="4"/>
      <c r="FND228" s="9"/>
      <c r="FNE228" s="4"/>
      <c r="FNF228" s="9"/>
      <c r="FNG228" s="4"/>
      <c r="FNH228" s="9"/>
      <c r="FNI228" s="4"/>
      <c r="FNJ228" s="9"/>
      <c r="FNK228" s="4"/>
      <c r="FNL228" s="9"/>
      <c r="FNM228" s="4"/>
      <c r="FNN228" s="9"/>
      <c r="FNO228" s="4"/>
      <c r="FNP228" s="9"/>
      <c r="FNQ228" s="4"/>
      <c r="FNR228" s="9"/>
      <c r="FNS228" s="4"/>
      <c r="FNT228" s="9"/>
      <c r="FNU228" s="4"/>
      <c r="FNV228" s="9"/>
      <c r="FNW228" s="4"/>
      <c r="FNX228" s="9"/>
      <c r="FNY228" s="4"/>
      <c r="FNZ228" s="9"/>
      <c r="FOA228" s="4"/>
      <c r="FOB228" s="9"/>
      <c r="FOC228" s="4"/>
      <c r="FOD228" s="9"/>
      <c r="FOE228" s="4"/>
      <c r="FOF228" s="9"/>
      <c r="FOG228" s="4"/>
      <c r="FOH228" s="9"/>
      <c r="FOI228" s="4"/>
      <c r="FOJ228" s="9"/>
      <c r="FOK228" s="4"/>
      <c r="FOL228" s="9"/>
      <c r="FOM228" s="4"/>
      <c r="FON228" s="9"/>
      <c r="FOO228" s="4"/>
      <c r="FOP228" s="9"/>
      <c r="FOQ228" s="4"/>
      <c r="FOR228" s="9"/>
      <c r="FOS228" s="4"/>
      <c r="FOT228" s="9"/>
      <c r="FOU228" s="4"/>
      <c r="FOV228" s="9"/>
      <c r="FOW228" s="4"/>
      <c r="FOX228" s="9"/>
      <c r="FOY228" s="4"/>
      <c r="FOZ228" s="9"/>
      <c r="FPA228" s="4"/>
      <c r="FPB228" s="9"/>
      <c r="FPC228" s="4"/>
      <c r="FPD228" s="9"/>
      <c r="FPE228" s="4"/>
      <c r="FPF228" s="9"/>
      <c r="FPG228" s="4"/>
      <c r="FPH228" s="9"/>
      <c r="FPI228" s="4"/>
      <c r="FPJ228" s="9"/>
      <c r="FPK228" s="4"/>
      <c r="FPL228" s="9"/>
      <c r="FPM228" s="4"/>
      <c r="FPN228" s="9"/>
      <c r="FPO228" s="4"/>
      <c r="FPP228" s="9"/>
      <c r="FPQ228" s="4"/>
      <c r="FPR228" s="9"/>
      <c r="FPS228" s="4"/>
      <c r="FPT228" s="9"/>
      <c r="FPU228" s="4"/>
      <c r="FPV228" s="9"/>
      <c r="FPW228" s="4"/>
      <c r="FPX228" s="9"/>
      <c r="FPY228" s="4"/>
      <c r="FPZ228" s="9"/>
      <c r="FQA228" s="4"/>
      <c r="FQB228" s="9"/>
      <c r="FQC228" s="4"/>
      <c r="FQD228" s="9"/>
      <c r="FQE228" s="4"/>
      <c r="FQF228" s="9"/>
      <c r="FQG228" s="4"/>
      <c r="FQH228" s="9"/>
      <c r="FQI228" s="4"/>
      <c r="FQJ228" s="9"/>
      <c r="FQK228" s="4"/>
      <c r="FQL228" s="9"/>
      <c r="FQM228" s="4"/>
      <c r="FQN228" s="9"/>
      <c r="FQO228" s="4"/>
      <c r="FQP228" s="9"/>
      <c r="FQQ228" s="4"/>
      <c r="FQR228" s="9"/>
      <c r="FQS228" s="4"/>
      <c r="FQT228" s="9"/>
      <c r="FQU228" s="4"/>
      <c r="FQV228" s="9"/>
      <c r="FQW228" s="4"/>
      <c r="FQX228" s="9"/>
      <c r="FQY228" s="4"/>
      <c r="FQZ228" s="9"/>
      <c r="FRA228" s="4"/>
      <c r="FRB228" s="9"/>
      <c r="FRC228" s="4"/>
      <c r="FRD228" s="9"/>
      <c r="FRE228" s="4"/>
      <c r="FRF228" s="9"/>
      <c r="FRG228" s="4"/>
      <c r="FRH228" s="9"/>
      <c r="FRI228" s="4"/>
      <c r="FRJ228" s="9"/>
      <c r="FRK228" s="4"/>
      <c r="FRL228" s="9"/>
      <c r="FRM228" s="4"/>
      <c r="FRN228" s="9"/>
      <c r="FRO228" s="4"/>
      <c r="FRP228" s="9"/>
      <c r="FRQ228" s="4"/>
      <c r="FRR228" s="9"/>
      <c r="FRS228" s="4"/>
      <c r="FRT228" s="9"/>
      <c r="FRU228" s="4"/>
      <c r="FRV228" s="9"/>
      <c r="FRW228" s="4"/>
      <c r="FRX228" s="9"/>
      <c r="FRY228" s="4"/>
      <c r="FRZ228" s="9"/>
      <c r="FSA228" s="4"/>
      <c r="FSB228" s="9"/>
      <c r="FSC228" s="4"/>
      <c r="FSD228" s="9"/>
      <c r="FSE228" s="4"/>
      <c r="FSF228" s="9"/>
      <c r="FSG228" s="4"/>
      <c r="FSH228" s="9"/>
      <c r="FSI228" s="4"/>
      <c r="FSJ228" s="9"/>
      <c r="FSK228" s="4"/>
      <c r="FSL228" s="9"/>
      <c r="FSM228" s="4"/>
      <c r="FSN228" s="9"/>
      <c r="FSO228" s="4"/>
      <c r="FSP228" s="9"/>
      <c r="FSQ228" s="4"/>
      <c r="FSR228" s="9"/>
      <c r="FSS228" s="4"/>
      <c r="FST228" s="9"/>
      <c r="FSU228" s="4"/>
      <c r="FSV228" s="9"/>
      <c r="FSW228" s="4"/>
      <c r="FSX228" s="9"/>
      <c r="FSY228" s="4"/>
      <c r="FSZ228" s="9"/>
      <c r="FTA228" s="4"/>
      <c r="FTB228" s="9"/>
      <c r="FTC228" s="4"/>
      <c r="FTD228" s="9"/>
      <c r="FTE228" s="4"/>
      <c r="FTF228" s="9"/>
      <c r="FTG228" s="4"/>
      <c r="FTH228" s="9"/>
      <c r="FTI228" s="4"/>
      <c r="FTJ228" s="9"/>
      <c r="FTK228" s="4"/>
      <c r="FTL228" s="9"/>
      <c r="FTM228" s="4"/>
      <c r="FTN228" s="9"/>
      <c r="FTO228" s="4"/>
      <c r="FTP228" s="9"/>
      <c r="FTQ228" s="4"/>
      <c r="FTR228" s="9"/>
      <c r="FTS228" s="4"/>
      <c r="FTT228" s="9"/>
      <c r="FTU228" s="4"/>
      <c r="FTV228" s="9"/>
      <c r="FTW228" s="4"/>
      <c r="FTX228" s="9"/>
      <c r="FTY228" s="4"/>
      <c r="FTZ228" s="9"/>
      <c r="FUA228" s="4"/>
      <c r="FUB228" s="9"/>
      <c r="FUC228" s="4"/>
      <c r="FUD228" s="9"/>
      <c r="FUE228" s="4"/>
      <c r="FUF228" s="9"/>
      <c r="FUG228" s="4"/>
      <c r="FUH228" s="9"/>
      <c r="FUI228" s="4"/>
      <c r="FUJ228" s="9"/>
      <c r="FUK228" s="4"/>
      <c r="FUL228" s="9"/>
      <c r="FUM228" s="4"/>
      <c r="FUN228" s="9"/>
      <c r="FUO228" s="4"/>
      <c r="FUP228" s="9"/>
      <c r="FUQ228" s="4"/>
      <c r="FUR228" s="9"/>
      <c r="FUS228" s="4"/>
      <c r="FUT228" s="9"/>
      <c r="FUU228" s="4"/>
      <c r="FUV228" s="9"/>
      <c r="FUW228" s="4"/>
      <c r="FUX228" s="9"/>
      <c r="FUY228" s="4"/>
      <c r="FUZ228" s="9"/>
      <c r="FVA228" s="4"/>
      <c r="FVB228" s="9"/>
      <c r="FVC228" s="4"/>
      <c r="FVD228" s="9"/>
      <c r="FVE228" s="4"/>
      <c r="FVF228" s="9"/>
      <c r="FVG228" s="4"/>
      <c r="FVH228" s="9"/>
      <c r="FVI228" s="4"/>
      <c r="FVJ228" s="9"/>
      <c r="FVK228" s="4"/>
      <c r="FVL228" s="9"/>
      <c r="FVM228" s="4"/>
      <c r="FVN228" s="9"/>
      <c r="FVO228" s="4"/>
      <c r="FVP228" s="9"/>
      <c r="FVQ228" s="4"/>
      <c r="FVR228" s="9"/>
      <c r="FVS228" s="4"/>
      <c r="FVT228" s="9"/>
      <c r="FVU228" s="4"/>
      <c r="FVV228" s="9"/>
      <c r="FVW228" s="4"/>
      <c r="FVX228" s="9"/>
      <c r="FVY228" s="4"/>
      <c r="FVZ228" s="9"/>
      <c r="FWA228" s="4"/>
      <c r="FWB228" s="9"/>
      <c r="FWC228" s="4"/>
      <c r="FWD228" s="9"/>
      <c r="FWE228" s="4"/>
      <c r="FWF228" s="9"/>
      <c r="FWG228" s="4"/>
      <c r="FWH228" s="9"/>
      <c r="FWI228" s="4"/>
      <c r="FWJ228" s="9"/>
      <c r="FWK228" s="4"/>
      <c r="FWL228" s="9"/>
      <c r="FWM228" s="4"/>
      <c r="FWN228" s="9"/>
      <c r="FWO228" s="4"/>
      <c r="FWP228" s="9"/>
      <c r="FWQ228" s="4"/>
      <c r="FWR228" s="9"/>
      <c r="FWS228" s="4"/>
      <c r="FWT228" s="9"/>
      <c r="FWU228" s="4"/>
      <c r="FWV228" s="9"/>
      <c r="FWW228" s="4"/>
      <c r="FWX228" s="9"/>
      <c r="FWY228" s="4"/>
      <c r="FWZ228" s="9"/>
      <c r="FXA228" s="4"/>
      <c r="FXB228" s="9"/>
      <c r="FXC228" s="4"/>
      <c r="FXD228" s="9"/>
      <c r="FXE228" s="4"/>
      <c r="FXF228" s="9"/>
      <c r="FXG228" s="4"/>
      <c r="FXH228" s="9"/>
      <c r="FXI228" s="4"/>
      <c r="FXJ228" s="9"/>
      <c r="FXK228" s="4"/>
      <c r="FXL228" s="9"/>
      <c r="FXM228" s="4"/>
      <c r="FXN228" s="9"/>
      <c r="FXO228" s="4"/>
      <c r="FXP228" s="9"/>
      <c r="FXQ228" s="4"/>
      <c r="FXR228" s="9"/>
      <c r="FXS228" s="4"/>
      <c r="FXT228" s="9"/>
      <c r="FXU228" s="4"/>
      <c r="FXV228" s="9"/>
      <c r="FXW228" s="4"/>
      <c r="FXX228" s="9"/>
      <c r="FXY228" s="4"/>
      <c r="FXZ228" s="9"/>
      <c r="FYA228" s="4"/>
      <c r="FYB228" s="9"/>
      <c r="FYC228" s="4"/>
      <c r="FYD228" s="9"/>
      <c r="FYE228" s="4"/>
      <c r="FYF228" s="9"/>
      <c r="FYG228" s="4"/>
      <c r="FYH228" s="9"/>
      <c r="FYI228" s="4"/>
      <c r="FYJ228" s="9"/>
      <c r="FYK228" s="4"/>
      <c r="FYL228" s="9"/>
      <c r="FYM228" s="4"/>
      <c r="FYN228" s="9"/>
      <c r="FYO228" s="4"/>
      <c r="FYP228" s="9"/>
      <c r="FYQ228" s="4"/>
      <c r="FYR228" s="9"/>
      <c r="FYS228" s="4"/>
      <c r="FYT228" s="9"/>
      <c r="FYU228" s="4"/>
      <c r="FYV228" s="9"/>
      <c r="FYW228" s="4"/>
      <c r="FYX228" s="9"/>
      <c r="FYY228" s="4"/>
      <c r="FYZ228" s="9"/>
      <c r="FZA228" s="4"/>
      <c r="FZB228" s="9"/>
      <c r="FZC228" s="4"/>
      <c r="FZD228" s="9"/>
      <c r="FZE228" s="4"/>
      <c r="FZF228" s="9"/>
      <c r="FZG228" s="4"/>
      <c r="FZH228" s="9"/>
      <c r="FZI228" s="4"/>
      <c r="FZJ228" s="9"/>
      <c r="FZK228" s="4"/>
      <c r="FZL228" s="9"/>
      <c r="FZM228" s="4"/>
      <c r="FZN228" s="9"/>
      <c r="FZO228" s="4"/>
      <c r="FZP228" s="9"/>
      <c r="FZQ228" s="4"/>
      <c r="FZR228" s="9"/>
      <c r="FZS228" s="4"/>
      <c r="FZT228" s="9"/>
      <c r="FZU228" s="4"/>
      <c r="FZV228" s="9"/>
      <c r="FZW228" s="4"/>
      <c r="FZX228" s="9"/>
      <c r="FZY228" s="4"/>
      <c r="FZZ228" s="9"/>
      <c r="GAA228" s="4"/>
      <c r="GAB228" s="9"/>
      <c r="GAC228" s="4"/>
      <c r="GAD228" s="9"/>
      <c r="GAE228" s="4"/>
      <c r="GAF228" s="9"/>
      <c r="GAG228" s="4"/>
      <c r="GAH228" s="9"/>
      <c r="GAI228" s="4"/>
      <c r="GAJ228" s="9"/>
      <c r="GAK228" s="4"/>
      <c r="GAL228" s="9"/>
      <c r="GAM228" s="4"/>
      <c r="GAN228" s="9"/>
      <c r="GAO228" s="4"/>
      <c r="GAP228" s="9"/>
      <c r="GAQ228" s="4"/>
      <c r="GAR228" s="9"/>
      <c r="GAS228" s="4"/>
      <c r="GAT228" s="9"/>
      <c r="GAU228" s="4"/>
      <c r="GAV228" s="9"/>
      <c r="GAW228" s="4"/>
      <c r="GAX228" s="9"/>
      <c r="GAY228" s="4"/>
      <c r="GAZ228" s="9"/>
      <c r="GBA228" s="4"/>
      <c r="GBB228" s="9"/>
      <c r="GBC228" s="4"/>
      <c r="GBD228" s="9"/>
      <c r="GBE228" s="4"/>
      <c r="GBF228" s="9"/>
      <c r="GBG228" s="4"/>
      <c r="GBH228" s="9"/>
      <c r="GBI228" s="4"/>
      <c r="GBJ228" s="9"/>
      <c r="GBK228" s="4"/>
      <c r="GBL228" s="9"/>
      <c r="GBM228" s="4"/>
      <c r="GBN228" s="9"/>
      <c r="GBO228" s="4"/>
      <c r="GBP228" s="9"/>
      <c r="GBQ228" s="4"/>
      <c r="GBR228" s="9"/>
      <c r="GBS228" s="4"/>
      <c r="GBT228" s="9"/>
      <c r="GBU228" s="4"/>
      <c r="GBV228" s="9"/>
      <c r="GBW228" s="4"/>
      <c r="GBX228" s="9"/>
      <c r="GBY228" s="4"/>
      <c r="GBZ228" s="9"/>
      <c r="GCA228" s="4"/>
      <c r="GCB228" s="9"/>
      <c r="GCC228" s="4"/>
      <c r="GCD228" s="9"/>
      <c r="GCE228" s="4"/>
      <c r="GCF228" s="9"/>
      <c r="GCG228" s="4"/>
      <c r="GCH228" s="9"/>
      <c r="GCI228" s="4"/>
      <c r="GCJ228" s="9"/>
      <c r="GCK228" s="4"/>
      <c r="GCL228" s="9"/>
      <c r="GCM228" s="4"/>
      <c r="GCN228" s="9"/>
      <c r="GCO228" s="4"/>
      <c r="GCP228" s="9"/>
      <c r="GCQ228" s="4"/>
      <c r="GCR228" s="9"/>
      <c r="GCS228" s="4"/>
      <c r="GCT228" s="9"/>
      <c r="GCU228" s="4"/>
      <c r="GCV228" s="9"/>
      <c r="GCW228" s="4"/>
      <c r="GCX228" s="9"/>
      <c r="GCY228" s="4"/>
      <c r="GCZ228" s="9"/>
      <c r="GDA228" s="4"/>
      <c r="GDB228" s="9"/>
      <c r="GDC228" s="4"/>
      <c r="GDD228" s="9"/>
      <c r="GDE228" s="4"/>
      <c r="GDF228" s="9"/>
      <c r="GDG228" s="4"/>
      <c r="GDH228" s="9"/>
      <c r="GDI228" s="4"/>
      <c r="GDJ228" s="9"/>
      <c r="GDK228" s="4"/>
      <c r="GDL228" s="9"/>
      <c r="GDM228" s="4"/>
      <c r="GDN228" s="9"/>
      <c r="GDO228" s="4"/>
      <c r="GDP228" s="9"/>
      <c r="GDQ228" s="4"/>
      <c r="GDR228" s="9"/>
      <c r="GDS228" s="4"/>
      <c r="GDT228" s="9"/>
      <c r="GDU228" s="4"/>
      <c r="GDV228" s="9"/>
      <c r="GDW228" s="4"/>
      <c r="GDX228" s="9"/>
      <c r="GDY228" s="4"/>
      <c r="GDZ228" s="9"/>
      <c r="GEA228" s="4"/>
      <c r="GEB228" s="9"/>
      <c r="GEC228" s="4"/>
      <c r="GED228" s="9"/>
      <c r="GEE228" s="4"/>
      <c r="GEF228" s="9"/>
      <c r="GEG228" s="4"/>
      <c r="GEH228" s="9"/>
      <c r="GEI228" s="4"/>
      <c r="GEJ228" s="9"/>
      <c r="GEK228" s="4"/>
      <c r="GEL228" s="9"/>
      <c r="GEM228" s="4"/>
      <c r="GEN228" s="9"/>
      <c r="GEO228" s="4"/>
      <c r="GEP228" s="9"/>
      <c r="GEQ228" s="4"/>
      <c r="GER228" s="9"/>
      <c r="GES228" s="4"/>
      <c r="GET228" s="9"/>
      <c r="GEU228" s="4"/>
      <c r="GEV228" s="9"/>
      <c r="GEW228" s="4"/>
      <c r="GEX228" s="9"/>
      <c r="GEY228" s="4"/>
      <c r="GEZ228" s="9"/>
      <c r="GFA228" s="4"/>
      <c r="GFB228" s="9"/>
      <c r="GFC228" s="4"/>
      <c r="GFD228" s="9"/>
      <c r="GFE228" s="4"/>
      <c r="GFF228" s="9"/>
      <c r="GFG228" s="4"/>
      <c r="GFH228" s="9"/>
      <c r="GFI228" s="4"/>
      <c r="GFJ228" s="9"/>
      <c r="GFK228" s="4"/>
      <c r="GFL228" s="9"/>
      <c r="GFM228" s="4"/>
      <c r="GFN228" s="9"/>
      <c r="GFO228" s="4"/>
      <c r="GFP228" s="9"/>
      <c r="GFQ228" s="4"/>
      <c r="GFR228" s="9"/>
      <c r="GFS228" s="4"/>
      <c r="GFT228" s="9"/>
      <c r="GFU228" s="4"/>
      <c r="GFV228" s="9"/>
      <c r="GFW228" s="4"/>
      <c r="GFX228" s="9"/>
      <c r="GFY228" s="4"/>
      <c r="GFZ228" s="9"/>
      <c r="GGA228" s="4"/>
      <c r="GGB228" s="9"/>
      <c r="GGC228" s="4"/>
      <c r="GGD228" s="9"/>
      <c r="GGE228" s="4"/>
      <c r="GGF228" s="9"/>
      <c r="GGG228" s="4"/>
      <c r="GGH228" s="9"/>
      <c r="GGI228" s="4"/>
      <c r="GGJ228" s="9"/>
      <c r="GGK228" s="4"/>
      <c r="GGL228" s="9"/>
      <c r="GGM228" s="4"/>
      <c r="GGN228" s="9"/>
      <c r="GGO228" s="4"/>
      <c r="GGP228" s="9"/>
      <c r="GGQ228" s="4"/>
      <c r="GGR228" s="9"/>
      <c r="GGS228" s="4"/>
      <c r="GGT228" s="9"/>
      <c r="GGU228" s="4"/>
      <c r="GGV228" s="9"/>
      <c r="GGW228" s="4"/>
      <c r="GGX228" s="9"/>
      <c r="GGY228" s="4"/>
      <c r="GGZ228" s="9"/>
      <c r="GHA228" s="4"/>
      <c r="GHB228" s="9"/>
      <c r="GHC228" s="4"/>
      <c r="GHD228" s="9"/>
      <c r="GHE228" s="4"/>
      <c r="GHF228" s="9"/>
      <c r="GHG228" s="4"/>
      <c r="GHH228" s="9"/>
      <c r="GHI228" s="4"/>
      <c r="GHJ228" s="9"/>
      <c r="GHK228" s="4"/>
      <c r="GHL228" s="9"/>
      <c r="GHM228" s="4"/>
      <c r="GHN228" s="9"/>
      <c r="GHO228" s="4"/>
      <c r="GHP228" s="9"/>
      <c r="GHQ228" s="4"/>
      <c r="GHR228" s="9"/>
      <c r="GHS228" s="4"/>
      <c r="GHT228" s="9"/>
      <c r="GHU228" s="4"/>
      <c r="GHV228" s="9"/>
      <c r="GHW228" s="4"/>
      <c r="GHX228" s="9"/>
      <c r="GHY228" s="4"/>
      <c r="GHZ228" s="9"/>
      <c r="GIA228" s="4"/>
      <c r="GIB228" s="9"/>
      <c r="GIC228" s="4"/>
      <c r="GID228" s="9"/>
      <c r="GIE228" s="4"/>
      <c r="GIF228" s="9"/>
      <c r="GIG228" s="4"/>
      <c r="GIH228" s="9"/>
      <c r="GII228" s="4"/>
      <c r="GIJ228" s="9"/>
      <c r="GIK228" s="4"/>
      <c r="GIL228" s="9"/>
      <c r="GIM228" s="4"/>
      <c r="GIN228" s="9"/>
      <c r="GIO228" s="4"/>
      <c r="GIP228" s="9"/>
      <c r="GIQ228" s="4"/>
      <c r="GIR228" s="9"/>
      <c r="GIS228" s="4"/>
      <c r="GIT228" s="9"/>
      <c r="GIU228" s="4"/>
      <c r="GIV228" s="9"/>
      <c r="GIW228" s="4"/>
      <c r="GIX228" s="9"/>
      <c r="GIY228" s="4"/>
      <c r="GIZ228" s="9"/>
      <c r="GJA228" s="4"/>
      <c r="GJB228" s="9"/>
      <c r="GJC228" s="4"/>
      <c r="GJD228" s="9"/>
      <c r="GJE228" s="4"/>
      <c r="GJF228" s="9"/>
      <c r="GJG228" s="4"/>
      <c r="GJH228" s="9"/>
      <c r="GJI228" s="4"/>
      <c r="GJJ228" s="9"/>
      <c r="GJK228" s="4"/>
      <c r="GJL228" s="9"/>
      <c r="GJM228" s="4"/>
      <c r="GJN228" s="9"/>
      <c r="GJO228" s="4"/>
      <c r="GJP228" s="9"/>
      <c r="GJQ228" s="4"/>
      <c r="GJR228" s="9"/>
      <c r="GJS228" s="4"/>
      <c r="GJT228" s="9"/>
      <c r="GJU228" s="4"/>
      <c r="GJV228" s="9"/>
      <c r="GJW228" s="4"/>
      <c r="GJX228" s="9"/>
      <c r="GJY228" s="4"/>
      <c r="GJZ228" s="9"/>
      <c r="GKA228" s="4"/>
      <c r="GKB228" s="9"/>
      <c r="GKC228" s="4"/>
      <c r="GKD228" s="9"/>
      <c r="GKE228" s="4"/>
      <c r="GKF228" s="9"/>
      <c r="GKG228" s="4"/>
      <c r="GKH228" s="9"/>
      <c r="GKI228" s="4"/>
      <c r="GKJ228" s="9"/>
      <c r="GKK228" s="4"/>
      <c r="GKL228" s="9"/>
      <c r="GKM228" s="4"/>
      <c r="GKN228" s="9"/>
      <c r="GKO228" s="4"/>
      <c r="GKP228" s="9"/>
      <c r="GKQ228" s="4"/>
      <c r="GKR228" s="9"/>
      <c r="GKS228" s="4"/>
      <c r="GKT228" s="9"/>
      <c r="GKU228" s="4"/>
      <c r="GKV228" s="9"/>
      <c r="GKW228" s="4"/>
      <c r="GKX228" s="9"/>
      <c r="GKY228" s="4"/>
      <c r="GKZ228" s="9"/>
      <c r="GLA228" s="4"/>
      <c r="GLB228" s="9"/>
      <c r="GLC228" s="4"/>
      <c r="GLD228" s="9"/>
      <c r="GLE228" s="4"/>
      <c r="GLF228" s="9"/>
      <c r="GLG228" s="4"/>
      <c r="GLH228" s="9"/>
      <c r="GLI228" s="4"/>
      <c r="GLJ228" s="9"/>
      <c r="GLK228" s="4"/>
      <c r="GLL228" s="9"/>
      <c r="GLM228" s="4"/>
      <c r="GLN228" s="9"/>
      <c r="GLO228" s="4"/>
      <c r="GLP228" s="9"/>
      <c r="GLQ228" s="4"/>
      <c r="GLR228" s="9"/>
      <c r="GLS228" s="4"/>
      <c r="GLT228" s="9"/>
      <c r="GLU228" s="4"/>
      <c r="GLV228" s="9"/>
      <c r="GLW228" s="4"/>
      <c r="GLX228" s="9"/>
      <c r="GLY228" s="4"/>
      <c r="GLZ228" s="9"/>
      <c r="GMA228" s="4"/>
      <c r="GMB228" s="9"/>
      <c r="GMC228" s="4"/>
      <c r="GMD228" s="9"/>
      <c r="GME228" s="4"/>
      <c r="GMF228" s="9"/>
      <c r="GMG228" s="4"/>
      <c r="GMH228" s="9"/>
      <c r="GMI228" s="4"/>
      <c r="GMJ228" s="9"/>
      <c r="GMK228" s="4"/>
      <c r="GML228" s="9"/>
      <c r="GMM228" s="4"/>
      <c r="GMN228" s="9"/>
      <c r="GMO228" s="4"/>
      <c r="GMP228" s="9"/>
      <c r="GMQ228" s="4"/>
      <c r="GMR228" s="9"/>
      <c r="GMS228" s="4"/>
      <c r="GMT228" s="9"/>
      <c r="GMU228" s="4"/>
      <c r="GMV228" s="9"/>
      <c r="GMW228" s="4"/>
      <c r="GMX228" s="9"/>
      <c r="GMY228" s="4"/>
      <c r="GMZ228" s="9"/>
      <c r="GNA228" s="4"/>
      <c r="GNB228" s="9"/>
      <c r="GNC228" s="4"/>
      <c r="GND228" s="9"/>
      <c r="GNE228" s="4"/>
      <c r="GNF228" s="9"/>
      <c r="GNG228" s="4"/>
      <c r="GNH228" s="9"/>
      <c r="GNI228" s="4"/>
      <c r="GNJ228" s="9"/>
      <c r="GNK228" s="4"/>
      <c r="GNL228" s="9"/>
      <c r="GNM228" s="4"/>
      <c r="GNN228" s="9"/>
      <c r="GNO228" s="4"/>
      <c r="GNP228" s="9"/>
      <c r="GNQ228" s="4"/>
      <c r="GNR228" s="9"/>
      <c r="GNS228" s="4"/>
      <c r="GNT228" s="9"/>
      <c r="GNU228" s="4"/>
      <c r="GNV228" s="9"/>
      <c r="GNW228" s="4"/>
      <c r="GNX228" s="9"/>
      <c r="GNY228" s="4"/>
      <c r="GNZ228" s="9"/>
      <c r="GOA228" s="4"/>
      <c r="GOB228" s="9"/>
      <c r="GOC228" s="4"/>
      <c r="GOD228" s="9"/>
      <c r="GOE228" s="4"/>
      <c r="GOF228" s="9"/>
      <c r="GOG228" s="4"/>
      <c r="GOH228" s="9"/>
      <c r="GOI228" s="4"/>
      <c r="GOJ228" s="9"/>
      <c r="GOK228" s="4"/>
      <c r="GOL228" s="9"/>
      <c r="GOM228" s="4"/>
      <c r="GON228" s="9"/>
      <c r="GOO228" s="4"/>
      <c r="GOP228" s="9"/>
      <c r="GOQ228" s="4"/>
      <c r="GOR228" s="9"/>
      <c r="GOS228" s="4"/>
      <c r="GOT228" s="9"/>
      <c r="GOU228" s="4"/>
      <c r="GOV228" s="9"/>
      <c r="GOW228" s="4"/>
      <c r="GOX228" s="9"/>
      <c r="GOY228" s="4"/>
      <c r="GOZ228" s="9"/>
      <c r="GPA228" s="4"/>
      <c r="GPB228" s="9"/>
      <c r="GPC228" s="4"/>
      <c r="GPD228" s="9"/>
      <c r="GPE228" s="4"/>
      <c r="GPF228" s="9"/>
      <c r="GPG228" s="4"/>
      <c r="GPH228" s="9"/>
      <c r="GPI228" s="4"/>
      <c r="GPJ228" s="9"/>
      <c r="GPK228" s="4"/>
      <c r="GPL228" s="9"/>
      <c r="GPM228" s="4"/>
      <c r="GPN228" s="9"/>
      <c r="GPO228" s="4"/>
      <c r="GPP228" s="9"/>
      <c r="GPQ228" s="4"/>
      <c r="GPR228" s="9"/>
      <c r="GPS228" s="4"/>
      <c r="GPT228" s="9"/>
      <c r="GPU228" s="4"/>
      <c r="GPV228" s="9"/>
      <c r="GPW228" s="4"/>
      <c r="GPX228" s="9"/>
      <c r="GPY228" s="4"/>
      <c r="GPZ228" s="9"/>
      <c r="GQA228" s="4"/>
      <c r="GQB228" s="9"/>
      <c r="GQC228" s="4"/>
      <c r="GQD228" s="9"/>
      <c r="GQE228" s="4"/>
      <c r="GQF228" s="9"/>
      <c r="GQG228" s="4"/>
      <c r="GQH228" s="9"/>
      <c r="GQI228" s="4"/>
      <c r="GQJ228" s="9"/>
      <c r="GQK228" s="4"/>
      <c r="GQL228" s="9"/>
      <c r="GQM228" s="4"/>
      <c r="GQN228" s="9"/>
      <c r="GQO228" s="4"/>
      <c r="GQP228" s="9"/>
      <c r="GQQ228" s="4"/>
      <c r="GQR228" s="9"/>
      <c r="GQS228" s="4"/>
      <c r="GQT228" s="9"/>
      <c r="GQU228" s="4"/>
      <c r="GQV228" s="9"/>
      <c r="GQW228" s="4"/>
      <c r="GQX228" s="9"/>
      <c r="GQY228" s="4"/>
      <c r="GQZ228" s="9"/>
      <c r="GRA228" s="4"/>
      <c r="GRB228" s="9"/>
      <c r="GRC228" s="4"/>
      <c r="GRD228" s="9"/>
      <c r="GRE228" s="4"/>
      <c r="GRF228" s="9"/>
      <c r="GRG228" s="4"/>
      <c r="GRH228" s="9"/>
      <c r="GRI228" s="4"/>
      <c r="GRJ228" s="9"/>
      <c r="GRK228" s="4"/>
      <c r="GRL228" s="9"/>
      <c r="GRM228" s="4"/>
      <c r="GRN228" s="9"/>
      <c r="GRO228" s="4"/>
      <c r="GRP228" s="9"/>
      <c r="GRQ228" s="4"/>
      <c r="GRR228" s="9"/>
      <c r="GRS228" s="4"/>
      <c r="GRT228" s="9"/>
      <c r="GRU228" s="4"/>
      <c r="GRV228" s="9"/>
      <c r="GRW228" s="4"/>
      <c r="GRX228" s="9"/>
      <c r="GRY228" s="4"/>
      <c r="GRZ228" s="9"/>
      <c r="GSA228" s="4"/>
      <c r="GSB228" s="9"/>
      <c r="GSC228" s="4"/>
      <c r="GSD228" s="9"/>
      <c r="GSE228" s="4"/>
      <c r="GSF228" s="9"/>
      <c r="GSG228" s="4"/>
      <c r="GSH228" s="9"/>
      <c r="GSI228" s="4"/>
      <c r="GSJ228" s="9"/>
      <c r="GSK228" s="4"/>
      <c r="GSL228" s="9"/>
      <c r="GSM228" s="4"/>
      <c r="GSN228" s="9"/>
      <c r="GSO228" s="4"/>
      <c r="GSP228" s="9"/>
      <c r="GSQ228" s="4"/>
      <c r="GSR228" s="9"/>
      <c r="GSS228" s="4"/>
      <c r="GST228" s="9"/>
      <c r="GSU228" s="4"/>
      <c r="GSV228" s="9"/>
      <c r="GSW228" s="4"/>
      <c r="GSX228" s="9"/>
      <c r="GSY228" s="4"/>
      <c r="GSZ228" s="9"/>
      <c r="GTA228" s="4"/>
      <c r="GTB228" s="9"/>
      <c r="GTC228" s="4"/>
      <c r="GTD228" s="9"/>
      <c r="GTE228" s="4"/>
      <c r="GTF228" s="9"/>
      <c r="GTG228" s="4"/>
      <c r="GTH228" s="9"/>
      <c r="GTI228" s="4"/>
      <c r="GTJ228" s="9"/>
      <c r="GTK228" s="4"/>
      <c r="GTL228" s="9"/>
      <c r="GTM228" s="4"/>
      <c r="GTN228" s="9"/>
      <c r="GTO228" s="4"/>
      <c r="GTP228" s="9"/>
      <c r="GTQ228" s="4"/>
      <c r="GTR228" s="9"/>
      <c r="GTS228" s="4"/>
      <c r="GTT228" s="9"/>
      <c r="GTU228" s="4"/>
      <c r="GTV228" s="9"/>
      <c r="GTW228" s="4"/>
      <c r="GTX228" s="9"/>
      <c r="GTY228" s="4"/>
      <c r="GTZ228" s="9"/>
      <c r="GUA228" s="4"/>
      <c r="GUB228" s="9"/>
      <c r="GUC228" s="4"/>
      <c r="GUD228" s="9"/>
      <c r="GUE228" s="4"/>
      <c r="GUF228" s="9"/>
      <c r="GUG228" s="4"/>
      <c r="GUH228" s="9"/>
      <c r="GUI228" s="4"/>
      <c r="GUJ228" s="9"/>
      <c r="GUK228" s="4"/>
      <c r="GUL228" s="9"/>
      <c r="GUM228" s="4"/>
      <c r="GUN228" s="9"/>
      <c r="GUO228" s="4"/>
      <c r="GUP228" s="9"/>
      <c r="GUQ228" s="4"/>
      <c r="GUR228" s="9"/>
      <c r="GUS228" s="4"/>
      <c r="GUT228" s="9"/>
      <c r="GUU228" s="4"/>
      <c r="GUV228" s="9"/>
      <c r="GUW228" s="4"/>
      <c r="GUX228" s="9"/>
      <c r="GUY228" s="4"/>
      <c r="GUZ228" s="9"/>
      <c r="GVA228" s="4"/>
      <c r="GVB228" s="9"/>
      <c r="GVC228" s="4"/>
      <c r="GVD228" s="9"/>
      <c r="GVE228" s="4"/>
      <c r="GVF228" s="9"/>
      <c r="GVG228" s="4"/>
      <c r="GVH228" s="9"/>
      <c r="GVI228" s="4"/>
      <c r="GVJ228" s="9"/>
      <c r="GVK228" s="4"/>
      <c r="GVL228" s="9"/>
      <c r="GVM228" s="4"/>
      <c r="GVN228" s="9"/>
      <c r="GVO228" s="4"/>
      <c r="GVP228" s="9"/>
      <c r="GVQ228" s="4"/>
      <c r="GVR228" s="9"/>
      <c r="GVS228" s="4"/>
      <c r="GVT228" s="9"/>
      <c r="GVU228" s="4"/>
      <c r="GVV228" s="9"/>
      <c r="GVW228" s="4"/>
      <c r="GVX228" s="9"/>
      <c r="GVY228" s="4"/>
      <c r="GVZ228" s="9"/>
      <c r="GWA228" s="4"/>
      <c r="GWB228" s="9"/>
      <c r="GWC228" s="4"/>
      <c r="GWD228" s="9"/>
      <c r="GWE228" s="4"/>
      <c r="GWF228" s="9"/>
      <c r="GWG228" s="4"/>
      <c r="GWH228" s="9"/>
      <c r="GWI228" s="4"/>
      <c r="GWJ228" s="9"/>
      <c r="GWK228" s="4"/>
      <c r="GWL228" s="9"/>
      <c r="GWM228" s="4"/>
      <c r="GWN228" s="9"/>
      <c r="GWO228" s="4"/>
      <c r="GWP228" s="9"/>
      <c r="GWQ228" s="4"/>
      <c r="GWR228" s="9"/>
      <c r="GWS228" s="4"/>
      <c r="GWT228" s="9"/>
      <c r="GWU228" s="4"/>
      <c r="GWV228" s="9"/>
      <c r="GWW228" s="4"/>
      <c r="GWX228" s="9"/>
      <c r="GWY228" s="4"/>
      <c r="GWZ228" s="9"/>
      <c r="GXA228" s="4"/>
      <c r="GXB228" s="9"/>
      <c r="GXC228" s="4"/>
      <c r="GXD228" s="9"/>
      <c r="GXE228" s="4"/>
      <c r="GXF228" s="9"/>
      <c r="GXG228" s="4"/>
      <c r="GXH228" s="9"/>
      <c r="GXI228" s="4"/>
      <c r="GXJ228" s="9"/>
      <c r="GXK228" s="4"/>
      <c r="GXL228" s="9"/>
      <c r="GXM228" s="4"/>
      <c r="GXN228" s="9"/>
      <c r="GXO228" s="4"/>
      <c r="GXP228" s="9"/>
      <c r="GXQ228" s="4"/>
      <c r="GXR228" s="9"/>
      <c r="GXS228" s="4"/>
      <c r="GXT228" s="9"/>
      <c r="GXU228" s="4"/>
      <c r="GXV228" s="9"/>
      <c r="GXW228" s="4"/>
      <c r="GXX228" s="9"/>
      <c r="GXY228" s="4"/>
      <c r="GXZ228" s="9"/>
      <c r="GYA228" s="4"/>
      <c r="GYB228" s="9"/>
      <c r="GYC228" s="4"/>
      <c r="GYD228" s="9"/>
      <c r="GYE228" s="4"/>
      <c r="GYF228" s="9"/>
      <c r="GYG228" s="4"/>
      <c r="GYH228" s="9"/>
      <c r="GYI228" s="4"/>
      <c r="GYJ228" s="9"/>
      <c r="GYK228" s="4"/>
      <c r="GYL228" s="9"/>
      <c r="GYM228" s="4"/>
      <c r="GYN228" s="9"/>
      <c r="GYO228" s="4"/>
      <c r="GYP228" s="9"/>
      <c r="GYQ228" s="4"/>
      <c r="GYR228" s="9"/>
      <c r="GYS228" s="4"/>
      <c r="GYT228" s="9"/>
      <c r="GYU228" s="4"/>
      <c r="GYV228" s="9"/>
      <c r="GYW228" s="4"/>
      <c r="GYX228" s="9"/>
      <c r="GYY228" s="4"/>
      <c r="GYZ228" s="9"/>
      <c r="GZA228" s="4"/>
      <c r="GZB228" s="9"/>
      <c r="GZC228" s="4"/>
      <c r="GZD228" s="9"/>
      <c r="GZE228" s="4"/>
      <c r="GZF228" s="9"/>
      <c r="GZG228" s="4"/>
      <c r="GZH228" s="9"/>
      <c r="GZI228" s="4"/>
      <c r="GZJ228" s="9"/>
      <c r="GZK228" s="4"/>
      <c r="GZL228" s="9"/>
      <c r="GZM228" s="4"/>
      <c r="GZN228" s="9"/>
      <c r="GZO228" s="4"/>
      <c r="GZP228" s="9"/>
      <c r="GZQ228" s="4"/>
      <c r="GZR228" s="9"/>
      <c r="GZS228" s="4"/>
      <c r="GZT228" s="9"/>
      <c r="GZU228" s="4"/>
      <c r="GZV228" s="9"/>
      <c r="GZW228" s="4"/>
      <c r="GZX228" s="9"/>
      <c r="GZY228" s="4"/>
      <c r="GZZ228" s="9"/>
      <c r="HAA228" s="4"/>
      <c r="HAB228" s="9"/>
      <c r="HAC228" s="4"/>
      <c r="HAD228" s="9"/>
      <c r="HAE228" s="4"/>
      <c r="HAF228" s="9"/>
      <c r="HAG228" s="4"/>
      <c r="HAH228" s="9"/>
      <c r="HAI228" s="4"/>
      <c r="HAJ228" s="9"/>
      <c r="HAK228" s="4"/>
      <c r="HAL228" s="9"/>
      <c r="HAM228" s="4"/>
      <c r="HAN228" s="9"/>
      <c r="HAO228" s="4"/>
      <c r="HAP228" s="9"/>
      <c r="HAQ228" s="4"/>
      <c r="HAR228" s="9"/>
      <c r="HAS228" s="4"/>
      <c r="HAT228" s="9"/>
      <c r="HAU228" s="4"/>
      <c r="HAV228" s="9"/>
      <c r="HAW228" s="4"/>
      <c r="HAX228" s="9"/>
      <c r="HAY228" s="4"/>
      <c r="HAZ228" s="9"/>
      <c r="HBA228" s="4"/>
      <c r="HBB228" s="9"/>
      <c r="HBC228" s="4"/>
      <c r="HBD228" s="9"/>
      <c r="HBE228" s="4"/>
      <c r="HBF228" s="9"/>
      <c r="HBG228" s="4"/>
      <c r="HBH228" s="9"/>
      <c r="HBI228" s="4"/>
      <c r="HBJ228" s="9"/>
      <c r="HBK228" s="4"/>
      <c r="HBL228" s="9"/>
      <c r="HBM228" s="4"/>
      <c r="HBN228" s="9"/>
      <c r="HBO228" s="4"/>
      <c r="HBP228" s="9"/>
      <c r="HBQ228" s="4"/>
      <c r="HBR228" s="9"/>
      <c r="HBS228" s="4"/>
      <c r="HBT228" s="9"/>
      <c r="HBU228" s="4"/>
      <c r="HBV228" s="9"/>
      <c r="HBW228" s="4"/>
      <c r="HBX228" s="9"/>
      <c r="HBY228" s="4"/>
      <c r="HBZ228" s="9"/>
      <c r="HCA228" s="4"/>
      <c r="HCB228" s="9"/>
      <c r="HCC228" s="4"/>
      <c r="HCD228" s="9"/>
      <c r="HCE228" s="4"/>
      <c r="HCF228" s="9"/>
      <c r="HCG228" s="4"/>
      <c r="HCH228" s="9"/>
      <c r="HCI228" s="4"/>
      <c r="HCJ228" s="9"/>
      <c r="HCK228" s="4"/>
      <c r="HCL228" s="9"/>
      <c r="HCM228" s="4"/>
      <c r="HCN228" s="9"/>
      <c r="HCO228" s="4"/>
      <c r="HCP228" s="9"/>
      <c r="HCQ228" s="4"/>
      <c r="HCR228" s="9"/>
      <c r="HCS228" s="4"/>
      <c r="HCT228" s="9"/>
      <c r="HCU228" s="4"/>
      <c r="HCV228" s="9"/>
      <c r="HCW228" s="4"/>
      <c r="HCX228" s="9"/>
      <c r="HCY228" s="4"/>
      <c r="HCZ228" s="9"/>
      <c r="HDA228" s="4"/>
      <c r="HDB228" s="9"/>
      <c r="HDC228" s="4"/>
      <c r="HDD228" s="9"/>
      <c r="HDE228" s="4"/>
      <c r="HDF228" s="9"/>
      <c r="HDG228" s="4"/>
      <c r="HDH228" s="9"/>
      <c r="HDI228" s="4"/>
      <c r="HDJ228" s="9"/>
      <c r="HDK228" s="4"/>
      <c r="HDL228" s="9"/>
      <c r="HDM228" s="4"/>
      <c r="HDN228" s="9"/>
      <c r="HDO228" s="4"/>
      <c r="HDP228" s="9"/>
      <c r="HDQ228" s="4"/>
      <c r="HDR228" s="9"/>
      <c r="HDS228" s="4"/>
      <c r="HDT228" s="9"/>
      <c r="HDU228" s="4"/>
      <c r="HDV228" s="9"/>
      <c r="HDW228" s="4"/>
      <c r="HDX228" s="9"/>
      <c r="HDY228" s="4"/>
      <c r="HDZ228" s="9"/>
      <c r="HEA228" s="4"/>
      <c r="HEB228" s="9"/>
      <c r="HEC228" s="4"/>
      <c r="HED228" s="9"/>
      <c r="HEE228" s="4"/>
      <c r="HEF228" s="9"/>
      <c r="HEG228" s="4"/>
      <c r="HEH228" s="9"/>
      <c r="HEI228" s="4"/>
      <c r="HEJ228" s="9"/>
      <c r="HEK228" s="4"/>
      <c r="HEL228" s="9"/>
      <c r="HEM228" s="4"/>
      <c r="HEN228" s="9"/>
      <c r="HEO228" s="4"/>
      <c r="HEP228" s="9"/>
      <c r="HEQ228" s="4"/>
      <c r="HER228" s="9"/>
      <c r="HES228" s="4"/>
      <c r="HET228" s="9"/>
      <c r="HEU228" s="4"/>
      <c r="HEV228" s="9"/>
      <c r="HEW228" s="4"/>
      <c r="HEX228" s="9"/>
      <c r="HEY228" s="4"/>
      <c r="HEZ228" s="9"/>
      <c r="HFA228" s="4"/>
      <c r="HFB228" s="9"/>
      <c r="HFC228" s="4"/>
      <c r="HFD228" s="9"/>
      <c r="HFE228" s="4"/>
      <c r="HFF228" s="9"/>
      <c r="HFG228" s="4"/>
      <c r="HFH228" s="9"/>
      <c r="HFI228" s="4"/>
      <c r="HFJ228" s="9"/>
      <c r="HFK228" s="4"/>
      <c r="HFL228" s="9"/>
      <c r="HFM228" s="4"/>
      <c r="HFN228" s="9"/>
      <c r="HFO228" s="4"/>
      <c r="HFP228" s="9"/>
      <c r="HFQ228" s="4"/>
      <c r="HFR228" s="9"/>
      <c r="HFS228" s="4"/>
      <c r="HFT228" s="9"/>
      <c r="HFU228" s="4"/>
      <c r="HFV228" s="9"/>
      <c r="HFW228" s="4"/>
      <c r="HFX228" s="9"/>
      <c r="HFY228" s="4"/>
      <c r="HFZ228" s="9"/>
      <c r="HGA228" s="4"/>
      <c r="HGB228" s="9"/>
      <c r="HGC228" s="4"/>
      <c r="HGD228" s="9"/>
      <c r="HGE228" s="4"/>
      <c r="HGF228" s="9"/>
      <c r="HGG228" s="4"/>
      <c r="HGH228" s="9"/>
      <c r="HGI228" s="4"/>
      <c r="HGJ228" s="9"/>
      <c r="HGK228" s="4"/>
      <c r="HGL228" s="9"/>
      <c r="HGM228" s="4"/>
      <c r="HGN228" s="9"/>
      <c r="HGO228" s="4"/>
      <c r="HGP228" s="9"/>
      <c r="HGQ228" s="4"/>
      <c r="HGR228" s="9"/>
      <c r="HGS228" s="4"/>
      <c r="HGT228" s="9"/>
      <c r="HGU228" s="4"/>
      <c r="HGV228" s="9"/>
      <c r="HGW228" s="4"/>
      <c r="HGX228" s="9"/>
      <c r="HGY228" s="4"/>
      <c r="HGZ228" s="9"/>
      <c r="HHA228" s="4"/>
      <c r="HHB228" s="9"/>
      <c r="HHC228" s="4"/>
      <c r="HHD228" s="9"/>
      <c r="HHE228" s="4"/>
      <c r="HHF228" s="9"/>
      <c r="HHG228" s="4"/>
      <c r="HHH228" s="9"/>
      <c r="HHI228" s="4"/>
      <c r="HHJ228" s="9"/>
      <c r="HHK228" s="4"/>
      <c r="HHL228" s="9"/>
      <c r="HHM228" s="4"/>
      <c r="HHN228" s="9"/>
      <c r="HHO228" s="4"/>
      <c r="HHP228" s="9"/>
      <c r="HHQ228" s="4"/>
      <c r="HHR228" s="9"/>
      <c r="HHS228" s="4"/>
      <c r="HHT228" s="9"/>
      <c r="HHU228" s="4"/>
      <c r="HHV228" s="9"/>
      <c r="HHW228" s="4"/>
      <c r="HHX228" s="9"/>
      <c r="HHY228" s="4"/>
      <c r="HHZ228" s="9"/>
      <c r="HIA228" s="4"/>
      <c r="HIB228" s="9"/>
      <c r="HIC228" s="4"/>
      <c r="HID228" s="9"/>
      <c r="HIE228" s="4"/>
      <c r="HIF228" s="9"/>
      <c r="HIG228" s="4"/>
      <c r="HIH228" s="9"/>
      <c r="HII228" s="4"/>
      <c r="HIJ228" s="9"/>
      <c r="HIK228" s="4"/>
      <c r="HIL228" s="9"/>
      <c r="HIM228" s="4"/>
      <c r="HIN228" s="9"/>
      <c r="HIO228" s="4"/>
      <c r="HIP228" s="9"/>
      <c r="HIQ228" s="4"/>
      <c r="HIR228" s="9"/>
      <c r="HIS228" s="4"/>
      <c r="HIT228" s="9"/>
      <c r="HIU228" s="4"/>
      <c r="HIV228" s="9"/>
      <c r="HIW228" s="4"/>
      <c r="HIX228" s="9"/>
      <c r="HIY228" s="4"/>
      <c r="HIZ228" s="9"/>
      <c r="HJA228" s="4"/>
      <c r="HJB228" s="9"/>
      <c r="HJC228" s="4"/>
      <c r="HJD228" s="9"/>
      <c r="HJE228" s="4"/>
      <c r="HJF228" s="9"/>
      <c r="HJG228" s="4"/>
      <c r="HJH228" s="9"/>
      <c r="HJI228" s="4"/>
      <c r="HJJ228" s="9"/>
      <c r="HJK228" s="4"/>
      <c r="HJL228" s="9"/>
      <c r="HJM228" s="4"/>
      <c r="HJN228" s="9"/>
      <c r="HJO228" s="4"/>
      <c r="HJP228" s="9"/>
      <c r="HJQ228" s="4"/>
      <c r="HJR228" s="9"/>
      <c r="HJS228" s="4"/>
      <c r="HJT228" s="9"/>
      <c r="HJU228" s="4"/>
      <c r="HJV228" s="9"/>
      <c r="HJW228" s="4"/>
      <c r="HJX228" s="9"/>
      <c r="HJY228" s="4"/>
      <c r="HJZ228" s="9"/>
      <c r="HKA228" s="4"/>
      <c r="HKB228" s="9"/>
      <c r="HKC228" s="4"/>
      <c r="HKD228" s="9"/>
      <c r="HKE228" s="4"/>
      <c r="HKF228" s="9"/>
      <c r="HKG228" s="4"/>
      <c r="HKH228" s="9"/>
      <c r="HKI228" s="4"/>
      <c r="HKJ228" s="9"/>
      <c r="HKK228" s="4"/>
      <c r="HKL228" s="9"/>
      <c r="HKM228" s="4"/>
      <c r="HKN228" s="9"/>
      <c r="HKO228" s="4"/>
      <c r="HKP228" s="9"/>
      <c r="HKQ228" s="4"/>
      <c r="HKR228" s="9"/>
      <c r="HKS228" s="4"/>
      <c r="HKT228" s="9"/>
      <c r="HKU228" s="4"/>
      <c r="HKV228" s="9"/>
      <c r="HKW228" s="4"/>
      <c r="HKX228" s="9"/>
      <c r="HKY228" s="4"/>
      <c r="HKZ228" s="9"/>
      <c r="HLA228" s="4"/>
      <c r="HLB228" s="9"/>
      <c r="HLC228" s="4"/>
      <c r="HLD228" s="9"/>
      <c r="HLE228" s="4"/>
      <c r="HLF228" s="9"/>
      <c r="HLG228" s="4"/>
      <c r="HLH228" s="9"/>
      <c r="HLI228" s="4"/>
      <c r="HLJ228" s="9"/>
      <c r="HLK228" s="4"/>
      <c r="HLL228" s="9"/>
      <c r="HLM228" s="4"/>
      <c r="HLN228" s="9"/>
      <c r="HLO228" s="4"/>
      <c r="HLP228" s="9"/>
      <c r="HLQ228" s="4"/>
      <c r="HLR228" s="9"/>
      <c r="HLS228" s="4"/>
      <c r="HLT228" s="9"/>
      <c r="HLU228" s="4"/>
      <c r="HLV228" s="9"/>
      <c r="HLW228" s="4"/>
      <c r="HLX228" s="9"/>
      <c r="HLY228" s="4"/>
      <c r="HLZ228" s="9"/>
      <c r="HMA228" s="4"/>
      <c r="HMB228" s="9"/>
      <c r="HMC228" s="4"/>
      <c r="HMD228" s="9"/>
      <c r="HME228" s="4"/>
      <c r="HMF228" s="9"/>
      <c r="HMG228" s="4"/>
      <c r="HMH228" s="9"/>
      <c r="HMI228" s="4"/>
      <c r="HMJ228" s="9"/>
      <c r="HMK228" s="4"/>
      <c r="HML228" s="9"/>
      <c r="HMM228" s="4"/>
      <c r="HMN228" s="9"/>
      <c r="HMO228" s="4"/>
      <c r="HMP228" s="9"/>
      <c r="HMQ228" s="4"/>
      <c r="HMR228" s="9"/>
      <c r="HMS228" s="4"/>
      <c r="HMT228" s="9"/>
      <c r="HMU228" s="4"/>
      <c r="HMV228" s="9"/>
      <c r="HMW228" s="4"/>
      <c r="HMX228" s="9"/>
      <c r="HMY228" s="4"/>
      <c r="HMZ228" s="9"/>
      <c r="HNA228" s="4"/>
      <c r="HNB228" s="9"/>
      <c r="HNC228" s="4"/>
      <c r="HND228" s="9"/>
      <c r="HNE228" s="4"/>
      <c r="HNF228" s="9"/>
      <c r="HNG228" s="4"/>
      <c r="HNH228" s="9"/>
      <c r="HNI228" s="4"/>
      <c r="HNJ228" s="9"/>
      <c r="HNK228" s="4"/>
      <c r="HNL228" s="9"/>
      <c r="HNM228" s="4"/>
      <c r="HNN228" s="9"/>
      <c r="HNO228" s="4"/>
      <c r="HNP228" s="9"/>
      <c r="HNQ228" s="4"/>
      <c r="HNR228" s="9"/>
      <c r="HNS228" s="4"/>
      <c r="HNT228" s="9"/>
      <c r="HNU228" s="4"/>
      <c r="HNV228" s="9"/>
      <c r="HNW228" s="4"/>
      <c r="HNX228" s="9"/>
      <c r="HNY228" s="4"/>
      <c r="HNZ228" s="9"/>
      <c r="HOA228" s="4"/>
      <c r="HOB228" s="9"/>
      <c r="HOC228" s="4"/>
      <c r="HOD228" s="9"/>
      <c r="HOE228" s="4"/>
      <c r="HOF228" s="9"/>
      <c r="HOG228" s="4"/>
      <c r="HOH228" s="9"/>
      <c r="HOI228" s="4"/>
      <c r="HOJ228" s="9"/>
      <c r="HOK228" s="4"/>
      <c r="HOL228" s="9"/>
      <c r="HOM228" s="4"/>
      <c r="HON228" s="9"/>
      <c r="HOO228" s="4"/>
      <c r="HOP228" s="9"/>
      <c r="HOQ228" s="4"/>
      <c r="HOR228" s="9"/>
      <c r="HOS228" s="4"/>
      <c r="HOT228" s="9"/>
      <c r="HOU228" s="4"/>
      <c r="HOV228" s="9"/>
      <c r="HOW228" s="4"/>
      <c r="HOX228" s="9"/>
      <c r="HOY228" s="4"/>
      <c r="HOZ228" s="9"/>
      <c r="HPA228" s="4"/>
      <c r="HPB228" s="9"/>
      <c r="HPC228" s="4"/>
      <c r="HPD228" s="9"/>
      <c r="HPE228" s="4"/>
      <c r="HPF228" s="9"/>
      <c r="HPG228" s="4"/>
      <c r="HPH228" s="9"/>
      <c r="HPI228" s="4"/>
      <c r="HPJ228" s="9"/>
      <c r="HPK228" s="4"/>
      <c r="HPL228" s="9"/>
      <c r="HPM228" s="4"/>
      <c r="HPN228" s="9"/>
      <c r="HPO228" s="4"/>
      <c r="HPP228" s="9"/>
      <c r="HPQ228" s="4"/>
      <c r="HPR228" s="9"/>
      <c r="HPS228" s="4"/>
      <c r="HPT228" s="9"/>
      <c r="HPU228" s="4"/>
      <c r="HPV228" s="9"/>
      <c r="HPW228" s="4"/>
      <c r="HPX228" s="9"/>
      <c r="HPY228" s="4"/>
      <c r="HPZ228" s="9"/>
      <c r="HQA228" s="4"/>
      <c r="HQB228" s="9"/>
      <c r="HQC228" s="4"/>
      <c r="HQD228" s="9"/>
      <c r="HQE228" s="4"/>
      <c r="HQF228" s="9"/>
      <c r="HQG228" s="4"/>
      <c r="HQH228" s="9"/>
      <c r="HQI228" s="4"/>
      <c r="HQJ228" s="9"/>
      <c r="HQK228" s="4"/>
      <c r="HQL228" s="9"/>
      <c r="HQM228" s="4"/>
      <c r="HQN228" s="9"/>
      <c r="HQO228" s="4"/>
      <c r="HQP228" s="9"/>
      <c r="HQQ228" s="4"/>
      <c r="HQR228" s="9"/>
      <c r="HQS228" s="4"/>
      <c r="HQT228" s="9"/>
      <c r="HQU228" s="4"/>
      <c r="HQV228" s="9"/>
      <c r="HQW228" s="4"/>
      <c r="HQX228" s="9"/>
      <c r="HQY228" s="4"/>
      <c r="HQZ228" s="9"/>
      <c r="HRA228" s="4"/>
      <c r="HRB228" s="9"/>
      <c r="HRC228" s="4"/>
      <c r="HRD228" s="9"/>
      <c r="HRE228" s="4"/>
      <c r="HRF228" s="9"/>
      <c r="HRG228" s="4"/>
      <c r="HRH228" s="9"/>
      <c r="HRI228" s="4"/>
      <c r="HRJ228" s="9"/>
      <c r="HRK228" s="4"/>
      <c r="HRL228" s="9"/>
      <c r="HRM228" s="4"/>
      <c r="HRN228" s="9"/>
      <c r="HRO228" s="4"/>
      <c r="HRP228" s="9"/>
      <c r="HRQ228" s="4"/>
      <c r="HRR228" s="9"/>
      <c r="HRS228" s="4"/>
      <c r="HRT228" s="9"/>
      <c r="HRU228" s="4"/>
      <c r="HRV228" s="9"/>
      <c r="HRW228" s="4"/>
      <c r="HRX228" s="9"/>
      <c r="HRY228" s="4"/>
      <c r="HRZ228" s="9"/>
      <c r="HSA228" s="4"/>
      <c r="HSB228" s="9"/>
      <c r="HSC228" s="4"/>
      <c r="HSD228" s="9"/>
      <c r="HSE228" s="4"/>
      <c r="HSF228" s="9"/>
      <c r="HSG228" s="4"/>
      <c r="HSH228" s="9"/>
      <c r="HSI228" s="4"/>
      <c r="HSJ228" s="9"/>
      <c r="HSK228" s="4"/>
      <c r="HSL228" s="9"/>
      <c r="HSM228" s="4"/>
      <c r="HSN228" s="9"/>
      <c r="HSO228" s="4"/>
      <c r="HSP228" s="9"/>
      <c r="HSQ228" s="4"/>
      <c r="HSR228" s="9"/>
      <c r="HSS228" s="4"/>
      <c r="HST228" s="9"/>
      <c r="HSU228" s="4"/>
      <c r="HSV228" s="9"/>
      <c r="HSW228" s="4"/>
      <c r="HSX228" s="9"/>
      <c r="HSY228" s="4"/>
      <c r="HSZ228" s="9"/>
      <c r="HTA228" s="4"/>
      <c r="HTB228" s="9"/>
      <c r="HTC228" s="4"/>
      <c r="HTD228" s="9"/>
      <c r="HTE228" s="4"/>
      <c r="HTF228" s="9"/>
      <c r="HTG228" s="4"/>
      <c r="HTH228" s="9"/>
      <c r="HTI228" s="4"/>
      <c r="HTJ228" s="9"/>
      <c r="HTK228" s="4"/>
      <c r="HTL228" s="9"/>
      <c r="HTM228" s="4"/>
      <c r="HTN228" s="9"/>
      <c r="HTO228" s="4"/>
      <c r="HTP228" s="9"/>
      <c r="HTQ228" s="4"/>
      <c r="HTR228" s="9"/>
      <c r="HTS228" s="4"/>
      <c r="HTT228" s="9"/>
      <c r="HTU228" s="4"/>
      <c r="HTV228" s="9"/>
      <c r="HTW228" s="4"/>
      <c r="HTX228" s="9"/>
      <c r="HTY228" s="4"/>
      <c r="HTZ228" s="9"/>
      <c r="HUA228" s="4"/>
      <c r="HUB228" s="9"/>
      <c r="HUC228" s="4"/>
      <c r="HUD228" s="9"/>
      <c r="HUE228" s="4"/>
      <c r="HUF228" s="9"/>
      <c r="HUG228" s="4"/>
      <c r="HUH228" s="9"/>
      <c r="HUI228" s="4"/>
      <c r="HUJ228" s="9"/>
      <c r="HUK228" s="4"/>
      <c r="HUL228" s="9"/>
      <c r="HUM228" s="4"/>
      <c r="HUN228" s="9"/>
      <c r="HUO228" s="4"/>
      <c r="HUP228" s="9"/>
      <c r="HUQ228" s="4"/>
      <c r="HUR228" s="9"/>
      <c r="HUS228" s="4"/>
      <c r="HUT228" s="9"/>
      <c r="HUU228" s="4"/>
      <c r="HUV228" s="9"/>
      <c r="HUW228" s="4"/>
      <c r="HUX228" s="9"/>
      <c r="HUY228" s="4"/>
      <c r="HUZ228" s="9"/>
      <c r="HVA228" s="4"/>
      <c r="HVB228" s="9"/>
      <c r="HVC228" s="4"/>
      <c r="HVD228" s="9"/>
      <c r="HVE228" s="4"/>
      <c r="HVF228" s="9"/>
      <c r="HVG228" s="4"/>
      <c r="HVH228" s="9"/>
      <c r="HVI228" s="4"/>
      <c r="HVJ228" s="9"/>
      <c r="HVK228" s="4"/>
      <c r="HVL228" s="9"/>
      <c r="HVM228" s="4"/>
      <c r="HVN228" s="9"/>
      <c r="HVO228" s="4"/>
      <c r="HVP228" s="9"/>
      <c r="HVQ228" s="4"/>
      <c r="HVR228" s="9"/>
      <c r="HVS228" s="4"/>
      <c r="HVT228" s="9"/>
      <c r="HVU228" s="4"/>
      <c r="HVV228" s="9"/>
      <c r="HVW228" s="4"/>
      <c r="HVX228" s="9"/>
      <c r="HVY228" s="4"/>
      <c r="HVZ228" s="9"/>
      <c r="HWA228" s="4"/>
      <c r="HWB228" s="9"/>
      <c r="HWC228" s="4"/>
      <c r="HWD228" s="9"/>
      <c r="HWE228" s="4"/>
      <c r="HWF228" s="9"/>
      <c r="HWG228" s="4"/>
      <c r="HWH228" s="9"/>
      <c r="HWI228" s="4"/>
      <c r="HWJ228" s="9"/>
      <c r="HWK228" s="4"/>
      <c r="HWL228" s="9"/>
      <c r="HWM228" s="4"/>
      <c r="HWN228" s="9"/>
      <c r="HWO228" s="4"/>
      <c r="HWP228" s="9"/>
      <c r="HWQ228" s="4"/>
      <c r="HWR228" s="9"/>
      <c r="HWS228" s="4"/>
      <c r="HWT228" s="9"/>
      <c r="HWU228" s="4"/>
      <c r="HWV228" s="9"/>
      <c r="HWW228" s="4"/>
      <c r="HWX228" s="9"/>
      <c r="HWY228" s="4"/>
      <c r="HWZ228" s="9"/>
      <c r="HXA228" s="4"/>
      <c r="HXB228" s="9"/>
      <c r="HXC228" s="4"/>
      <c r="HXD228" s="9"/>
      <c r="HXE228" s="4"/>
      <c r="HXF228" s="9"/>
      <c r="HXG228" s="4"/>
      <c r="HXH228" s="9"/>
      <c r="HXI228" s="4"/>
      <c r="HXJ228" s="9"/>
      <c r="HXK228" s="4"/>
      <c r="HXL228" s="9"/>
      <c r="HXM228" s="4"/>
      <c r="HXN228" s="9"/>
      <c r="HXO228" s="4"/>
      <c r="HXP228" s="9"/>
      <c r="HXQ228" s="4"/>
      <c r="HXR228" s="9"/>
      <c r="HXS228" s="4"/>
      <c r="HXT228" s="9"/>
      <c r="HXU228" s="4"/>
      <c r="HXV228" s="9"/>
      <c r="HXW228" s="4"/>
      <c r="HXX228" s="9"/>
      <c r="HXY228" s="4"/>
      <c r="HXZ228" s="9"/>
      <c r="HYA228" s="4"/>
      <c r="HYB228" s="9"/>
      <c r="HYC228" s="4"/>
      <c r="HYD228" s="9"/>
      <c r="HYE228" s="4"/>
      <c r="HYF228" s="9"/>
      <c r="HYG228" s="4"/>
      <c r="HYH228" s="9"/>
      <c r="HYI228" s="4"/>
      <c r="HYJ228" s="9"/>
      <c r="HYK228" s="4"/>
      <c r="HYL228" s="9"/>
      <c r="HYM228" s="4"/>
      <c r="HYN228" s="9"/>
      <c r="HYO228" s="4"/>
      <c r="HYP228" s="9"/>
      <c r="HYQ228" s="4"/>
      <c r="HYR228" s="9"/>
      <c r="HYS228" s="4"/>
      <c r="HYT228" s="9"/>
      <c r="HYU228" s="4"/>
      <c r="HYV228" s="9"/>
      <c r="HYW228" s="4"/>
      <c r="HYX228" s="9"/>
      <c r="HYY228" s="4"/>
      <c r="HYZ228" s="9"/>
      <c r="HZA228" s="4"/>
      <c r="HZB228" s="9"/>
      <c r="HZC228" s="4"/>
      <c r="HZD228" s="9"/>
      <c r="HZE228" s="4"/>
      <c r="HZF228" s="9"/>
      <c r="HZG228" s="4"/>
      <c r="HZH228" s="9"/>
      <c r="HZI228" s="4"/>
      <c r="HZJ228" s="9"/>
      <c r="HZK228" s="4"/>
      <c r="HZL228" s="9"/>
      <c r="HZM228" s="4"/>
      <c r="HZN228" s="9"/>
      <c r="HZO228" s="4"/>
      <c r="HZP228" s="9"/>
      <c r="HZQ228" s="4"/>
      <c r="HZR228" s="9"/>
      <c r="HZS228" s="4"/>
      <c r="HZT228" s="9"/>
      <c r="HZU228" s="4"/>
      <c r="HZV228" s="9"/>
      <c r="HZW228" s="4"/>
      <c r="HZX228" s="9"/>
      <c r="HZY228" s="4"/>
      <c r="HZZ228" s="9"/>
      <c r="IAA228" s="4"/>
      <c r="IAB228" s="9"/>
      <c r="IAC228" s="4"/>
      <c r="IAD228" s="9"/>
      <c r="IAE228" s="4"/>
      <c r="IAF228" s="9"/>
      <c r="IAG228" s="4"/>
      <c r="IAH228" s="9"/>
      <c r="IAI228" s="4"/>
      <c r="IAJ228" s="9"/>
      <c r="IAK228" s="4"/>
      <c r="IAL228" s="9"/>
      <c r="IAM228" s="4"/>
      <c r="IAN228" s="9"/>
      <c r="IAO228" s="4"/>
      <c r="IAP228" s="9"/>
      <c r="IAQ228" s="4"/>
      <c r="IAR228" s="9"/>
      <c r="IAS228" s="4"/>
      <c r="IAT228" s="9"/>
      <c r="IAU228" s="4"/>
      <c r="IAV228" s="9"/>
      <c r="IAW228" s="4"/>
      <c r="IAX228" s="9"/>
      <c r="IAY228" s="4"/>
      <c r="IAZ228" s="9"/>
      <c r="IBA228" s="4"/>
      <c r="IBB228" s="9"/>
      <c r="IBC228" s="4"/>
      <c r="IBD228" s="9"/>
      <c r="IBE228" s="4"/>
      <c r="IBF228" s="9"/>
      <c r="IBG228" s="4"/>
      <c r="IBH228" s="9"/>
      <c r="IBI228" s="4"/>
      <c r="IBJ228" s="9"/>
      <c r="IBK228" s="4"/>
      <c r="IBL228" s="9"/>
      <c r="IBM228" s="4"/>
      <c r="IBN228" s="9"/>
      <c r="IBO228" s="4"/>
      <c r="IBP228" s="9"/>
      <c r="IBQ228" s="4"/>
      <c r="IBR228" s="9"/>
      <c r="IBS228" s="4"/>
      <c r="IBT228" s="9"/>
      <c r="IBU228" s="4"/>
      <c r="IBV228" s="9"/>
      <c r="IBW228" s="4"/>
      <c r="IBX228" s="9"/>
      <c r="IBY228" s="4"/>
      <c r="IBZ228" s="9"/>
      <c r="ICA228" s="4"/>
      <c r="ICB228" s="9"/>
      <c r="ICC228" s="4"/>
      <c r="ICD228" s="9"/>
      <c r="ICE228" s="4"/>
      <c r="ICF228" s="9"/>
      <c r="ICG228" s="4"/>
      <c r="ICH228" s="9"/>
      <c r="ICI228" s="4"/>
      <c r="ICJ228" s="9"/>
      <c r="ICK228" s="4"/>
      <c r="ICL228" s="9"/>
      <c r="ICM228" s="4"/>
      <c r="ICN228" s="9"/>
      <c r="ICO228" s="4"/>
      <c r="ICP228" s="9"/>
      <c r="ICQ228" s="4"/>
      <c r="ICR228" s="9"/>
      <c r="ICS228" s="4"/>
      <c r="ICT228" s="9"/>
      <c r="ICU228" s="4"/>
      <c r="ICV228" s="9"/>
      <c r="ICW228" s="4"/>
      <c r="ICX228" s="9"/>
      <c r="ICY228" s="4"/>
      <c r="ICZ228" s="9"/>
      <c r="IDA228" s="4"/>
      <c r="IDB228" s="9"/>
      <c r="IDC228" s="4"/>
      <c r="IDD228" s="9"/>
      <c r="IDE228" s="4"/>
      <c r="IDF228" s="9"/>
      <c r="IDG228" s="4"/>
      <c r="IDH228" s="9"/>
      <c r="IDI228" s="4"/>
      <c r="IDJ228" s="9"/>
      <c r="IDK228" s="4"/>
      <c r="IDL228" s="9"/>
      <c r="IDM228" s="4"/>
      <c r="IDN228" s="9"/>
      <c r="IDO228" s="4"/>
      <c r="IDP228" s="9"/>
      <c r="IDQ228" s="4"/>
      <c r="IDR228" s="9"/>
      <c r="IDS228" s="4"/>
      <c r="IDT228" s="9"/>
      <c r="IDU228" s="4"/>
      <c r="IDV228" s="9"/>
      <c r="IDW228" s="4"/>
      <c r="IDX228" s="9"/>
      <c r="IDY228" s="4"/>
      <c r="IDZ228" s="9"/>
      <c r="IEA228" s="4"/>
      <c r="IEB228" s="9"/>
      <c r="IEC228" s="4"/>
      <c r="IED228" s="9"/>
      <c r="IEE228" s="4"/>
      <c r="IEF228" s="9"/>
      <c r="IEG228" s="4"/>
      <c r="IEH228" s="9"/>
      <c r="IEI228" s="4"/>
      <c r="IEJ228" s="9"/>
      <c r="IEK228" s="4"/>
      <c r="IEL228" s="9"/>
      <c r="IEM228" s="4"/>
      <c r="IEN228" s="9"/>
      <c r="IEO228" s="4"/>
      <c r="IEP228" s="9"/>
      <c r="IEQ228" s="4"/>
      <c r="IER228" s="9"/>
      <c r="IES228" s="4"/>
      <c r="IET228" s="9"/>
      <c r="IEU228" s="4"/>
      <c r="IEV228" s="9"/>
      <c r="IEW228" s="4"/>
      <c r="IEX228" s="9"/>
      <c r="IEY228" s="4"/>
      <c r="IEZ228" s="9"/>
      <c r="IFA228" s="4"/>
      <c r="IFB228" s="9"/>
      <c r="IFC228" s="4"/>
      <c r="IFD228" s="9"/>
      <c r="IFE228" s="4"/>
      <c r="IFF228" s="9"/>
      <c r="IFG228" s="4"/>
      <c r="IFH228" s="9"/>
      <c r="IFI228" s="4"/>
      <c r="IFJ228" s="9"/>
      <c r="IFK228" s="4"/>
      <c r="IFL228" s="9"/>
      <c r="IFM228" s="4"/>
      <c r="IFN228" s="9"/>
      <c r="IFO228" s="4"/>
      <c r="IFP228" s="9"/>
      <c r="IFQ228" s="4"/>
      <c r="IFR228" s="9"/>
      <c r="IFS228" s="4"/>
      <c r="IFT228" s="9"/>
      <c r="IFU228" s="4"/>
      <c r="IFV228" s="9"/>
      <c r="IFW228" s="4"/>
      <c r="IFX228" s="9"/>
      <c r="IFY228" s="4"/>
      <c r="IFZ228" s="9"/>
      <c r="IGA228" s="4"/>
      <c r="IGB228" s="9"/>
      <c r="IGC228" s="4"/>
      <c r="IGD228" s="9"/>
      <c r="IGE228" s="4"/>
      <c r="IGF228" s="9"/>
      <c r="IGG228" s="4"/>
      <c r="IGH228" s="9"/>
      <c r="IGI228" s="4"/>
      <c r="IGJ228" s="9"/>
      <c r="IGK228" s="4"/>
      <c r="IGL228" s="9"/>
      <c r="IGM228" s="4"/>
      <c r="IGN228" s="9"/>
      <c r="IGO228" s="4"/>
      <c r="IGP228" s="9"/>
      <c r="IGQ228" s="4"/>
      <c r="IGR228" s="9"/>
      <c r="IGS228" s="4"/>
      <c r="IGT228" s="9"/>
      <c r="IGU228" s="4"/>
      <c r="IGV228" s="9"/>
      <c r="IGW228" s="4"/>
      <c r="IGX228" s="9"/>
      <c r="IGY228" s="4"/>
      <c r="IGZ228" s="9"/>
      <c r="IHA228" s="4"/>
      <c r="IHB228" s="9"/>
      <c r="IHC228" s="4"/>
      <c r="IHD228" s="9"/>
      <c r="IHE228" s="4"/>
      <c r="IHF228" s="9"/>
      <c r="IHG228" s="4"/>
      <c r="IHH228" s="9"/>
      <c r="IHI228" s="4"/>
      <c r="IHJ228" s="9"/>
      <c r="IHK228" s="4"/>
      <c r="IHL228" s="9"/>
      <c r="IHM228" s="4"/>
      <c r="IHN228" s="9"/>
      <c r="IHO228" s="4"/>
      <c r="IHP228" s="9"/>
      <c r="IHQ228" s="4"/>
      <c r="IHR228" s="9"/>
      <c r="IHS228" s="4"/>
      <c r="IHT228" s="9"/>
      <c r="IHU228" s="4"/>
      <c r="IHV228" s="9"/>
      <c r="IHW228" s="4"/>
      <c r="IHX228" s="9"/>
      <c r="IHY228" s="4"/>
      <c r="IHZ228" s="9"/>
      <c r="IIA228" s="4"/>
      <c r="IIB228" s="9"/>
      <c r="IIC228" s="4"/>
      <c r="IID228" s="9"/>
      <c r="IIE228" s="4"/>
      <c r="IIF228" s="9"/>
      <c r="IIG228" s="4"/>
      <c r="IIH228" s="9"/>
      <c r="III228" s="4"/>
      <c r="IIJ228" s="9"/>
      <c r="IIK228" s="4"/>
      <c r="IIL228" s="9"/>
      <c r="IIM228" s="4"/>
      <c r="IIN228" s="9"/>
      <c r="IIO228" s="4"/>
      <c r="IIP228" s="9"/>
      <c r="IIQ228" s="4"/>
      <c r="IIR228" s="9"/>
      <c r="IIS228" s="4"/>
      <c r="IIT228" s="9"/>
      <c r="IIU228" s="4"/>
      <c r="IIV228" s="9"/>
      <c r="IIW228" s="4"/>
      <c r="IIX228" s="9"/>
      <c r="IIY228" s="4"/>
      <c r="IIZ228" s="9"/>
      <c r="IJA228" s="4"/>
      <c r="IJB228" s="9"/>
      <c r="IJC228" s="4"/>
      <c r="IJD228" s="9"/>
      <c r="IJE228" s="4"/>
      <c r="IJF228" s="9"/>
      <c r="IJG228" s="4"/>
      <c r="IJH228" s="9"/>
      <c r="IJI228" s="4"/>
      <c r="IJJ228" s="9"/>
      <c r="IJK228" s="4"/>
      <c r="IJL228" s="9"/>
      <c r="IJM228" s="4"/>
      <c r="IJN228" s="9"/>
      <c r="IJO228" s="4"/>
      <c r="IJP228" s="9"/>
      <c r="IJQ228" s="4"/>
      <c r="IJR228" s="9"/>
      <c r="IJS228" s="4"/>
      <c r="IJT228" s="9"/>
      <c r="IJU228" s="4"/>
      <c r="IJV228" s="9"/>
      <c r="IJW228" s="4"/>
      <c r="IJX228" s="9"/>
      <c r="IJY228" s="4"/>
      <c r="IJZ228" s="9"/>
      <c r="IKA228" s="4"/>
      <c r="IKB228" s="9"/>
      <c r="IKC228" s="4"/>
      <c r="IKD228" s="9"/>
      <c r="IKE228" s="4"/>
      <c r="IKF228" s="9"/>
      <c r="IKG228" s="4"/>
      <c r="IKH228" s="9"/>
      <c r="IKI228" s="4"/>
      <c r="IKJ228" s="9"/>
      <c r="IKK228" s="4"/>
      <c r="IKL228" s="9"/>
      <c r="IKM228" s="4"/>
      <c r="IKN228" s="9"/>
      <c r="IKO228" s="4"/>
      <c r="IKP228" s="9"/>
      <c r="IKQ228" s="4"/>
      <c r="IKR228" s="9"/>
      <c r="IKS228" s="4"/>
      <c r="IKT228" s="9"/>
      <c r="IKU228" s="4"/>
      <c r="IKV228" s="9"/>
      <c r="IKW228" s="4"/>
      <c r="IKX228" s="9"/>
      <c r="IKY228" s="4"/>
      <c r="IKZ228" s="9"/>
      <c r="ILA228" s="4"/>
      <c r="ILB228" s="9"/>
      <c r="ILC228" s="4"/>
      <c r="ILD228" s="9"/>
      <c r="ILE228" s="4"/>
      <c r="ILF228" s="9"/>
      <c r="ILG228" s="4"/>
      <c r="ILH228" s="9"/>
      <c r="ILI228" s="4"/>
      <c r="ILJ228" s="9"/>
      <c r="ILK228" s="4"/>
      <c r="ILL228" s="9"/>
      <c r="ILM228" s="4"/>
      <c r="ILN228" s="9"/>
      <c r="ILO228" s="4"/>
      <c r="ILP228" s="9"/>
      <c r="ILQ228" s="4"/>
      <c r="ILR228" s="9"/>
      <c r="ILS228" s="4"/>
      <c r="ILT228" s="9"/>
      <c r="ILU228" s="4"/>
      <c r="ILV228" s="9"/>
      <c r="ILW228" s="4"/>
      <c r="ILX228" s="9"/>
      <c r="ILY228" s="4"/>
      <c r="ILZ228" s="9"/>
      <c r="IMA228" s="4"/>
      <c r="IMB228" s="9"/>
      <c r="IMC228" s="4"/>
      <c r="IMD228" s="9"/>
      <c r="IME228" s="4"/>
      <c r="IMF228" s="9"/>
      <c r="IMG228" s="4"/>
      <c r="IMH228" s="9"/>
      <c r="IMI228" s="4"/>
      <c r="IMJ228" s="9"/>
      <c r="IMK228" s="4"/>
      <c r="IML228" s="9"/>
      <c r="IMM228" s="4"/>
      <c r="IMN228" s="9"/>
      <c r="IMO228" s="4"/>
      <c r="IMP228" s="9"/>
      <c r="IMQ228" s="4"/>
      <c r="IMR228" s="9"/>
      <c r="IMS228" s="4"/>
      <c r="IMT228" s="9"/>
      <c r="IMU228" s="4"/>
      <c r="IMV228" s="9"/>
      <c r="IMW228" s="4"/>
      <c r="IMX228" s="9"/>
      <c r="IMY228" s="4"/>
      <c r="IMZ228" s="9"/>
      <c r="INA228" s="4"/>
      <c r="INB228" s="9"/>
      <c r="INC228" s="4"/>
      <c r="IND228" s="9"/>
      <c r="INE228" s="4"/>
      <c r="INF228" s="9"/>
      <c r="ING228" s="4"/>
      <c r="INH228" s="9"/>
      <c r="INI228" s="4"/>
      <c r="INJ228" s="9"/>
      <c r="INK228" s="4"/>
      <c r="INL228" s="9"/>
      <c r="INM228" s="4"/>
      <c r="INN228" s="9"/>
      <c r="INO228" s="4"/>
      <c r="INP228" s="9"/>
      <c r="INQ228" s="4"/>
      <c r="INR228" s="9"/>
      <c r="INS228" s="4"/>
      <c r="INT228" s="9"/>
      <c r="INU228" s="4"/>
      <c r="INV228" s="9"/>
      <c r="INW228" s="4"/>
      <c r="INX228" s="9"/>
      <c r="INY228" s="4"/>
      <c r="INZ228" s="9"/>
      <c r="IOA228" s="4"/>
      <c r="IOB228" s="9"/>
      <c r="IOC228" s="4"/>
      <c r="IOD228" s="9"/>
      <c r="IOE228" s="4"/>
      <c r="IOF228" s="9"/>
      <c r="IOG228" s="4"/>
      <c r="IOH228" s="9"/>
      <c r="IOI228" s="4"/>
      <c r="IOJ228" s="9"/>
      <c r="IOK228" s="4"/>
      <c r="IOL228" s="9"/>
      <c r="IOM228" s="4"/>
      <c r="ION228" s="9"/>
      <c r="IOO228" s="4"/>
      <c r="IOP228" s="9"/>
      <c r="IOQ228" s="4"/>
      <c r="IOR228" s="9"/>
      <c r="IOS228" s="4"/>
      <c r="IOT228" s="9"/>
      <c r="IOU228" s="4"/>
      <c r="IOV228" s="9"/>
      <c r="IOW228" s="4"/>
      <c r="IOX228" s="9"/>
      <c r="IOY228" s="4"/>
      <c r="IOZ228" s="9"/>
      <c r="IPA228" s="4"/>
      <c r="IPB228" s="9"/>
      <c r="IPC228" s="4"/>
      <c r="IPD228" s="9"/>
      <c r="IPE228" s="4"/>
      <c r="IPF228" s="9"/>
      <c r="IPG228" s="4"/>
      <c r="IPH228" s="9"/>
      <c r="IPI228" s="4"/>
      <c r="IPJ228" s="9"/>
      <c r="IPK228" s="4"/>
      <c r="IPL228" s="9"/>
      <c r="IPM228" s="4"/>
      <c r="IPN228" s="9"/>
      <c r="IPO228" s="4"/>
      <c r="IPP228" s="9"/>
      <c r="IPQ228" s="4"/>
      <c r="IPR228" s="9"/>
      <c r="IPS228" s="4"/>
      <c r="IPT228" s="9"/>
      <c r="IPU228" s="4"/>
      <c r="IPV228" s="9"/>
      <c r="IPW228" s="4"/>
      <c r="IPX228" s="9"/>
      <c r="IPY228" s="4"/>
      <c r="IPZ228" s="9"/>
      <c r="IQA228" s="4"/>
      <c r="IQB228" s="9"/>
      <c r="IQC228" s="4"/>
      <c r="IQD228" s="9"/>
      <c r="IQE228" s="4"/>
      <c r="IQF228" s="9"/>
      <c r="IQG228" s="4"/>
      <c r="IQH228" s="9"/>
      <c r="IQI228" s="4"/>
      <c r="IQJ228" s="9"/>
      <c r="IQK228" s="4"/>
      <c r="IQL228" s="9"/>
      <c r="IQM228" s="4"/>
      <c r="IQN228" s="9"/>
      <c r="IQO228" s="4"/>
      <c r="IQP228" s="9"/>
      <c r="IQQ228" s="4"/>
      <c r="IQR228" s="9"/>
      <c r="IQS228" s="4"/>
      <c r="IQT228" s="9"/>
      <c r="IQU228" s="4"/>
      <c r="IQV228" s="9"/>
      <c r="IQW228" s="4"/>
      <c r="IQX228" s="9"/>
      <c r="IQY228" s="4"/>
      <c r="IQZ228" s="9"/>
      <c r="IRA228" s="4"/>
      <c r="IRB228" s="9"/>
      <c r="IRC228" s="4"/>
      <c r="IRD228" s="9"/>
      <c r="IRE228" s="4"/>
      <c r="IRF228" s="9"/>
      <c r="IRG228" s="4"/>
      <c r="IRH228" s="9"/>
      <c r="IRI228" s="4"/>
      <c r="IRJ228" s="9"/>
      <c r="IRK228" s="4"/>
      <c r="IRL228" s="9"/>
      <c r="IRM228" s="4"/>
      <c r="IRN228" s="9"/>
      <c r="IRO228" s="4"/>
      <c r="IRP228" s="9"/>
      <c r="IRQ228" s="4"/>
      <c r="IRR228" s="9"/>
      <c r="IRS228" s="4"/>
      <c r="IRT228" s="9"/>
      <c r="IRU228" s="4"/>
      <c r="IRV228" s="9"/>
      <c r="IRW228" s="4"/>
      <c r="IRX228" s="9"/>
      <c r="IRY228" s="4"/>
      <c r="IRZ228" s="9"/>
      <c r="ISA228" s="4"/>
      <c r="ISB228" s="9"/>
      <c r="ISC228" s="4"/>
      <c r="ISD228" s="9"/>
      <c r="ISE228" s="4"/>
      <c r="ISF228" s="9"/>
      <c r="ISG228" s="4"/>
      <c r="ISH228" s="9"/>
      <c r="ISI228" s="4"/>
      <c r="ISJ228" s="9"/>
      <c r="ISK228" s="4"/>
      <c r="ISL228" s="9"/>
      <c r="ISM228" s="4"/>
      <c r="ISN228" s="9"/>
      <c r="ISO228" s="4"/>
      <c r="ISP228" s="9"/>
      <c r="ISQ228" s="4"/>
      <c r="ISR228" s="9"/>
      <c r="ISS228" s="4"/>
      <c r="IST228" s="9"/>
      <c r="ISU228" s="4"/>
      <c r="ISV228" s="9"/>
      <c r="ISW228" s="4"/>
      <c r="ISX228" s="9"/>
      <c r="ISY228" s="4"/>
      <c r="ISZ228" s="9"/>
      <c r="ITA228" s="4"/>
      <c r="ITB228" s="9"/>
      <c r="ITC228" s="4"/>
      <c r="ITD228" s="9"/>
      <c r="ITE228" s="4"/>
      <c r="ITF228" s="9"/>
      <c r="ITG228" s="4"/>
      <c r="ITH228" s="9"/>
      <c r="ITI228" s="4"/>
      <c r="ITJ228" s="9"/>
      <c r="ITK228" s="4"/>
      <c r="ITL228" s="9"/>
      <c r="ITM228" s="4"/>
      <c r="ITN228" s="9"/>
      <c r="ITO228" s="4"/>
      <c r="ITP228" s="9"/>
      <c r="ITQ228" s="4"/>
      <c r="ITR228" s="9"/>
      <c r="ITS228" s="4"/>
      <c r="ITT228" s="9"/>
      <c r="ITU228" s="4"/>
      <c r="ITV228" s="9"/>
      <c r="ITW228" s="4"/>
      <c r="ITX228" s="9"/>
      <c r="ITY228" s="4"/>
      <c r="ITZ228" s="9"/>
      <c r="IUA228" s="4"/>
      <c r="IUB228" s="9"/>
      <c r="IUC228" s="4"/>
      <c r="IUD228" s="9"/>
      <c r="IUE228" s="4"/>
      <c r="IUF228" s="9"/>
      <c r="IUG228" s="4"/>
      <c r="IUH228" s="9"/>
      <c r="IUI228" s="4"/>
      <c r="IUJ228" s="9"/>
      <c r="IUK228" s="4"/>
      <c r="IUL228" s="9"/>
      <c r="IUM228" s="4"/>
      <c r="IUN228" s="9"/>
      <c r="IUO228" s="4"/>
      <c r="IUP228" s="9"/>
      <c r="IUQ228" s="4"/>
      <c r="IUR228" s="9"/>
      <c r="IUS228" s="4"/>
      <c r="IUT228" s="9"/>
      <c r="IUU228" s="4"/>
      <c r="IUV228" s="9"/>
      <c r="IUW228" s="4"/>
      <c r="IUX228" s="9"/>
      <c r="IUY228" s="4"/>
      <c r="IUZ228" s="9"/>
      <c r="IVA228" s="4"/>
      <c r="IVB228" s="9"/>
      <c r="IVC228" s="4"/>
      <c r="IVD228" s="9"/>
      <c r="IVE228" s="4"/>
      <c r="IVF228" s="9"/>
      <c r="IVG228" s="4"/>
      <c r="IVH228" s="9"/>
      <c r="IVI228" s="4"/>
      <c r="IVJ228" s="9"/>
      <c r="IVK228" s="4"/>
      <c r="IVL228" s="9"/>
      <c r="IVM228" s="4"/>
      <c r="IVN228" s="9"/>
      <c r="IVO228" s="4"/>
      <c r="IVP228" s="9"/>
      <c r="IVQ228" s="4"/>
      <c r="IVR228" s="9"/>
      <c r="IVS228" s="4"/>
      <c r="IVT228" s="9"/>
      <c r="IVU228" s="4"/>
      <c r="IVV228" s="9"/>
      <c r="IVW228" s="4"/>
      <c r="IVX228" s="9"/>
      <c r="IVY228" s="4"/>
      <c r="IVZ228" s="9"/>
      <c r="IWA228" s="4"/>
      <c r="IWB228" s="9"/>
      <c r="IWC228" s="4"/>
      <c r="IWD228" s="9"/>
      <c r="IWE228" s="4"/>
      <c r="IWF228" s="9"/>
      <c r="IWG228" s="4"/>
      <c r="IWH228" s="9"/>
      <c r="IWI228" s="4"/>
      <c r="IWJ228" s="9"/>
      <c r="IWK228" s="4"/>
      <c r="IWL228" s="9"/>
      <c r="IWM228" s="4"/>
      <c r="IWN228" s="9"/>
      <c r="IWO228" s="4"/>
      <c r="IWP228" s="9"/>
      <c r="IWQ228" s="4"/>
      <c r="IWR228" s="9"/>
      <c r="IWS228" s="4"/>
      <c r="IWT228" s="9"/>
      <c r="IWU228" s="4"/>
      <c r="IWV228" s="9"/>
      <c r="IWW228" s="4"/>
      <c r="IWX228" s="9"/>
      <c r="IWY228" s="4"/>
      <c r="IWZ228" s="9"/>
      <c r="IXA228" s="4"/>
      <c r="IXB228" s="9"/>
      <c r="IXC228" s="4"/>
      <c r="IXD228" s="9"/>
      <c r="IXE228" s="4"/>
      <c r="IXF228" s="9"/>
      <c r="IXG228" s="4"/>
      <c r="IXH228" s="9"/>
      <c r="IXI228" s="4"/>
      <c r="IXJ228" s="9"/>
      <c r="IXK228" s="4"/>
      <c r="IXL228" s="9"/>
      <c r="IXM228" s="4"/>
      <c r="IXN228" s="9"/>
      <c r="IXO228" s="4"/>
      <c r="IXP228" s="9"/>
      <c r="IXQ228" s="4"/>
      <c r="IXR228" s="9"/>
      <c r="IXS228" s="4"/>
      <c r="IXT228" s="9"/>
      <c r="IXU228" s="4"/>
      <c r="IXV228" s="9"/>
      <c r="IXW228" s="4"/>
      <c r="IXX228" s="9"/>
      <c r="IXY228" s="4"/>
      <c r="IXZ228" s="9"/>
      <c r="IYA228" s="4"/>
      <c r="IYB228" s="9"/>
      <c r="IYC228" s="4"/>
      <c r="IYD228" s="9"/>
      <c r="IYE228" s="4"/>
      <c r="IYF228" s="9"/>
      <c r="IYG228" s="4"/>
      <c r="IYH228" s="9"/>
      <c r="IYI228" s="4"/>
      <c r="IYJ228" s="9"/>
      <c r="IYK228" s="4"/>
      <c r="IYL228" s="9"/>
      <c r="IYM228" s="4"/>
      <c r="IYN228" s="9"/>
      <c r="IYO228" s="4"/>
      <c r="IYP228" s="9"/>
      <c r="IYQ228" s="4"/>
      <c r="IYR228" s="9"/>
      <c r="IYS228" s="4"/>
      <c r="IYT228" s="9"/>
      <c r="IYU228" s="4"/>
      <c r="IYV228" s="9"/>
      <c r="IYW228" s="4"/>
      <c r="IYX228" s="9"/>
      <c r="IYY228" s="4"/>
      <c r="IYZ228" s="9"/>
      <c r="IZA228" s="4"/>
      <c r="IZB228" s="9"/>
      <c r="IZC228" s="4"/>
      <c r="IZD228" s="9"/>
      <c r="IZE228" s="4"/>
      <c r="IZF228" s="9"/>
      <c r="IZG228" s="4"/>
      <c r="IZH228" s="9"/>
      <c r="IZI228" s="4"/>
      <c r="IZJ228" s="9"/>
      <c r="IZK228" s="4"/>
      <c r="IZL228" s="9"/>
      <c r="IZM228" s="4"/>
      <c r="IZN228" s="9"/>
      <c r="IZO228" s="4"/>
      <c r="IZP228" s="9"/>
      <c r="IZQ228" s="4"/>
      <c r="IZR228" s="9"/>
      <c r="IZS228" s="4"/>
      <c r="IZT228" s="9"/>
      <c r="IZU228" s="4"/>
      <c r="IZV228" s="9"/>
      <c r="IZW228" s="4"/>
      <c r="IZX228" s="9"/>
      <c r="IZY228" s="4"/>
      <c r="IZZ228" s="9"/>
      <c r="JAA228" s="4"/>
      <c r="JAB228" s="9"/>
      <c r="JAC228" s="4"/>
      <c r="JAD228" s="9"/>
      <c r="JAE228" s="4"/>
      <c r="JAF228" s="9"/>
      <c r="JAG228" s="4"/>
      <c r="JAH228" s="9"/>
      <c r="JAI228" s="4"/>
      <c r="JAJ228" s="9"/>
      <c r="JAK228" s="4"/>
      <c r="JAL228" s="9"/>
      <c r="JAM228" s="4"/>
      <c r="JAN228" s="9"/>
      <c r="JAO228" s="4"/>
      <c r="JAP228" s="9"/>
      <c r="JAQ228" s="4"/>
      <c r="JAR228" s="9"/>
      <c r="JAS228" s="4"/>
      <c r="JAT228" s="9"/>
      <c r="JAU228" s="4"/>
      <c r="JAV228" s="9"/>
      <c r="JAW228" s="4"/>
      <c r="JAX228" s="9"/>
      <c r="JAY228" s="4"/>
      <c r="JAZ228" s="9"/>
      <c r="JBA228" s="4"/>
      <c r="JBB228" s="9"/>
      <c r="JBC228" s="4"/>
      <c r="JBD228" s="9"/>
      <c r="JBE228" s="4"/>
      <c r="JBF228" s="9"/>
      <c r="JBG228" s="4"/>
      <c r="JBH228" s="9"/>
      <c r="JBI228" s="4"/>
      <c r="JBJ228" s="9"/>
      <c r="JBK228" s="4"/>
      <c r="JBL228" s="9"/>
      <c r="JBM228" s="4"/>
      <c r="JBN228" s="9"/>
      <c r="JBO228" s="4"/>
      <c r="JBP228" s="9"/>
      <c r="JBQ228" s="4"/>
      <c r="JBR228" s="9"/>
      <c r="JBS228" s="4"/>
      <c r="JBT228" s="9"/>
      <c r="JBU228" s="4"/>
      <c r="JBV228" s="9"/>
      <c r="JBW228" s="4"/>
      <c r="JBX228" s="9"/>
      <c r="JBY228" s="4"/>
      <c r="JBZ228" s="9"/>
      <c r="JCA228" s="4"/>
      <c r="JCB228" s="9"/>
      <c r="JCC228" s="4"/>
      <c r="JCD228" s="9"/>
      <c r="JCE228" s="4"/>
      <c r="JCF228" s="9"/>
      <c r="JCG228" s="4"/>
      <c r="JCH228" s="9"/>
      <c r="JCI228" s="4"/>
      <c r="JCJ228" s="9"/>
      <c r="JCK228" s="4"/>
      <c r="JCL228" s="9"/>
      <c r="JCM228" s="4"/>
      <c r="JCN228" s="9"/>
      <c r="JCO228" s="4"/>
      <c r="JCP228" s="9"/>
      <c r="JCQ228" s="4"/>
      <c r="JCR228" s="9"/>
      <c r="JCS228" s="4"/>
      <c r="JCT228" s="9"/>
      <c r="JCU228" s="4"/>
      <c r="JCV228" s="9"/>
      <c r="JCW228" s="4"/>
      <c r="JCX228" s="9"/>
      <c r="JCY228" s="4"/>
      <c r="JCZ228" s="9"/>
      <c r="JDA228" s="4"/>
      <c r="JDB228" s="9"/>
      <c r="JDC228" s="4"/>
      <c r="JDD228" s="9"/>
      <c r="JDE228" s="4"/>
      <c r="JDF228" s="9"/>
      <c r="JDG228" s="4"/>
      <c r="JDH228" s="9"/>
      <c r="JDI228" s="4"/>
      <c r="JDJ228" s="9"/>
      <c r="JDK228" s="4"/>
      <c r="JDL228" s="9"/>
      <c r="JDM228" s="4"/>
      <c r="JDN228" s="9"/>
      <c r="JDO228" s="4"/>
      <c r="JDP228" s="9"/>
      <c r="JDQ228" s="4"/>
      <c r="JDR228" s="9"/>
      <c r="JDS228" s="4"/>
      <c r="JDT228" s="9"/>
      <c r="JDU228" s="4"/>
      <c r="JDV228" s="9"/>
      <c r="JDW228" s="4"/>
      <c r="JDX228" s="9"/>
      <c r="JDY228" s="4"/>
      <c r="JDZ228" s="9"/>
      <c r="JEA228" s="4"/>
      <c r="JEB228" s="9"/>
      <c r="JEC228" s="4"/>
      <c r="JED228" s="9"/>
      <c r="JEE228" s="4"/>
      <c r="JEF228" s="9"/>
      <c r="JEG228" s="4"/>
      <c r="JEH228" s="9"/>
      <c r="JEI228" s="4"/>
      <c r="JEJ228" s="9"/>
      <c r="JEK228" s="4"/>
      <c r="JEL228" s="9"/>
      <c r="JEM228" s="4"/>
      <c r="JEN228" s="9"/>
      <c r="JEO228" s="4"/>
      <c r="JEP228" s="9"/>
      <c r="JEQ228" s="4"/>
      <c r="JER228" s="9"/>
      <c r="JES228" s="4"/>
      <c r="JET228" s="9"/>
      <c r="JEU228" s="4"/>
      <c r="JEV228" s="9"/>
      <c r="JEW228" s="4"/>
      <c r="JEX228" s="9"/>
      <c r="JEY228" s="4"/>
      <c r="JEZ228" s="9"/>
      <c r="JFA228" s="4"/>
      <c r="JFB228" s="9"/>
      <c r="JFC228" s="4"/>
      <c r="JFD228" s="9"/>
      <c r="JFE228" s="4"/>
      <c r="JFF228" s="9"/>
      <c r="JFG228" s="4"/>
      <c r="JFH228" s="9"/>
      <c r="JFI228" s="4"/>
      <c r="JFJ228" s="9"/>
      <c r="JFK228" s="4"/>
      <c r="JFL228" s="9"/>
      <c r="JFM228" s="4"/>
      <c r="JFN228" s="9"/>
      <c r="JFO228" s="4"/>
      <c r="JFP228" s="9"/>
      <c r="JFQ228" s="4"/>
      <c r="JFR228" s="9"/>
      <c r="JFS228" s="4"/>
      <c r="JFT228" s="9"/>
      <c r="JFU228" s="4"/>
      <c r="JFV228" s="9"/>
      <c r="JFW228" s="4"/>
      <c r="JFX228" s="9"/>
      <c r="JFY228" s="4"/>
      <c r="JFZ228" s="9"/>
      <c r="JGA228" s="4"/>
      <c r="JGB228" s="9"/>
      <c r="JGC228" s="4"/>
      <c r="JGD228" s="9"/>
      <c r="JGE228" s="4"/>
      <c r="JGF228" s="9"/>
      <c r="JGG228" s="4"/>
      <c r="JGH228" s="9"/>
      <c r="JGI228" s="4"/>
      <c r="JGJ228" s="9"/>
      <c r="JGK228" s="4"/>
      <c r="JGL228" s="9"/>
      <c r="JGM228" s="4"/>
      <c r="JGN228" s="9"/>
      <c r="JGO228" s="4"/>
      <c r="JGP228" s="9"/>
      <c r="JGQ228" s="4"/>
      <c r="JGR228" s="9"/>
      <c r="JGS228" s="4"/>
      <c r="JGT228" s="9"/>
      <c r="JGU228" s="4"/>
      <c r="JGV228" s="9"/>
      <c r="JGW228" s="4"/>
      <c r="JGX228" s="9"/>
      <c r="JGY228" s="4"/>
      <c r="JGZ228" s="9"/>
      <c r="JHA228" s="4"/>
      <c r="JHB228" s="9"/>
      <c r="JHC228" s="4"/>
      <c r="JHD228" s="9"/>
      <c r="JHE228" s="4"/>
      <c r="JHF228" s="9"/>
      <c r="JHG228" s="4"/>
      <c r="JHH228" s="9"/>
      <c r="JHI228" s="4"/>
      <c r="JHJ228" s="9"/>
      <c r="JHK228" s="4"/>
      <c r="JHL228" s="9"/>
      <c r="JHM228" s="4"/>
      <c r="JHN228" s="9"/>
      <c r="JHO228" s="4"/>
      <c r="JHP228" s="9"/>
      <c r="JHQ228" s="4"/>
      <c r="JHR228" s="9"/>
      <c r="JHS228" s="4"/>
      <c r="JHT228" s="9"/>
      <c r="JHU228" s="4"/>
      <c r="JHV228" s="9"/>
      <c r="JHW228" s="4"/>
      <c r="JHX228" s="9"/>
      <c r="JHY228" s="4"/>
      <c r="JHZ228" s="9"/>
      <c r="JIA228" s="4"/>
      <c r="JIB228" s="9"/>
      <c r="JIC228" s="4"/>
      <c r="JID228" s="9"/>
      <c r="JIE228" s="4"/>
      <c r="JIF228" s="9"/>
      <c r="JIG228" s="4"/>
      <c r="JIH228" s="9"/>
      <c r="JII228" s="4"/>
      <c r="JIJ228" s="9"/>
      <c r="JIK228" s="4"/>
      <c r="JIL228" s="9"/>
      <c r="JIM228" s="4"/>
      <c r="JIN228" s="9"/>
      <c r="JIO228" s="4"/>
      <c r="JIP228" s="9"/>
      <c r="JIQ228" s="4"/>
      <c r="JIR228" s="9"/>
      <c r="JIS228" s="4"/>
      <c r="JIT228" s="9"/>
      <c r="JIU228" s="4"/>
      <c r="JIV228" s="9"/>
      <c r="JIW228" s="4"/>
      <c r="JIX228" s="9"/>
      <c r="JIY228" s="4"/>
      <c r="JIZ228" s="9"/>
      <c r="JJA228" s="4"/>
      <c r="JJB228" s="9"/>
      <c r="JJC228" s="4"/>
      <c r="JJD228" s="9"/>
      <c r="JJE228" s="4"/>
      <c r="JJF228" s="9"/>
      <c r="JJG228" s="4"/>
      <c r="JJH228" s="9"/>
      <c r="JJI228" s="4"/>
      <c r="JJJ228" s="9"/>
      <c r="JJK228" s="4"/>
      <c r="JJL228" s="9"/>
      <c r="JJM228" s="4"/>
      <c r="JJN228" s="9"/>
      <c r="JJO228" s="4"/>
      <c r="JJP228" s="9"/>
      <c r="JJQ228" s="4"/>
      <c r="JJR228" s="9"/>
      <c r="JJS228" s="4"/>
      <c r="JJT228" s="9"/>
      <c r="JJU228" s="4"/>
      <c r="JJV228" s="9"/>
      <c r="JJW228" s="4"/>
      <c r="JJX228" s="9"/>
      <c r="JJY228" s="4"/>
      <c r="JJZ228" s="9"/>
      <c r="JKA228" s="4"/>
      <c r="JKB228" s="9"/>
      <c r="JKC228" s="4"/>
      <c r="JKD228" s="9"/>
      <c r="JKE228" s="4"/>
      <c r="JKF228" s="9"/>
      <c r="JKG228" s="4"/>
      <c r="JKH228" s="9"/>
      <c r="JKI228" s="4"/>
      <c r="JKJ228" s="9"/>
      <c r="JKK228" s="4"/>
      <c r="JKL228" s="9"/>
      <c r="JKM228" s="4"/>
      <c r="JKN228" s="9"/>
      <c r="JKO228" s="4"/>
      <c r="JKP228" s="9"/>
      <c r="JKQ228" s="4"/>
      <c r="JKR228" s="9"/>
      <c r="JKS228" s="4"/>
      <c r="JKT228" s="9"/>
      <c r="JKU228" s="4"/>
      <c r="JKV228" s="9"/>
      <c r="JKW228" s="4"/>
      <c r="JKX228" s="9"/>
      <c r="JKY228" s="4"/>
      <c r="JKZ228" s="9"/>
      <c r="JLA228" s="4"/>
      <c r="JLB228" s="9"/>
      <c r="JLC228" s="4"/>
      <c r="JLD228" s="9"/>
      <c r="JLE228" s="4"/>
      <c r="JLF228" s="9"/>
      <c r="JLG228" s="4"/>
      <c r="JLH228" s="9"/>
      <c r="JLI228" s="4"/>
      <c r="JLJ228" s="9"/>
      <c r="JLK228" s="4"/>
      <c r="JLL228" s="9"/>
      <c r="JLM228" s="4"/>
      <c r="JLN228" s="9"/>
      <c r="JLO228" s="4"/>
      <c r="JLP228" s="9"/>
      <c r="JLQ228" s="4"/>
      <c r="JLR228" s="9"/>
      <c r="JLS228" s="4"/>
      <c r="JLT228" s="9"/>
      <c r="JLU228" s="4"/>
      <c r="JLV228" s="9"/>
      <c r="JLW228" s="4"/>
      <c r="JLX228" s="9"/>
      <c r="JLY228" s="4"/>
      <c r="JLZ228" s="9"/>
      <c r="JMA228" s="4"/>
      <c r="JMB228" s="9"/>
      <c r="JMC228" s="4"/>
      <c r="JMD228" s="9"/>
      <c r="JME228" s="4"/>
      <c r="JMF228" s="9"/>
      <c r="JMG228" s="4"/>
      <c r="JMH228" s="9"/>
      <c r="JMI228" s="4"/>
      <c r="JMJ228" s="9"/>
      <c r="JMK228" s="4"/>
      <c r="JML228" s="9"/>
      <c r="JMM228" s="4"/>
      <c r="JMN228" s="9"/>
      <c r="JMO228" s="4"/>
      <c r="JMP228" s="9"/>
      <c r="JMQ228" s="4"/>
      <c r="JMR228" s="9"/>
      <c r="JMS228" s="4"/>
      <c r="JMT228" s="9"/>
      <c r="JMU228" s="4"/>
      <c r="JMV228" s="9"/>
      <c r="JMW228" s="4"/>
      <c r="JMX228" s="9"/>
      <c r="JMY228" s="4"/>
      <c r="JMZ228" s="9"/>
      <c r="JNA228" s="4"/>
      <c r="JNB228" s="9"/>
      <c r="JNC228" s="4"/>
      <c r="JND228" s="9"/>
      <c r="JNE228" s="4"/>
      <c r="JNF228" s="9"/>
      <c r="JNG228" s="4"/>
      <c r="JNH228" s="9"/>
      <c r="JNI228" s="4"/>
      <c r="JNJ228" s="9"/>
      <c r="JNK228" s="4"/>
      <c r="JNL228" s="9"/>
      <c r="JNM228" s="4"/>
      <c r="JNN228" s="9"/>
      <c r="JNO228" s="4"/>
      <c r="JNP228" s="9"/>
      <c r="JNQ228" s="4"/>
      <c r="JNR228" s="9"/>
      <c r="JNS228" s="4"/>
      <c r="JNT228" s="9"/>
      <c r="JNU228" s="4"/>
      <c r="JNV228" s="9"/>
      <c r="JNW228" s="4"/>
      <c r="JNX228" s="9"/>
      <c r="JNY228" s="4"/>
      <c r="JNZ228" s="9"/>
      <c r="JOA228" s="4"/>
      <c r="JOB228" s="9"/>
      <c r="JOC228" s="4"/>
      <c r="JOD228" s="9"/>
      <c r="JOE228" s="4"/>
      <c r="JOF228" s="9"/>
      <c r="JOG228" s="4"/>
      <c r="JOH228" s="9"/>
      <c r="JOI228" s="4"/>
      <c r="JOJ228" s="9"/>
      <c r="JOK228" s="4"/>
      <c r="JOL228" s="9"/>
      <c r="JOM228" s="4"/>
      <c r="JON228" s="9"/>
      <c r="JOO228" s="4"/>
      <c r="JOP228" s="9"/>
      <c r="JOQ228" s="4"/>
      <c r="JOR228" s="9"/>
      <c r="JOS228" s="4"/>
      <c r="JOT228" s="9"/>
      <c r="JOU228" s="4"/>
      <c r="JOV228" s="9"/>
      <c r="JOW228" s="4"/>
      <c r="JOX228" s="9"/>
      <c r="JOY228" s="4"/>
      <c r="JOZ228" s="9"/>
      <c r="JPA228" s="4"/>
      <c r="JPB228" s="9"/>
      <c r="JPC228" s="4"/>
      <c r="JPD228" s="9"/>
      <c r="JPE228" s="4"/>
      <c r="JPF228" s="9"/>
      <c r="JPG228" s="4"/>
      <c r="JPH228" s="9"/>
      <c r="JPI228" s="4"/>
      <c r="JPJ228" s="9"/>
      <c r="JPK228" s="4"/>
      <c r="JPL228" s="9"/>
      <c r="JPM228" s="4"/>
      <c r="JPN228" s="9"/>
      <c r="JPO228" s="4"/>
      <c r="JPP228" s="9"/>
      <c r="JPQ228" s="4"/>
      <c r="JPR228" s="9"/>
      <c r="JPS228" s="4"/>
      <c r="JPT228" s="9"/>
      <c r="JPU228" s="4"/>
      <c r="JPV228" s="9"/>
      <c r="JPW228" s="4"/>
      <c r="JPX228" s="9"/>
      <c r="JPY228" s="4"/>
      <c r="JPZ228" s="9"/>
      <c r="JQA228" s="4"/>
      <c r="JQB228" s="9"/>
      <c r="JQC228" s="4"/>
      <c r="JQD228" s="9"/>
      <c r="JQE228" s="4"/>
      <c r="JQF228" s="9"/>
      <c r="JQG228" s="4"/>
      <c r="JQH228" s="9"/>
      <c r="JQI228" s="4"/>
      <c r="JQJ228" s="9"/>
      <c r="JQK228" s="4"/>
      <c r="JQL228" s="9"/>
      <c r="JQM228" s="4"/>
      <c r="JQN228" s="9"/>
      <c r="JQO228" s="4"/>
      <c r="JQP228" s="9"/>
      <c r="JQQ228" s="4"/>
      <c r="JQR228" s="9"/>
      <c r="JQS228" s="4"/>
      <c r="JQT228" s="9"/>
      <c r="JQU228" s="4"/>
      <c r="JQV228" s="9"/>
      <c r="JQW228" s="4"/>
      <c r="JQX228" s="9"/>
      <c r="JQY228" s="4"/>
      <c r="JQZ228" s="9"/>
      <c r="JRA228" s="4"/>
      <c r="JRB228" s="9"/>
      <c r="JRC228" s="4"/>
      <c r="JRD228" s="9"/>
      <c r="JRE228" s="4"/>
      <c r="JRF228" s="9"/>
      <c r="JRG228" s="4"/>
      <c r="JRH228" s="9"/>
      <c r="JRI228" s="4"/>
      <c r="JRJ228" s="9"/>
      <c r="JRK228" s="4"/>
      <c r="JRL228" s="9"/>
      <c r="JRM228" s="4"/>
      <c r="JRN228" s="9"/>
      <c r="JRO228" s="4"/>
      <c r="JRP228" s="9"/>
      <c r="JRQ228" s="4"/>
      <c r="JRR228" s="9"/>
      <c r="JRS228" s="4"/>
      <c r="JRT228" s="9"/>
      <c r="JRU228" s="4"/>
      <c r="JRV228" s="9"/>
      <c r="JRW228" s="4"/>
      <c r="JRX228" s="9"/>
      <c r="JRY228" s="4"/>
      <c r="JRZ228" s="9"/>
      <c r="JSA228" s="4"/>
      <c r="JSB228" s="9"/>
      <c r="JSC228" s="4"/>
      <c r="JSD228" s="9"/>
      <c r="JSE228" s="4"/>
      <c r="JSF228" s="9"/>
      <c r="JSG228" s="4"/>
      <c r="JSH228" s="9"/>
      <c r="JSI228" s="4"/>
      <c r="JSJ228" s="9"/>
      <c r="JSK228" s="4"/>
      <c r="JSL228" s="9"/>
      <c r="JSM228" s="4"/>
      <c r="JSN228" s="9"/>
      <c r="JSO228" s="4"/>
      <c r="JSP228" s="9"/>
      <c r="JSQ228" s="4"/>
      <c r="JSR228" s="9"/>
      <c r="JSS228" s="4"/>
      <c r="JST228" s="9"/>
      <c r="JSU228" s="4"/>
      <c r="JSV228" s="9"/>
      <c r="JSW228" s="4"/>
      <c r="JSX228" s="9"/>
      <c r="JSY228" s="4"/>
      <c r="JSZ228" s="9"/>
      <c r="JTA228" s="4"/>
      <c r="JTB228" s="9"/>
      <c r="JTC228" s="4"/>
      <c r="JTD228" s="9"/>
      <c r="JTE228" s="4"/>
      <c r="JTF228" s="9"/>
      <c r="JTG228" s="4"/>
      <c r="JTH228" s="9"/>
      <c r="JTI228" s="4"/>
      <c r="JTJ228" s="9"/>
      <c r="JTK228" s="4"/>
      <c r="JTL228" s="9"/>
      <c r="JTM228" s="4"/>
      <c r="JTN228" s="9"/>
      <c r="JTO228" s="4"/>
      <c r="JTP228" s="9"/>
      <c r="JTQ228" s="4"/>
      <c r="JTR228" s="9"/>
      <c r="JTS228" s="4"/>
      <c r="JTT228" s="9"/>
      <c r="JTU228" s="4"/>
      <c r="JTV228" s="9"/>
      <c r="JTW228" s="4"/>
      <c r="JTX228" s="9"/>
      <c r="JTY228" s="4"/>
      <c r="JTZ228" s="9"/>
      <c r="JUA228" s="4"/>
      <c r="JUB228" s="9"/>
      <c r="JUC228" s="4"/>
      <c r="JUD228" s="9"/>
      <c r="JUE228" s="4"/>
      <c r="JUF228" s="9"/>
      <c r="JUG228" s="4"/>
      <c r="JUH228" s="9"/>
      <c r="JUI228" s="4"/>
      <c r="JUJ228" s="9"/>
      <c r="JUK228" s="4"/>
      <c r="JUL228" s="9"/>
      <c r="JUM228" s="4"/>
      <c r="JUN228" s="9"/>
      <c r="JUO228" s="4"/>
      <c r="JUP228" s="9"/>
      <c r="JUQ228" s="4"/>
      <c r="JUR228" s="9"/>
      <c r="JUS228" s="4"/>
      <c r="JUT228" s="9"/>
      <c r="JUU228" s="4"/>
      <c r="JUV228" s="9"/>
      <c r="JUW228" s="4"/>
      <c r="JUX228" s="9"/>
      <c r="JUY228" s="4"/>
      <c r="JUZ228" s="9"/>
      <c r="JVA228" s="4"/>
      <c r="JVB228" s="9"/>
      <c r="JVC228" s="4"/>
      <c r="JVD228" s="9"/>
      <c r="JVE228" s="4"/>
      <c r="JVF228" s="9"/>
      <c r="JVG228" s="4"/>
      <c r="JVH228" s="9"/>
      <c r="JVI228" s="4"/>
      <c r="JVJ228" s="9"/>
      <c r="JVK228" s="4"/>
      <c r="JVL228" s="9"/>
      <c r="JVM228" s="4"/>
      <c r="JVN228" s="9"/>
      <c r="JVO228" s="4"/>
      <c r="JVP228" s="9"/>
      <c r="JVQ228" s="4"/>
      <c r="JVR228" s="9"/>
      <c r="JVS228" s="4"/>
      <c r="JVT228" s="9"/>
      <c r="JVU228" s="4"/>
      <c r="JVV228" s="9"/>
      <c r="JVW228" s="4"/>
      <c r="JVX228" s="9"/>
      <c r="JVY228" s="4"/>
      <c r="JVZ228" s="9"/>
      <c r="JWA228" s="4"/>
      <c r="JWB228" s="9"/>
      <c r="JWC228" s="4"/>
      <c r="JWD228" s="9"/>
      <c r="JWE228" s="4"/>
      <c r="JWF228" s="9"/>
      <c r="JWG228" s="4"/>
      <c r="JWH228" s="9"/>
      <c r="JWI228" s="4"/>
      <c r="JWJ228" s="9"/>
      <c r="JWK228" s="4"/>
      <c r="JWL228" s="9"/>
      <c r="JWM228" s="4"/>
      <c r="JWN228" s="9"/>
      <c r="JWO228" s="4"/>
      <c r="JWP228" s="9"/>
      <c r="JWQ228" s="4"/>
      <c r="JWR228" s="9"/>
      <c r="JWS228" s="4"/>
      <c r="JWT228" s="9"/>
      <c r="JWU228" s="4"/>
      <c r="JWV228" s="9"/>
      <c r="JWW228" s="4"/>
      <c r="JWX228" s="9"/>
      <c r="JWY228" s="4"/>
      <c r="JWZ228" s="9"/>
      <c r="JXA228" s="4"/>
      <c r="JXB228" s="9"/>
      <c r="JXC228" s="4"/>
      <c r="JXD228" s="9"/>
      <c r="JXE228" s="4"/>
      <c r="JXF228" s="9"/>
      <c r="JXG228" s="4"/>
      <c r="JXH228" s="9"/>
      <c r="JXI228" s="4"/>
      <c r="JXJ228" s="9"/>
      <c r="JXK228" s="4"/>
      <c r="JXL228" s="9"/>
      <c r="JXM228" s="4"/>
      <c r="JXN228" s="9"/>
      <c r="JXO228" s="4"/>
      <c r="JXP228" s="9"/>
      <c r="JXQ228" s="4"/>
      <c r="JXR228" s="9"/>
      <c r="JXS228" s="4"/>
      <c r="JXT228" s="9"/>
      <c r="JXU228" s="4"/>
      <c r="JXV228" s="9"/>
      <c r="JXW228" s="4"/>
      <c r="JXX228" s="9"/>
      <c r="JXY228" s="4"/>
      <c r="JXZ228" s="9"/>
      <c r="JYA228" s="4"/>
      <c r="JYB228" s="9"/>
      <c r="JYC228" s="4"/>
      <c r="JYD228" s="9"/>
      <c r="JYE228" s="4"/>
      <c r="JYF228" s="9"/>
      <c r="JYG228" s="4"/>
      <c r="JYH228" s="9"/>
      <c r="JYI228" s="4"/>
      <c r="JYJ228" s="9"/>
      <c r="JYK228" s="4"/>
      <c r="JYL228" s="9"/>
      <c r="JYM228" s="4"/>
      <c r="JYN228" s="9"/>
      <c r="JYO228" s="4"/>
      <c r="JYP228" s="9"/>
      <c r="JYQ228" s="4"/>
      <c r="JYR228" s="9"/>
      <c r="JYS228" s="4"/>
      <c r="JYT228" s="9"/>
      <c r="JYU228" s="4"/>
      <c r="JYV228" s="9"/>
      <c r="JYW228" s="4"/>
      <c r="JYX228" s="9"/>
      <c r="JYY228" s="4"/>
      <c r="JYZ228" s="9"/>
      <c r="JZA228" s="4"/>
      <c r="JZB228" s="9"/>
      <c r="JZC228" s="4"/>
      <c r="JZD228" s="9"/>
      <c r="JZE228" s="4"/>
      <c r="JZF228" s="9"/>
      <c r="JZG228" s="4"/>
      <c r="JZH228" s="9"/>
      <c r="JZI228" s="4"/>
      <c r="JZJ228" s="9"/>
      <c r="JZK228" s="4"/>
      <c r="JZL228" s="9"/>
      <c r="JZM228" s="4"/>
      <c r="JZN228" s="9"/>
      <c r="JZO228" s="4"/>
      <c r="JZP228" s="9"/>
      <c r="JZQ228" s="4"/>
      <c r="JZR228" s="9"/>
      <c r="JZS228" s="4"/>
      <c r="JZT228" s="9"/>
      <c r="JZU228" s="4"/>
      <c r="JZV228" s="9"/>
      <c r="JZW228" s="4"/>
      <c r="JZX228" s="9"/>
      <c r="JZY228" s="4"/>
      <c r="JZZ228" s="9"/>
      <c r="KAA228" s="4"/>
      <c r="KAB228" s="9"/>
      <c r="KAC228" s="4"/>
      <c r="KAD228" s="9"/>
      <c r="KAE228" s="4"/>
      <c r="KAF228" s="9"/>
      <c r="KAG228" s="4"/>
      <c r="KAH228" s="9"/>
      <c r="KAI228" s="4"/>
      <c r="KAJ228" s="9"/>
      <c r="KAK228" s="4"/>
      <c r="KAL228" s="9"/>
      <c r="KAM228" s="4"/>
      <c r="KAN228" s="9"/>
      <c r="KAO228" s="4"/>
      <c r="KAP228" s="9"/>
      <c r="KAQ228" s="4"/>
      <c r="KAR228" s="9"/>
      <c r="KAS228" s="4"/>
      <c r="KAT228" s="9"/>
      <c r="KAU228" s="4"/>
      <c r="KAV228" s="9"/>
      <c r="KAW228" s="4"/>
      <c r="KAX228" s="9"/>
      <c r="KAY228" s="4"/>
      <c r="KAZ228" s="9"/>
      <c r="KBA228" s="4"/>
      <c r="KBB228" s="9"/>
      <c r="KBC228" s="4"/>
      <c r="KBD228" s="9"/>
      <c r="KBE228" s="4"/>
      <c r="KBF228" s="9"/>
      <c r="KBG228" s="4"/>
      <c r="KBH228" s="9"/>
      <c r="KBI228" s="4"/>
      <c r="KBJ228" s="9"/>
      <c r="KBK228" s="4"/>
      <c r="KBL228" s="9"/>
      <c r="KBM228" s="4"/>
      <c r="KBN228" s="9"/>
      <c r="KBO228" s="4"/>
      <c r="KBP228" s="9"/>
      <c r="KBQ228" s="4"/>
      <c r="KBR228" s="9"/>
      <c r="KBS228" s="4"/>
      <c r="KBT228" s="9"/>
      <c r="KBU228" s="4"/>
      <c r="KBV228" s="9"/>
      <c r="KBW228" s="4"/>
      <c r="KBX228" s="9"/>
      <c r="KBY228" s="4"/>
      <c r="KBZ228" s="9"/>
      <c r="KCA228" s="4"/>
      <c r="KCB228" s="9"/>
      <c r="KCC228" s="4"/>
      <c r="KCD228" s="9"/>
      <c r="KCE228" s="4"/>
      <c r="KCF228" s="9"/>
      <c r="KCG228" s="4"/>
      <c r="KCH228" s="9"/>
      <c r="KCI228" s="4"/>
      <c r="KCJ228" s="9"/>
      <c r="KCK228" s="4"/>
      <c r="KCL228" s="9"/>
      <c r="KCM228" s="4"/>
      <c r="KCN228" s="9"/>
      <c r="KCO228" s="4"/>
      <c r="KCP228" s="9"/>
      <c r="KCQ228" s="4"/>
      <c r="KCR228" s="9"/>
      <c r="KCS228" s="4"/>
      <c r="KCT228" s="9"/>
      <c r="KCU228" s="4"/>
      <c r="KCV228" s="9"/>
      <c r="KCW228" s="4"/>
      <c r="KCX228" s="9"/>
      <c r="KCY228" s="4"/>
      <c r="KCZ228" s="9"/>
      <c r="KDA228" s="4"/>
      <c r="KDB228" s="9"/>
      <c r="KDC228" s="4"/>
      <c r="KDD228" s="9"/>
      <c r="KDE228" s="4"/>
      <c r="KDF228" s="9"/>
      <c r="KDG228" s="4"/>
      <c r="KDH228" s="9"/>
      <c r="KDI228" s="4"/>
      <c r="KDJ228" s="9"/>
      <c r="KDK228" s="4"/>
      <c r="KDL228" s="9"/>
      <c r="KDM228" s="4"/>
      <c r="KDN228" s="9"/>
      <c r="KDO228" s="4"/>
      <c r="KDP228" s="9"/>
      <c r="KDQ228" s="4"/>
      <c r="KDR228" s="9"/>
      <c r="KDS228" s="4"/>
      <c r="KDT228" s="9"/>
      <c r="KDU228" s="4"/>
      <c r="KDV228" s="9"/>
      <c r="KDW228" s="4"/>
      <c r="KDX228" s="9"/>
      <c r="KDY228" s="4"/>
      <c r="KDZ228" s="9"/>
      <c r="KEA228" s="4"/>
      <c r="KEB228" s="9"/>
      <c r="KEC228" s="4"/>
      <c r="KED228" s="9"/>
      <c r="KEE228" s="4"/>
      <c r="KEF228" s="9"/>
      <c r="KEG228" s="4"/>
      <c r="KEH228" s="9"/>
      <c r="KEI228" s="4"/>
      <c r="KEJ228" s="9"/>
      <c r="KEK228" s="4"/>
      <c r="KEL228" s="9"/>
      <c r="KEM228" s="4"/>
      <c r="KEN228" s="9"/>
      <c r="KEO228" s="4"/>
      <c r="KEP228" s="9"/>
      <c r="KEQ228" s="4"/>
      <c r="KER228" s="9"/>
      <c r="KES228" s="4"/>
      <c r="KET228" s="9"/>
      <c r="KEU228" s="4"/>
      <c r="KEV228" s="9"/>
      <c r="KEW228" s="4"/>
      <c r="KEX228" s="9"/>
      <c r="KEY228" s="4"/>
      <c r="KEZ228" s="9"/>
      <c r="KFA228" s="4"/>
      <c r="KFB228" s="9"/>
      <c r="KFC228" s="4"/>
      <c r="KFD228" s="9"/>
      <c r="KFE228" s="4"/>
      <c r="KFF228" s="9"/>
      <c r="KFG228" s="4"/>
      <c r="KFH228" s="9"/>
      <c r="KFI228" s="4"/>
      <c r="KFJ228" s="9"/>
      <c r="KFK228" s="4"/>
      <c r="KFL228" s="9"/>
      <c r="KFM228" s="4"/>
      <c r="KFN228" s="9"/>
      <c r="KFO228" s="4"/>
      <c r="KFP228" s="9"/>
      <c r="KFQ228" s="4"/>
      <c r="KFR228" s="9"/>
      <c r="KFS228" s="4"/>
      <c r="KFT228" s="9"/>
      <c r="KFU228" s="4"/>
      <c r="KFV228" s="9"/>
      <c r="KFW228" s="4"/>
      <c r="KFX228" s="9"/>
      <c r="KFY228" s="4"/>
      <c r="KFZ228" s="9"/>
      <c r="KGA228" s="4"/>
      <c r="KGB228" s="9"/>
      <c r="KGC228" s="4"/>
      <c r="KGD228" s="9"/>
      <c r="KGE228" s="4"/>
      <c r="KGF228" s="9"/>
      <c r="KGG228" s="4"/>
      <c r="KGH228" s="9"/>
      <c r="KGI228" s="4"/>
      <c r="KGJ228" s="9"/>
      <c r="KGK228" s="4"/>
      <c r="KGL228" s="9"/>
      <c r="KGM228" s="4"/>
      <c r="KGN228" s="9"/>
      <c r="KGO228" s="4"/>
      <c r="KGP228" s="9"/>
      <c r="KGQ228" s="4"/>
      <c r="KGR228" s="9"/>
      <c r="KGS228" s="4"/>
      <c r="KGT228" s="9"/>
      <c r="KGU228" s="4"/>
      <c r="KGV228" s="9"/>
      <c r="KGW228" s="4"/>
      <c r="KGX228" s="9"/>
      <c r="KGY228" s="4"/>
      <c r="KGZ228" s="9"/>
      <c r="KHA228" s="4"/>
      <c r="KHB228" s="9"/>
      <c r="KHC228" s="4"/>
      <c r="KHD228" s="9"/>
      <c r="KHE228" s="4"/>
      <c r="KHF228" s="9"/>
      <c r="KHG228" s="4"/>
      <c r="KHH228" s="9"/>
      <c r="KHI228" s="4"/>
      <c r="KHJ228" s="9"/>
      <c r="KHK228" s="4"/>
      <c r="KHL228" s="9"/>
      <c r="KHM228" s="4"/>
      <c r="KHN228" s="9"/>
      <c r="KHO228" s="4"/>
      <c r="KHP228" s="9"/>
      <c r="KHQ228" s="4"/>
      <c r="KHR228" s="9"/>
      <c r="KHS228" s="4"/>
      <c r="KHT228" s="9"/>
      <c r="KHU228" s="4"/>
      <c r="KHV228" s="9"/>
      <c r="KHW228" s="4"/>
      <c r="KHX228" s="9"/>
      <c r="KHY228" s="4"/>
      <c r="KHZ228" s="9"/>
      <c r="KIA228" s="4"/>
      <c r="KIB228" s="9"/>
      <c r="KIC228" s="4"/>
      <c r="KID228" s="9"/>
      <c r="KIE228" s="4"/>
      <c r="KIF228" s="9"/>
      <c r="KIG228" s="4"/>
      <c r="KIH228" s="9"/>
      <c r="KII228" s="4"/>
      <c r="KIJ228" s="9"/>
      <c r="KIK228" s="4"/>
      <c r="KIL228" s="9"/>
      <c r="KIM228" s="4"/>
      <c r="KIN228" s="9"/>
      <c r="KIO228" s="4"/>
      <c r="KIP228" s="9"/>
      <c r="KIQ228" s="4"/>
      <c r="KIR228" s="9"/>
      <c r="KIS228" s="4"/>
      <c r="KIT228" s="9"/>
      <c r="KIU228" s="4"/>
      <c r="KIV228" s="9"/>
      <c r="KIW228" s="4"/>
      <c r="KIX228" s="9"/>
      <c r="KIY228" s="4"/>
      <c r="KIZ228" s="9"/>
      <c r="KJA228" s="4"/>
      <c r="KJB228" s="9"/>
      <c r="KJC228" s="4"/>
      <c r="KJD228" s="9"/>
      <c r="KJE228" s="4"/>
      <c r="KJF228" s="9"/>
      <c r="KJG228" s="4"/>
      <c r="KJH228" s="9"/>
      <c r="KJI228" s="4"/>
      <c r="KJJ228" s="9"/>
      <c r="KJK228" s="4"/>
      <c r="KJL228" s="9"/>
      <c r="KJM228" s="4"/>
      <c r="KJN228" s="9"/>
      <c r="KJO228" s="4"/>
      <c r="KJP228" s="9"/>
      <c r="KJQ228" s="4"/>
      <c r="KJR228" s="9"/>
      <c r="KJS228" s="4"/>
      <c r="KJT228" s="9"/>
      <c r="KJU228" s="4"/>
      <c r="KJV228" s="9"/>
      <c r="KJW228" s="4"/>
      <c r="KJX228" s="9"/>
      <c r="KJY228" s="4"/>
      <c r="KJZ228" s="9"/>
      <c r="KKA228" s="4"/>
      <c r="KKB228" s="9"/>
      <c r="KKC228" s="4"/>
      <c r="KKD228" s="9"/>
      <c r="KKE228" s="4"/>
      <c r="KKF228" s="9"/>
      <c r="KKG228" s="4"/>
      <c r="KKH228" s="9"/>
      <c r="KKI228" s="4"/>
      <c r="KKJ228" s="9"/>
      <c r="KKK228" s="4"/>
      <c r="KKL228" s="9"/>
      <c r="KKM228" s="4"/>
      <c r="KKN228" s="9"/>
      <c r="KKO228" s="4"/>
      <c r="KKP228" s="9"/>
      <c r="KKQ228" s="4"/>
      <c r="KKR228" s="9"/>
      <c r="KKS228" s="4"/>
      <c r="KKT228" s="9"/>
      <c r="KKU228" s="4"/>
      <c r="KKV228" s="9"/>
      <c r="KKW228" s="4"/>
      <c r="KKX228" s="9"/>
      <c r="KKY228" s="4"/>
      <c r="KKZ228" s="9"/>
      <c r="KLA228" s="4"/>
      <c r="KLB228" s="9"/>
      <c r="KLC228" s="4"/>
      <c r="KLD228" s="9"/>
      <c r="KLE228" s="4"/>
      <c r="KLF228" s="9"/>
      <c r="KLG228" s="4"/>
      <c r="KLH228" s="9"/>
      <c r="KLI228" s="4"/>
      <c r="KLJ228" s="9"/>
      <c r="KLK228" s="4"/>
      <c r="KLL228" s="9"/>
      <c r="KLM228" s="4"/>
      <c r="KLN228" s="9"/>
      <c r="KLO228" s="4"/>
      <c r="KLP228" s="9"/>
      <c r="KLQ228" s="4"/>
      <c r="KLR228" s="9"/>
      <c r="KLS228" s="4"/>
      <c r="KLT228" s="9"/>
      <c r="KLU228" s="4"/>
      <c r="KLV228" s="9"/>
      <c r="KLW228" s="4"/>
      <c r="KLX228" s="9"/>
      <c r="KLY228" s="4"/>
      <c r="KLZ228" s="9"/>
      <c r="KMA228" s="4"/>
      <c r="KMB228" s="9"/>
      <c r="KMC228" s="4"/>
      <c r="KMD228" s="9"/>
      <c r="KME228" s="4"/>
      <c r="KMF228" s="9"/>
      <c r="KMG228" s="4"/>
      <c r="KMH228" s="9"/>
      <c r="KMI228" s="4"/>
      <c r="KMJ228" s="9"/>
      <c r="KMK228" s="4"/>
      <c r="KML228" s="9"/>
      <c r="KMM228" s="4"/>
      <c r="KMN228" s="9"/>
      <c r="KMO228" s="4"/>
      <c r="KMP228" s="9"/>
      <c r="KMQ228" s="4"/>
      <c r="KMR228" s="9"/>
      <c r="KMS228" s="4"/>
      <c r="KMT228" s="9"/>
      <c r="KMU228" s="4"/>
      <c r="KMV228" s="9"/>
      <c r="KMW228" s="4"/>
      <c r="KMX228" s="9"/>
      <c r="KMY228" s="4"/>
      <c r="KMZ228" s="9"/>
      <c r="KNA228" s="4"/>
      <c r="KNB228" s="9"/>
      <c r="KNC228" s="4"/>
      <c r="KND228" s="9"/>
      <c r="KNE228" s="4"/>
      <c r="KNF228" s="9"/>
      <c r="KNG228" s="4"/>
      <c r="KNH228" s="9"/>
      <c r="KNI228" s="4"/>
      <c r="KNJ228" s="9"/>
      <c r="KNK228" s="4"/>
      <c r="KNL228" s="9"/>
      <c r="KNM228" s="4"/>
      <c r="KNN228" s="9"/>
      <c r="KNO228" s="4"/>
      <c r="KNP228" s="9"/>
      <c r="KNQ228" s="4"/>
      <c r="KNR228" s="9"/>
      <c r="KNS228" s="4"/>
      <c r="KNT228" s="9"/>
      <c r="KNU228" s="4"/>
      <c r="KNV228" s="9"/>
      <c r="KNW228" s="4"/>
      <c r="KNX228" s="9"/>
      <c r="KNY228" s="4"/>
      <c r="KNZ228" s="9"/>
      <c r="KOA228" s="4"/>
      <c r="KOB228" s="9"/>
      <c r="KOC228" s="4"/>
      <c r="KOD228" s="9"/>
      <c r="KOE228" s="4"/>
      <c r="KOF228" s="9"/>
      <c r="KOG228" s="4"/>
      <c r="KOH228" s="9"/>
      <c r="KOI228" s="4"/>
      <c r="KOJ228" s="9"/>
      <c r="KOK228" s="4"/>
      <c r="KOL228" s="9"/>
      <c r="KOM228" s="4"/>
      <c r="KON228" s="9"/>
      <c r="KOO228" s="4"/>
      <c r="KOP228" s="9"/>
      <c r="KOQ228" s="4"/>
      <c r="KOR228" s="9"/>
      <c r="KOS228" s="4"/>
      <c r="KOT228" s="9"/>
      <c r="KOU228" s="4"/>
      <c r="KOV228" s="9"/>
      <c r="KOW228" s="4"/>
      <c r="KOX228" s="9"/>
      <c r="KOY228" s="4"/>
      <c r="KOZ228" s="9"/>
      <c r="KPA228" s="4"/>
      <c r="KPB228" s="9"/>
      <c r="KPC228" s="4"/>
      <c r="KPD228" s="9"/>
      <c r="KPE228" s="4"/>
      <c r="KPF228" s="9"/>
      <c r="KPG228" s="4"/>
      <c r="KPH228" s="9"/>
      <c r="KPI228" s="4"/>
      <c r="KPJ228" s="9"/>
      <c r="KPK228" s="4"/>
      <c r="KPL228" s="9"/>
      <c r="KPM228" s="4"/>
      <c r="KPN228" s="9"/>
      <c r="KPO228" s="4"/>
      <c r="KPP228" s="9"/>
      <c r="KPQ228" s="4"/>
      <c r="KPR228" s="9"/>
      <c r="KPS228" s="4"/>
      <c r="KPT228" s="9"/>
      <c r="KPU228" s="4"/>
      <c r="KPV228" s="9"/>
      <c r="KPW228" s="4"/>
      <c r="KPX228" s="9"/>
      <c r="KPY228" s="4"/>
      <c r="KPZ228" s="9"/>
      <c r="KQA228" s="4"/>
      <c r="KQB228" s="9"/>
      <c r="KQC228" s="4"/>
      <c r="KQD228" s="9"/>
      <c r="KQE228" s="4"/>
      <c r="KQF228" s="9"/>
      <c r="KQG228" s="4"/>
      <c r="KQH228" s="9"/>
      <c r="KQI228" s="4"/>
      <c r="KQJ228" s="9"/>
      <c r="KQK228" s="4"/>
      <c r="KQL228" s="9"/>
      <c r="KQM228" s="4"/>
      <c r="KQN228" s="9"/>
      <c r="KQO228" s="4"/>
      <c r="KQP228" s="9"/>
      <c r="KQQ228" s="4"/>
      <c r="KQR228" s="9"/>
      <c r="KQS228" s="4"/>
      <c r="KQT228" s="9"/>
      <c r="KQU228" s="4"/>
      <c r="KQV228" s="9"/>
      <c r="KQW228" s="4"/>
      <c r="KQX228" s="9"/>
      <c r="KQY228" s="4"/>
      <c r="KQZ228" s="9"/>
      <c r="KRA228" s="4"/>
      <c r="KRB228" s="9"/>
      <c r="KRC228" s="4"/>
      <c r="KRD228" s="9"/>
      <c r="KRE228" s="4"/>
      <c r="KRF228" s="9"/>
      <c r="KRG228" s="4"/>
      <c r="KRH228" s="9"/>
      <c r="KRI228" s="4"/>
      <c r="KRJ228" s="9"/>
      <c r="KRK228" s="4"/>
      <c r="KRL228" s="9"/>
      <c r="KRM228" s="4"/>
      <c r="KRN228" s="9"/>
      <c r="KRO228" s="4"/>
      <c r="KRP228" s="9"/>
      <c r="KRQ228" s="4"/>
      <c r="KRR228" s="9"/>
      <c r="KRS228" s="4"/>
      <c r="KRT228" s="9"/>
      <c r="KRU228" s="4"/>
      <c r="KRV228" s="9"/>
      <c r="KRW228" s="4"/>
      <c r="KRX228" s="9"/>
      <c r="KRY228" s="4"/>
      <c r="KRZ228" s="9"/>
      <c r="KSA228" s="4"/>
      <c r="KSB228" s="9"/>
      <c r="KSC228" s="4"/>
      <c r="KSD228" s="9"/>
      <c r="KSE228" s="4"/>
      <c r="KSF228" s="9"/>
      <c r="KSG228" s="4"/>
      <c r="KSH228" s="9"/>
      <c r="KSI228" s="4"/>
      <c r="KSJ228" s="9"/>
      <c r="KSK228" s="4"/>
      <c r="KSL228" s="9"/>
      <c r="KSM228" s="4"/>
      <c r="KSN228" s="9"/>
      <c r="KSO228" s="4"/>
      <c r="KSP228" s="9"/>
      <c r="KSQ228" s="4"/>
      <c r="KSR228" s="9"/>
      <c r="KSS228" s="4"/>
      <c r="KST228" s="9"/>
      <c r="KSU228" s="4"/>
      <c r="KSV228" s="9"/>
      <c r="KSW228" s="4"/>
      <c r="KSX228" s="9"/>
      <c r="KSY228" s="4"/>
      <c r="KSZ228" s="9"/>
      <c r="KTA228" s="4"/>
      <c r="KTB228" s="9"/>
      <c r="KTC228" s="4"/>
      <c r="KTD228" s="9"/>
      <c r="KTE228" s="4"/>
      <c r="KTF228" s="9"/>
      <c r="KTG228" s="4"/>
      <c r="KTH228" s="9"/>
      <c r="KTI228" s="4"/>
      <c r="KTJ228" s="9"/>
      <c r="KTK228" s="4"/>
      <c r="KTL228" s="9"/>
      <c r="KTM228" s="4"/>
      <c r="KTN228" s="9"/>
      <c r="KTO228" s="4"/>
      <c r="KTP228" s="9"/>
      <c r="KTQ228" s="4"/>
      <c r="KTR228" s="9"/>
      <c r="KTS228" s="4"/>
      <c r="KTT228" s="9"/>
      <c r="KTU228" s="4"/>
      <c r="KTV228" s="9"/>
      <c r="KTW228" s="4"/>
      <c r="KTX228" s="9"/>
      <c r="KTY228" s="4"/>
      <c r="KTZ228" s="9"/>
      <c r="KUA228" s="4"/>
      <c r="KUB228" s="9"/>
      <c r="KUC228" s="4"/>
      <c r="KUD228" s="9"/>
      <c r="KUE228" s="4"/>
      <c r="KUF228" s="9"/>
      <c r="KUG228" s="4"/>
      <c r="KUH228" s="9"/>
      <c r="KUI228" s="4"/>
      <c r="KUJ228" s="9"/>
      <c r="KUK228" s="4"/>
      <c r="KUL228" s="9"/>
      <c r="KUM228" s="4"/>
      <c r="KUN228" s="9"/>
      <c r="KUO228" s="4"/>
      <c r="KUP228" s="9"/>
      <c r="KUQ228" s="4"/>
      <c r="KUR228" s="9"/>
      <c r="KUS228" s="4"/>
      <c r="KUT228" s="9"/>
      <c r="KUU228" s="4"/>
      <c r="KUV228" s="9"/>
      <c r="KUW228" s="4"/>
      <c r="KUX228" s="9"/>
      <c r="KUY228" s="4"/>
      <c r="KUZ228" s="9"/>
      <c r="KVA228" s="4"/>
      <c r="KVB228" s="9"/>
      <c r="KVC228" s="4"/>
      <c r="KVD228" s="9"/>
      <c r="KVE228" s="4"/>
      <c r="KVF228" s="9"/>
      <c r="KVG228" s="4"/>
      <c r="KVH228" s="9"/>
      <c r="KVI228" s="4"/>
      <c r="KVJ228" s="9"/>
      <c r="KVK228" s="4"/>
      <c r="KVL228" s="9"/>
      <c r="KVM228" s="4"/>
      <c r="KVN228" s="9"/>
      <c r="KVO228" s="4"/>
      <c r="KVP228" s="9"/>
      <c r="KVQ228" s="4"/>
      <c r="KVR228" s="9"/>
      <c r="KVS228" s="4"/>
      <c r="KVT228" s="9"/>
      <c r="KVU228" s="4"/>
      <c r="KVV228" s="9"/>
      <c r="KVW228" s="4"/>
      <c r="KVX228" s="9"/>
      <c r="KVY228" s="4"/>
      <c r="KVZ228" s="9"/>
      <c r="KWA228" s="4"/>
      <c r="KWB228" s="9"/>
      <c r="KWC228" s="4"/>
      <c r="KWD228" s="9"/>
      <c r="KWE228" s="4"/>
      <c r="KWF228" s="9"/>
      <c r="KWG228" s="4"/>
      <c r="KWH228" s="9"/>
      <c r="KWI228" s="4"/>
      <c r="KWJ228" s="9"/>
      <c r="KWK228" s="4"/>
      <c r="KWL228" s="9"/>
      <c r="KWM228" s="4"/>
      <c r="KWN228" s="9"/>
      <c r="KWO228" s="4"/>
      <c r="KWP228" s="9"/>
      <c r="KWQ228" s="4"/>
      <c r="KWR228" s="9"/>
      <c r="KWS228" s="4"/>
      <c r="KWT228" s="9"/>
      <c r="KWU228" s="4"/>
      <c r="KWV228" s="9"/>
      <c r="KWW228" s="4"/>
      <c r="KWX228" s="9"/>
      <c r="KWY228" s="4"/>
      <c r="KWZ228" s="9"/>
      <c r="KXA228" s="4"/>
      <c r="KXB228" s="9"/>
      <c r="KXC228" s="4"/>
      <c r="KXD228" s="9"/>
      <c r="KXE228" s="4"/>
      <c r="KXF228" s="9"/>
      <c r="KXG228" s="4"/>
      <c r="KXH228" s="9"/>
      <c r="KXI228" s="4"/>
      <c r="KXJ228" s="9"/>
      <c r="KXK228" s="4"/>
      <c r="KXL228" s="9"/>
      <c r="KXM228" s="4"/>
      <c r="KXN228" s="9"/>
      <c r="KXO228" s="4"/>
      <c r="KXP228" s="9"/>
      <c r="KXQ228" s="4"/>
      <c r="KXR228" s="9"/>
      <c r="KXS228" s="4"/>
      <c r="KXT228" s="9"/>
      <c r="KXU228" s="4"/>
      <c r="KXV228" s="9"/>
      <c r="KXW228" s="4"/>
      <c r="KXX228" s="9"/>
      <c r="KXY228" s="4"/>
      <c r="KXZ228" s="9"/>
      <c r="KYA228" s="4"/>
      <c r="KYB228" s="9"/>
      <c r="KYC228" s="4"/>
      <c r="KYD228" s="9"/>
      <c r="KYE228" s="4"/>
      <c r="KYF228" s="9"/>
      <c r="KYG228" s="4"/>
      <c r="KYH228" s="9"/>
      <c r="KYI228" s="4"/>
      <c r="KYJ228" s="9"/>
      <c r="KYK228" s="4"/>
      <c r="KYL228" s="9"/>
      <c r="KYM228" s="4"/>
      <c r="KYN228" s="9"/>
      <c r="KYO228" s="4"/>
      <c r="KYP228" s="9"/>
      <c r="KYQ228" s="4"/>
      <c r="KYR228" s="9"/>
      <c r="KYS228" s="4"/>
      <c r="KYT228" s="9"/>
      <c r="KYU228" s="4"/>
      <c r="KYV228" s="9"/>
      <c r="KYW228" s="4"/>
      <c r="KYX228" s="9"/>
      <c r="KYY228" s="4"/>
      <c r="KYZ228" s="9"/>
      <c r="KZA228" s="4"/>
      <c r="KZB228" s="9"/>
      <c r="KZC228" s="4"/>
      <c r="KZD228" s="9"/>
      <c r="KZE228" s="4"/>
      <c r="KZF228" s="9"/>
      <c r="KZG228" s="4"/>
      <c r="KZH228" s="9"/>
      <c r="KZI228" s="4"/>
      <c r="KZJ228" s="9"/>
      <c r="KZK228" s="4"/>
      <c r="KZL228" s="9"/>
      <c r="KZM228" s="4"/>
      <c r="KZN228" s="9"/>
      <c r="KZO228" s="4"/>
      <c r="KZP228" s="9"/>
      <c r="KZQ228" s="4"/>
      <c r="KZR228" s="9"/>
      <c r="KZS228" s="4"/>
      <c r="KZT228" s="9"/>
      <c r="KZU228" s="4"/>
      <c r="KZV228" s="9"/>
      <c r="KZW228" s="4"/>
      <c r="KZX228" s="9"/>
      <c r="KZY228" s="4"/>
      <c r="KZZ228" s="9"/>
      <c r="LAA228" s="4"/>
      <c r="LAB228" s="9"/>
      <c r="LAC228" s="4"/>
      <c r="LAD228" s="9"/>
      <c r="LAE228" s="4"/>
      <c r="LAF228" s="9"/>
      <c r="LAG228" s="4"/>
      <c r="LAH228" s="9"/>
      <c r="LAI228" s="4"/>
      <c r="LAJ228" s="9"/>
      <c r="LAK228" s="4"/>
      <c r="LAL228" s="9"/>
      <c r="LAM228" s="4"/>
      <c r="LAN228" s="9"/>
      <c r="LAO228" s="4"/>
      <c r="LAP228" s="9"/>
      <c r="LAQ228" s="4"/>
      <c r="LAR228" s="9"/>
      <c r="LAS228" s="4"/>
      <c r="LAT228" s="9"/>
      <c r="LAU228" s="4"/>
      <c r="LAV228" s="9"/>
      <c r="LAW228" s="4"/>
      <c r="LAX228" s="9"/>
      <c r="LAY228" s="4"/>
      <c r="LAZ228" s="9"/>
      <c r="LBA228" s="4"/>
      <c r="LBB228" s="9"/>
      <c r="LBC228" s="4"/>
      <c r="LBD228" s="9"/>
      <c r="LBE228" s="4"/>
      <c r="LBF228" s="9"/>
      <c r="LBG228" s="4"/>
      <c r="LBH228" s="9"/>
      <c r="LBI228" s="4"/>
      <c r="LBJ228" s="9"/>
      <c r="LBK228" s="4"/>
      <c r="LBL228" s="9"/>
      <c r="LBM228" s="4"/>
      <c r="LBN228" s="9"/>
      <c r="LBO228" s="4"/>
      <c r="LBP228" s="9"/>
      <c r="LBQ228" s="4"/>
      <c r="LBR228" s="9"/>
      <c r="LBS228" s="4"/>
      <c r="LBT228" s="9"/>
      <c r="LBU228" s="4"/>
      <c r="LBV228" s="9"/>
      <c r="LBW228" s="4"/>
      <c r="LBX228" s="9"/>
      <c r="LBY228" s="4"/>
      <c r="LBZ228" s="9"/>
      <c r="LCA228" s="4"/>
      <c r="LCB228" s="9"/>
      <c r="LCC228" s="4"/>
      <c r="LCD228" s="9"/>
      <c r="LCE228" s="4"/>
      <c r="LCF228" s="9"/>
      <c r="LCG228" s="4"/>
      <c r="LCH228" s="9"/>
      <c r="LCI228" s="4"/>
      <c r="LCJ228" s="9"/>
      <c r="LCK228" s="4"/>
      <c r="LCL228" s="9"/>
      <c r="LCM228" s="4"/>
      <c r="LCN228" s="9"/>
      <c r="LCO228" s="4"/>
      <c r="LCP228" s="9"/>
      <c r="LCQ228" s="4"/>
      <c r="LCR228" s="9"/>
      <c r="LCS228" s="4"/>
      <c r="LCT228" s="9"/>
      <c r="LCU228" s="4"/>
      <c r="LCV228" s="9"/>
      <c r="LCW228" s="4"/>
      <c r="LCX228" s="9"/>
      <c r="LCY228" s="4"/>
      <c r="LCZ228" s="9"/>
      <c r="LDA228" s="4"/>
      <c r="LDB228" s="9"/>
      <c r="LDC228" s="4"/>
      <c r="LDD228" s="9"/>
      <c r="LDE228" s="4"/>
      <c r="LDF228" s="9"/>
      <c r="LDG228" s="4"/>
      <c r="LDH228" s="9"/>
      <c r="LDI228" s="4"/>
      <c r="LDJ228" s="9"/>
      <c r="LDK228" s="4"/>
      <c r="LDL228" s="9"/>
      <c r="LDM228" s="4"/>
      <c r="LDN228" s="9"/>
      <c r="LDO228" s="4"/>
      <c r="LDP228" s="9"/>
      <c r="LDQ228" s="4"/>
      <c r="LDR228" s="9"/>
      <c r="LDS228" s="4"/>
      <c r="LDT228" s="9"/>
      <c r="LDU228" s="4"/>
      <c r="LDV228" s="9"/>
      <c r="LDW228" s="4"/>
      <c r="LDX228" s="9"/>
      <c r="LDY228" s="4"/>
      <c r="LDZ228" s="9"/>
      <c r="LEA228" s="4"/>
      <c r="LEB228" s="9"/>
      <c r="LEC228" s="4"/>
      <c r="LED228" s="9"/>
      <c r="LEE228" s="4"/>
      <c r="LEF228" s="9"/>
      <c r="LEG228" s="4"/>
      <c r="LEH228" s="9"/>
      <c r="LEI228" s="4"/>
      <c r="LEJ228" s="9"/>
      <c r="LEK228" s="4"/>
      <c r="LEL228" s="9"/>
      <c r="LEM228" s="4"/>
      <c r="LEN228" s="9"/>
      <c r="LEO228" s="4"/>
      <c r="LEP228" s="9"/>
      <c r="LEQ228" s="4"/>
      <c r="LER228" s="9"/>
      <c r="LES228" s="4"/>
      <c r="LET228" s="9"/>
      <c r="LEU228" s="4"/>
      <c r="LEV228" s="9"/>
      <c r="LEW228" s="4"/>
      <c r="LEX228" s="9"/>
      <c r="LEY228" s="4"/>
      <c r="LEZ228" s="9"/>
      <c r="LFA228" s="4"/>
      <c r="LFB228" s="9"/>
      <c r="LFC228" s="4"/>
      <c r="LFD228" s="9"/>
      <c r="LFE228" s="4"/>
      <c r="LFF228" s="9"/>
      <c r="LFG228" s="4"/>
      <c r="LFH228" s="9"/>
      <c r="LFI228" s="4"/>
      <c r="LFJ228" s="9"/>
      <c r="LFK228" s="4"/>
      <c r="LFL228" s="9"/>
      <c r="LFM228" s="4"/>
      <c r="LFN228" s="9"/>
      <c r="LFO228" s="4"/>
      <c r="LFP228" s="9"/>
      <c r="LFQ228" s="4"/>
      <c r="LFR228" s="9"/>
      <c r="LFS228" s="4"/>
      <c r="LFT228" s="9"/>
      <c r="LFU228" s="4"/>
      <c r="LFV228" s="9"/>
      <c r="LFW228" s="4"/>
      <c r="LFX228" s="9"/>
      <c r="LFY228" s="4"/>
      <c r="LFZ228" s="9"/>
      <c r="LGA228" s="4"/>
      <c r="LGB228" s="9"/>
      <c r="LGC228" s="4"/>
      <c r="LGD228" s="9"/>
      <c r="LGE228" s="4"/>
      <c r="LGF228" s="9"/>
      <c r="LGG228" s="4"/>
      <c r="LGH228" s="9"/>
      <c r="LGI228" s="4"/>
      <c r="LGJ228" s="9"/>
      <c r="LGK228" s="4"/>
      <c r="LGL228" s="9"/>
      <c r="LGM228" s="4"/>
      <c r="LGN228" s="9"/>
      <c r="LGO228" s="4"/>
      <c r="LGP228" s="9"/>
      <c r="LGQ228" s="4"/>
      <c r="LGR228" s="9"/>
      <c r="LGS228" s="4"/>
      <c r="LGT228" s="9"/>
      <c r="LGU228" s="4"/>
      <c r="LGV228" s="9"/>
      <c r="LGW228" s="4"/>
      <c r="LGX228" s="9"/>
      <c r="LGY228" s="4"/>
      <c r="LGZ228" s="9"/>
      <c r="LHA228" s="4"/>
      <c r="LHB228" s="9"/>
      <c r="LHC228" s="4"/>
      <c r="LHD228" s="9"/>
      <c r="LHE228" s="4"/>
      <c r="LHF228" s="9"/>
      <c r="LHG228" s="4"/>
      <c r="LHH228" s="9"/>
      <c r="LHI228" s="4"/>
      <c r="LHJ228" s="9"/>
      <c r="LHK228" s="4"/>
      <c r="LHL228" s="9"/>
      <c r="LHM228" s="4"/>
      <c r="LHN228" s="9"/>
      <c r="LHO228" s="4"/>
      <c r="LHP228" s="9"/>
      <c r="LHQ228" s="4"/>
      <c r="LHR228" s="9"/>
      <c r="LHS228" s="4"/>
      <c r="LHT228" s="9"/>
      <c r="LHU228" s="4"/>
      <c r="LHV228" s="9"/>
      <c r="LHW228" s="4"/>
      <c r="LHX228" s="9"/>
      <c r="LHY228" s="4"/>
      <c r="LHZ228" s="9"/>
      <c r="LIA228" s="4"/>
      <c r="LIB228" s="9"/>
      <c r="LIC228" s="4"/>
      <c r="LID228" s="9"/>
      <c r="LIE228" s="4"/>
      <c r="LIF228" s="9"/>
      <c r="LIG228" s="4"/>
      <c r="LIH228" s="9"/>
      <c r="LII228" s="4"/>
      <c r="LIJ228" s="9"/>
      <c r="LIK228" s="4"/>
      <c r="LIL228" s="9"/>
      <c r="LIM228" s="4"/>
      <c r="LIN228" s="9"/>
      <c r="LIO228" s="4"/>
      <c r="LIP228" s="9"/>
      <c r="LIQ228" s="4"/>
      <c r="LIR228" s="9"/>
      <c r="LIS228" s="4"/>
      <c r="LIT228" s="9"/>
      <c r="LIU228" s="4"/>
      <c r="LIV228" s="9"/>
      <c r="LIW228" s="4"/>
      <c r="LIX228" s="9"/>
      <c r="LIY228" s="4"/>
      <c r="LIZ228" s="9"/>
      <c r="LJA228" s="4"/>
      <c r="LJB228" s="9"/>
      <c r="LJC228" s="4"/>
      <c r="LJD228" s="9"/>
      <c r="LJE228" s="4"/>
      <c r="LJF228" s="9"/>
      <c r="LJG228" s="4"/>
      <c r="LJH228" s="9"/>
      <c r="LJI228" s="4"/>
      <c r="LJJ228" s="9"/>
      <c r="LJK228" s="4"/>
      <c r="LJL228" s="9"/>
      <c r="LJM228" s="4"/>
      <c r="LJN228" s="9"/>
      <c r="LJO228" s="4"/>
      <c r="LJP228" s="9"/>
      <c r="LJQ228" s="4"/>
      <c r="LJR228" s="9"/>
      <c r="LJS228" s="4"/>
      <c r="LJT228" s="9"/>
      <c r="LJU228" s="4"/>
      <c r="LJV228" s="9"/>
      <c r="LJW228" s="4"/>
      <c r="LJX228" s="9"/>
      <c r="LJY228" s="4"/>
      <c r="LJZ228" s="9"/>
      <c r="LKA228" s="4"/>
      <c r="LKB228" s="9"/>
      <c r="LKC228" s="4"/>
      <c r="LKD228" s="9"/>
      <c r="LKE228" s="4"/>
      <c r="LKF228" s="9"/>
      <c r="LKG228" s="4"/>
      <c r="LKH228" s="9"/>
      <c r="LKI228" s="4"/>
      <c r="LKJ228" s="9"/>
      <c r="LKK228" s="4"/>
      <c r="LKL228" s="9"/>
      <c r="LKM228" s="4"/>
      <c r="LKN228" s="9"/>
      <c r="LKO228" s="4"/>
      <c r="LKP228" s="9"/>
      <c r="LKQ228" s="4"/>
      <c r="LKR228" s="9"/>
      <c r="LKS228" s="4"/>
      <c r="LKT228" s="9"/>
      <c r="LKU228" s="4"/>
      <c r="LKV228" s="9"/>
      <c r="LKW228" s="4"/>
      <c r="LKX228" s="9"/>
      <c r="LKY228" s="4"/>
      <c r="LKZ228" s="9"/>
      <c r="LLA228" s="4"/>
      <c r="LLB228" s="9"/>
      <c r="LLC228" s="4"/>
      <c r="LLD228" s="9"/>
      <c r="LLE228" s="4"/>
      <c r="LLF228" s="9"/>
      <c r="LLG228" s="4"/>
      <c r="LLH228" s="9"/>
      <c r="LLI228" s="4"/>
      <c r="LLJ228" s="9"/>
      <c r="LLK228" s="4"/>
      <c r="LLL228" s="9"/>
      <c r="LLM228" s="4"/>
      <c r="LLN228" s="9"/>
      <c r="LLO228" s="4"/>
      <c r="LLP228" s="9"/>
      <c r="LLQ228" s="4"/>
      <c r="LLR228" s="9"/>
      <c r="LLS228" s="4"/>
      <c r="LLT228" s="9"/>
      <c r="LLU228" s="4"/>
      <c r="LLV228" s="9"/>
      <c r="LLW228" s="4"/>
      <c r="LLX228" s="9"/>
      <c r="LLY228" s="4"/>
      <c r="LLZ228" s="9"/>
      <c r="LMA228" s="4"/>
      <c r="LMB228" s="9"/>
      <c r="LMC228" s="4"/>
      <c r="LMD228" s="9"/>
      <c r="LME228" s="4"/>
      <c r="LMF228" s="9"/>
      <c r="LMG228" s="4"/>
      <c r="LMH228" s="9"/>
      <c r="LMI228" s="4"/>
      <c r="LMJ228" s="9"/>
      <c r="LMK228" s="4"/>
      <c r="LML228" s="9"/>
      <c r="LMM228" s="4"/>
      <c r="LMN228" s="9"/>
      <c r="LMO228" s="4"/>
      <c r="LMP228" s="9"/>
      <c r="LMQ228" s="4"/>
      <c r="LMR228" s="9"/>
      <c r="LMS228" s="4"/>
      <c r="LMT228" s="9"/>
      <c r="LMU228" s="4"/>
      <c r="LMV228" s="9"/>
      <c r="LMW228" s="4"/>
      <c r="LMX228" s="9"/>
      <c r="LMY228" s="4"/>
      <c r="LMZ228" s="9"/>
      <c r="LNA228" s="4"/>
      <c r="LNB228" s="9"/>
      <c r="LNC228" s="4"/>
      <c r="LND228" s="9"/>
      <c r="LNE228" s="4"/>
      <c r="LNF228" s="9"/>
      <c r="LNG228" s="4"/>
      <c r="LNH228" s="9"/>
      <c r="LNI228" s="4"/>
      <c r="LNJ228" s="9"/>
      <c r="LNK228" s="4"/>
      <c r="LNL228" s="9"/>
      <c r="LNM228" s="4"/>
      <c r="LNN228" s="9"/>
      <c r="LNO228" s="4"/>
      <c r="LNP228" s="9"/>
      <c r="LNQ228" s="4"/>
      <c r="LNR228" s="9"/>
      <c r="LNS228" s="4"/>
      <c r="LNT228" s="9"/>
      <c r="LNU228" s="4"/>
      <c r="LNV228" s="9"/>
      <c r="LNW228" s="4"/>
      <c r="LNX228" s="9"/>
      <c r="LNY228" s="4"/>
      <c r="LNZ228" s="9"/>
      <c r="LOA228" s="4"/>
      <c r="LOB228" s="9"/>
      <c r="LOC228" s="4"/>
      <c r="LOD228" s="9"/>
      <c r="LOE228" s="4"/>
      <c r="LOF228" s="9"/>
      <c r="LOG228" s="4"/>
      <c r="LOH228" s="9"/>
      <c r="LOI228" s="4"/>
      <c r="LOJ228" s="9"/>
      <c r="LOK228" s="4"/>
      <c r="LOL228" s="9"/>
      <c r="LOM228" s="4"/>
      <c r="LON228" s="9"/>
      <c r="LOO228" s="4"/>
      <c r="LOP228" s="9"/>
      <c r="LOQ228" s="4"/>
      <c r="LOR228" s="9"/>
      <c r="LOS228" s="4"/>
      <c r="LOT228" s="9"/>
      <c r="LOU228" s="4"/>
      <c r="LOV228" s="9"/>
      <c r="LOW228" s="4"/>
      <c r="LOX228" s="9"/>
      <c r="LOY228" s="4"/>
      <c r="LOZ228" s="9"/>
      <c r="LPA228" s="4"/>
      <c r="LPB228" s="9"/>
      <c r="LPC228" s="4"/>
      <c r="LPD228" s="9"/>
      <c r="LPE228" s="4"/>
      <c r="LPF228" s="9"/>
      <c r="LPG228" s="4"/>
      <c r="LPH228" s="9"/>
      <c r="LPI228" s="4"/>
      <c r="LPJ228" s="9"/>
      <c r="LPK228" s="4"/>
      <c r="LPL228" s="9"/>
      <c r="LPM228" s="4"/>
      <c r="LPN228" s="9"/>
      <c r="LPO228" s="4"/>
      <c r="LPP228" s="9"/>
      <c r="LPQ228" s="4"/>
      <c r="LPR228" s="9"/>
      <c r="LPS228" s="4"/>
      <c r="LPT228" s="9"/>
      <c r="LPU228" s="4"/>
      <c r="LPV228" s="9"/>
      <c r="LPW228" s="4"/>
      <c r="LPX228" s="9"/>
      <c r="LPY228" s="4"/>
      <c r="LPZ228" s="9"/>
      <c r="LQA228" s="4"/>
      <c r="LQB228" s="9"/>
      <c r="LQC228" s="4"/>
      <c r="LQD228" s="9"/>
      <c r="LQE228" s="4"/>
      <c r="LQF228" s="9"/>
      <c r="LQG228" s="4"/>
      <c r="LQH228" s="9"/>
      <c r="LQI228" s="4"/>
      <c r="LQJ228" s="9"/>
      <c r="LQK228" s="4"/>
      <c r="LQL228" s="9"/>
      <c r="LQM228" s="4"/>
      <c r="LQN228" s="9"/>
      <c r="LQO228" s="4"/>
      <c r="LQP228" s="9"/>
      <c r="LQQ228" s="4"/>
      <c r="LQR228" s="9"/>
      <c r="LQS228" s="4"/>
      <c r="LQT228" s="9"/>
      <c r="LQU228" s="4"/>
      <c r="LQV228" s="9"/>
      <c r="LQW228" s="4"/>
      <c r="LQX228" s="9"/>
      <c r="LQY228" s="4"/>
      <c r="LQZ228" s="9"/>
      <c r="LRA228" s="4"/>
      <c r="LRB228" s="9"/>
      <c r="LRC228" s="4"/>
      <c r="LRD228" s="9"/>
      <c r="LRE228" s="4"/>
      <c r="LRF228" s="9"/>
      <c r="LRG228" s="4"/>
      <c r="LRH228" s="9"/>
      <c r="LRI228" s="4"/>
      <c r="LRJ228" s="9"/>
      <c r="LRK228" s="4"/>
      <c r="LRL228" s="9"/>
      <c r="LRM228" s="4"/>
      <c r="LRN228" s="9"/>
      <c r="LRO228" s="4"/>
      <c r="LRP228" s="9"/>
      <c r="LRQ228" s="4"/>
      <c r="LRR228" s="9"/>
      <c r="LRS228" s="4"/>
      <c r="LRT228" s="9"/>
      <c r="LRU228" s="4"/>
      <c r="LRV228" s="9"/>
      <c r="LRW228" s="4"/>
      <c r="LRX228" s="9"/>
      <c r="LRY228" s="4"/>
      <c r="LRZ228" s="9"/>
      <c r="LSA228" s="4"/>
      <c r="LSB228" s="9"/>
      <c r="LSC228" s="4"/>
      <c r="LSD228" s="9"/>
      <c r="LSE228" s="4"/>
      <c r="LSF228" s="9"/>
      <c r="LSG228" s="4"/>
      <c r="LSH228" s="9"/>
      <c r="LSI228" s="4"/>
      <c r="LSJ228" s="9"/>
      <c r="LSK228" s="4"/>
      <c r="LSL228" s="9"/>
      <c r="LSM228" s="4"/>
      <c r="LSN228" s="9"/>
      <c r="LSO228" s="4"/>
      <c r="LSP228" s="9"/>
      <c r="LSQ228" s="4"/>
      <c r="LSR228" s="9"/>
      <c r="LSS228" s="4"/>
      <c r="LST228" s="9"/>
      <c r="LSU228" s="4"/>
      <c r="LSV228" s="9"/>
      <c r="LSW228" s="4"/>
      <c r="LSX228" s="9"/>
      <c r="LSY228" s="4"/>
      <c r="LSZ228" s="9"/>
      <c r="LTA228" s="4"/>
      <c r="LTB228" s="9"/>
      <c r="LTC228" s="4"/>
      <c r="LTD228" s="9"/>
      <c r="LTE228" s="4"/>
      <c r="LTF228" s="9"/>
      <c r="LTG228" s="4"/>
      <c r="LTH228" s="9"/>
      <c r="LTI228" s="4"/>
      <c r="LTJ228" s="9"/>
      <c r="LTK228" s="4"/>
      <c r="LTL228" s="9"/>
      <c r="LTM228" s="4"/>
      <c r="LTN228" s="9"/>
      <c r="LTO228" s="4"/>
      <c r="LTP228" s="9"/>
      <c r="LTQ228" s="4"/>
      <c r="LTR228" s="9"/>
      <c r="LTS228" s="4"/>
      <c r="LTT228" s="9"/>
      <c r="LTU228" s="4"/>
      <c r="LTV228" s="9"/>
      <c r="LTW228" s="4"/>
      <c r="LTX228" s="9"/>
      <c r="LTY228" s="4"/>
      <c r="LTZ228" s="9"/>
      <c r="LUA228" s="4"/>
      <c r="LUB228" s="9"/>
      <c r="LUC228" s="4"/>
      <c r="LUD228" s="9"/>
      <c r="LUE228" s="4"/>
      <c r="LUF228" s="9"/>
      <c r="LUG228" s="4"/>
      <c r="LUH228" s="9"/>
      <c r="LUI228" s="4"/>
      <c r="LUJ228" s="9"/>
      <c r="LUK228" s="4"/>
      <c r="LUL228" s="9"/>
      <c r="LUM228" s="4"/>
      <c r="LUN228" s="9"/>
      <c r="LUO228" s="4"/>
      <c r="LUP228" s="9"/>
      <c r="LUQ228" s="4"/>
      <c r="LUR228" s="9"/>
      <c r="LUS228" s="4"/>
      <c r="LUT228" s="9"/>
      <c r="LUU228" s="4"/>
      <c r="LUV228" s="9"/>
      <c r="LUW228" s="4"/>
      <c r="LUX228" s="9"/>
      <c r="LUY228" s="4"/>
      <c r="LUZ228" s="9"/>
      <c r="LVA228" s="4"/>
      <c r="LVB228" s="9"/>
      <c r="LVC228" s="4"/>
      <c r="LVD228" s="9"/>
      <c r="LVE228" s="4"/>
      <c r="LVF228" s="9"/>
      <c r="LVG228" s="4"/>
      <c r="LVH228" s="9"/>
      <c r="LVI228" s="4"/>
      <c r="LVJ228" s="9"/>
      <c r="LVK228" s="4"/>
      <c r="LVL228" s="9"/>
      <c r="LVM228" s="4"/>
      <c r="LVN228" s="9"/>
      <c r="LVO228" s="4"/>
      <c r="LVP228" s="9"/>
      <c r="LVQ228" s="4"/>
      <c r="LVR228" s="9"/>
      <c r="LVS228" s="4"/>
      <c r="LVT228" s="9"/>
      <c r="LVU228" s="4"/>
      <c r="LVV228" s="9"/>
      <c r="LVW228" s="4"/>
      <c r="LVX228" s="9"/>
      <c r="LVY228" s="4"/>
      <c r="LVZ228" s="9"/>
      <c r="LWA228" s="4"/>
      <c r="LWB228" s="9"/>
      <c r="LWC228" s="4"/>
      <c r="LWD228" s="9"/>
      <c r="LWE228" s="4"/>
      <c r="LWF228" s="9"/>
      <c r="LWG228" s="4"/>
      <c r="LWH228" s="9"/>
      <c r="LWI228" s="4"/>
      <c r="LWJ228" s="9"/>
      <c r="LWK228" s="4"/>
      <c r="LWL228" s="9"/>
      <c r="LWM228" s="4"/>
      <c r="LWN228" s="9"/>
      <c r="LWO228" s="4"/>
      <c r="LWP228" s="9"/>
      <c r="LWQ228" s="4"/>
      <c r="LWR228" s="9"/>
      <c r="LWS228" s="4"/>
      <c r="LWT228" s="9"/>
      <c r="LWU228" s="4"/>
      <c r="LWV228" s="9"/>
      <c r="LWW228" s="4"/>
      <c r="LWX228" s="9"/>
      <c r="LWY228" s="4"/>
      <c r="LWZ228" s="9"/>
      <c r="LXA228" s="4"/>
      <c r="LXB228" s="9"/>
      <c r="LXC228" s="4"/>
      <c r="LXD228" s="9"/>
      <c r="LXE228" s="4"/>
      <c r="LXF228" s="9"/>
      <c r="LXG228" s="4"/>
      <c r="LXH228" s="9"/>
      <c r="LXI228" s="4"/>
      <c r="LXJ228" s="9"/>
      <c r="LXK228" s="4"/>
      <c r="LXL228" s="9"/>
      <c r="LXM228" s="4"/>
      <c r="LXN228" s="9"/>
      <c r="LXO228" s="4"/>
      <c r="LXP228" s="9"/>
      <c r="LXQ228" s="4"/>
      <c r="LXR228" s="9"/>
      <c r="LXS228" s="4"/>
      <c r="LXT228" s="9"/>
      <c r="LXU228" s="4"/>
      <c r="LXV228" s="9"/>
      <c r="LXW228" s="4"/>
      <c r="LXX228" s="9"/>
      <c r="LXY228" s="4"/>
      <c r="LXZ228" s="9"/>
      <c r="LYA228" s="4"/>
      <c r="LYB228" s="9"/>
      <c r="LYC228" s="4"/>
      <c r="LYD228" s="9"/>
      <c r="LYE228" s="4"/>
      <c r="LYF228" s="9"/>
      <c r="LYG228" s="4"/>
      <c r="LYH228" s="9"/>
      <c r="LYI228" s="4"/>
      <c r="LYJ228" s="9"/>
      <c r="LYK228" s="4"/>
      <c r="LYL228" s="9"/>
      <c r="LYM228" s="4"/>
      <c r="LYN228" s="9"/>
      <c r="LYO228" s="4"/>
      <c r="LYP228" s="9"/>
      <c r="LYQ228" s="4"/>
      <c r="LYR228" s="9"/>
      <c r="LYS228" s="4"/>
      <c r="LYT228" s="9"/>
      <c r="LYU228" s="4"/>
      <c r="LYV228" s="9"/>
      <c r="LYW228" s="4"/>
      <c r="LYX228" s="9"/>
      <c r="LYY228" s="4"/>
      <c r="LYZ228" s="9"/>
      <c r="LZA228" s="4"/>
      <c r="LZB228" s="9"/>
      <c r="LZC228" s="4"/>
      <c r="LZD228" s="9"/>
      <c r="LZE228" s="4"/>
      <c r="LZF228" s="9"/>
      <c r="LZG228" s="4"/>
      <c r="LZH228" s="9"/>
      <c r="LZI228" s="4"/>
      <c r="LZJ228" s="9"/>
      <c r="LZK228" s="4"/>
      <c r="LZL228" s="9"/>
      <c r="LZM228" s="4"/>
      <c r="LZN228" s="9"/>
      <c r="LZO228" s="4"/>
      <c r="LZP228" s="9"/>
      <c r="LZQ228" s="4"/>
      <c r="LZR228" s="9"/>
      <c r="LZS228" s="4"/>
      <c r="LZT228" s="9"/>
      <c r="LZU228" s="4"/>
      <c r="LZV228" s="9"/>
      <c r="LZW228" s="4"/>
      <c r="LZX228" s="9"/>
      <c r="LZY228" s="4"/>
      <c r="LZZ228" s="9"/>
      <c r="MAA228" s="4"/>
      <c r="MAB228" s="9"/>
      <c r="MAC228" s="4"/>
      <c r="MAD228" s="9"/>
      <c r="MAE228" s="4"/>
      <c r="MAF228" s="9"/>
      <c r="MAG228" s="4"/>
      <c r="MAH228" s="9"/>
      <c r="MAI228" s="4"/>
      <c r="MAJ228" s="9"/>
      <c r="MAK228" s="4"/>
      <c r="MAL228" s="9"/>
      <c r="MAM228" s="4"/>
      <c r="MAN228" s="9"/>
      <c r="MAO228" s="4"/>
      <c r="MAP228" s="9"/>
      <c r="MAQ228" s="4"/>
      <c r="MAR228" s="9"/>
      <c r="MAS228" s="4"/>
      <c r="MAT228" s="9"/>
      <c r="MAU228" s="4"/>
      <c r="MAV228" s="9"/>
      <c r="MAW228" s="4"/>
      <c r="MAX228" s="9"/>
      <c r="MAY228" s="4"/>
      <c r="MAZ228" s="9"/>
      <c r="MBA228" s="4"/>
      <c r="MBB228" s="9"/>
      <c r="MBC228" s="4"/>
      <c r="MBD228" s="9"/>
      <c r="MBE228" s="4"/>
      <c r="MBF228" s="9"/>
      <c r="MBG228" s="4"/>
      <c r="MBH228" s="9"/>
      <c r="MBI228" s="4"/>
      <c r="MBJ228" s="9"/>
      <c r="MBK228" s="4"/>
      <c r="MBL228" s="9"/>
      <c r="MBM228" s="4"/>
      <c r="MBN228" s="9"/>
      <c r="MBO228" s="4"/>
      <c r="MBP228" s="9"/>
      <c r="MBQ228" s="4"/>
      <c r="MBR228" s="9"/>
      <c r="MBS228" s="4"/>
      <c r="MBT228" s="9"/>
      <c r="MBU228" s="4"/>
      <c r="MBV228" s="9"/>
      <c r="MBW228" s="4"/>
      <c r="MBX228" s="9"/>
      <c r="MBY228" s="4"/>
      <c r="MBZ228" s="9"/>
      <c r="MCA228" s="4"/>
      <c r="MCB228" s="9"/>
      <c r="MCC228" s="4"/>
      <c r="MCD228" s="9"/>
      <c r="MCE228" s="4"/>
      <c r="MCF228" s="9"/>
      <c r="MCG228" s="4"/>
      <c r="MCH228" s="9"/>
      <c r="MCI228" s="4"/>
      <c r="MCJ228" s="9"/>
      <c r="MCK228" s="4"/>
      <c r="MCL228" s="9"/>
      <c r="MCM228" s="4"/>
      <c r="MCN228" s="9"/>
      <c r="MCO228" s="4"/>
      <c r="MCP228" s="9"/>
      <c r="MCQ228" s="4"/>
      <c r="MCR228" s="9"/>
      <c r="MCS228" s="4"/>
      <c r="MCT228" s="9"/>
      <c r="MCU228" s="4"/>
      <c r="MCV228" s="9"/>
      <c r="MCW228" s="4"/>
      <c r="MCX228" s="9"/>
      <c r="MCY228" s="4"/>
      <c r="MCZ228" s="9"/>
      <c r="MDA228" s="4"/>
      <c r="MDB228" s="9"/>
      <c r="MDC228" s="4"/>
      <c r="MDD228" s="9"/>
      <c r="MDE228" s="4"/>
      <c r="MDF228" s="9"/>
      <c r="MDG228" s="4"/>
      <c r="MDH228" s="9"/>
      <c r="MDI228" s="4"/>
      <c r="MDJ228" s="9"/>
      <c r="MDK228" s="4"/>
      <c r="MDL228" s="9"/>
      <c r="MDM228" s="4"/>
      <c r="MDN228" s="9"/>
      <c r="MDO228" s="4"/>
      <c r="MDP228" s="9"/>
      <c r="MDQ228" s="4"/>
      <c r="MDR228" s="9"/>
      <c r="MDS228" s="4"/>
      <c r="MDT228" s="9"/>
      <c r="MDU228" s="4"/>
      <c r="MDV228" s="9"/>
      <c r="MDW228" s="4"/>
      <c r="MDX228" s="9"/>
      <c r="MDY228" s="4"/>
      <c r="MDZ228" s="9"/>
      <c r="MEA228" s="4"/>
      <c r="MEB228" s="9"/>
      <c r="MEC228" s="4"/>
      <c r="MED228" s="9"/>
      <c r="MEE228" s="4"/>
      <c r="MEF228" s="9"/>
      <c r="MEG228" s="4"/>
      <c r="MEH228" s="9"/>
      <c r="MEI228" s="4"/>
      <c r="MEJ228" s="9"/>
      <c r="MEK228" s="4"/>
      <c r="MEL228" s="9"/>
      <c r="MEM228" s="4"/>
      <c r="MEN228" s="9"/>
      <c r="MEO228" s="4"/>
      <c r="MEP228" s="9"/>
      <c r="MEQ228" s="4"/>
      <c r="MER228" s="9"/>
      <c r="MES228" s="4"/>
      <c r="MET228" s="9"/>
      <c r="MEU228" s="4"/>
      <c r="MEV228" s="9"/>
      <c r="MEW228" s="4"/>
      <c r="MEX228" s="9"/>
      <c r="MEY228" s="4"/>
      <c r="MEZ228" s="9"/>
      <c r="MFA228" s="4"/>
      <c r="MFB228" s="9"/>
      <c r="MFC228" s="4"/>
      <c r="MFD228" s="9"/>
      <c r="MFE228" s="4"/>
      <c r="MFF228" s="9"/>
      <c r="MFG228" s="4"/>
      <c r="MFH228" s="9"/>
      <c r="MFI228" s="4"/>
      <c r="MFJ228" s="9"/>
      <c r="MFK228" s="4"/>
      <c r="MFL228" s="9"/>
      <c r="MFM228" s="4"/>
      <c r="MFN228" s="9"/>
      <c r="MFO228" s="4"/>
      <c r="MFP228" s="9"/>
      <c r="MFQ228" s="4"/>
      <c r="MFR228" s="9"/>
      <c r="MFS228" s="4"/>
      <c r="MFT228" s="9"/>
      <c r="MFU228" s="4"/>
      <c r="MFV228" s="9"/>
      <c r="MFW228" s="4"/>
      <c r="MFX228" s="9"/>
      <c r="MFY228" s="4"/>
      <c r="MFZ228" s="9"/>
      <c r="MGA228" s="4"/>
      <c r="MGB228" s="9"/>
      <c r="MGC228" s="4"/>
      <c r="MGD228" s="9"/>
      <c r="MGE228" s="4"/>
      <c r="MGF228" s="9"/>
      <c r="MGG228" s="4"/>
      <c r="MGH228" s="9"/>
      <c r="MGI228" s="4"/>
      <c r="MGJ228" s="9"/>
      <c r="MGK228" s="4"/>
      <c r="MGL228" s="9"/>
      <c r="MGM228" s="4"/>
      <c r="MGN228" s="9"/>
      <c r="MGO228" s="4"/>
      <c r="MGP228" s="9"/>
      <c r="MGQ228" s="4"/>
      <c r="MGR228" s="9"/>
      <c r="MGS228" s="4"/>
      <c r="MGT228" s="9"/>
      <c r="MGU228" s="4"/>
      <c r="MGV228" s="9"/>
      <c r="MGW228" s="4"/>
      <c r="MGX228" s="9"/>
      <c r="MGY228" s="4"/>
      <c r="MGZ228" s="9"/>
      <c r="MHA228" s="4"/>
      <c r="MHB228" s="9"/>
      <c r="MHC228" s="4"/>
      <c r="MHD228" s="9"/>
      <c r="MHE228" s="4"/>
      <c r="MHF228" s="9"/>
      <c r="MHG228" s="4"/>
      <c r="MHH228" s="9"/>
      <c r="MHI228" s="4"/>
      <c r="MHJ228" s="9"/>
      <c r="MHK228" s="4"/>
      <c r="MHL228" s="9"/>
      <c r="MHM228" s="4"/>
      <c r="MHN228" s="9"/>
      <c r="MHO228" s="4"/>
      <c r="MHP228" s="9"/>
      <c r="MHQ228" s="4"/>
      <c r="MHR228" s="9"/>
      <c r="MHS228" s="4"/>
      <c r="MHT228" s="9"/>
      <c r="MHU228" s="4"/>
      <c r="MHV228" s="9"/>
      <c r="MHW228" s="4"/>
      <c r="MHX228" s="9"/>
      <c r="MHY228" s="4"/>
      <c r="MHZ228" s="9"/>
      <c r="MIA228" s="4"/>
      <c r="MIB228" s="9"/>
      <c r="MIC228" s="4"/>
      <c r="MID228" s="9"/>
      <c r="MIE228" s="4"/>
      <c r="MIF228" s="9"/>
      <c r="MIG228" s="4"/>
      <c r="MIH228" s="9"/>
      <c r="MII228" s="4"/>
      <c r="MIJ228" s="9"/>
      <c r="MIK228" s="4"/>
      <c r="MIL228" s="9"/>
      <c r="MIM228" s="4"/>
      <c r="MIN228" s="9"/>
      <c r="MIO228" s="4"/>
      <c r="MIP228" s="9"/>
      <c r="MIQ228" s="4"/>
      <c r="MIR228" s="9"/>
      <c r="MIS228" s="4"/>
      <c r="MIT228" s="9"/>
      <c r="MIU228" s="4"/>
      <c r="MIV228" s="9"/>
      <c r="MIW228" s="4"/>
      <c r="MIX228" s="9"/>
      <c r="MIY228" s="4"/>
      <c r="MIZ228" s="9"/>
      <c r="MJA228" s="4"/>
      <c r="MJB228" s="9"/>
      <c r="MJC228" s="4"/>
      <c r="MJD228" s="9"/>
      <c r="MJE228" s="4"/>
      <c r="MJF228" s="9"/>
      <c r="MJG228" s="4"/>
      <c r="MJH228" s="9"/>
      <c r="MJI228" s="4"/>
      <c r="MJJ228" s="9"/>
      <c r="MJK228" s="4"/>
      <c r="MJL228" s="9"/>
      <c r="MJM228" s="4"/>
      <c r="MJN228" s="9"/>
      <c r="MJO228" s="4"/>
      <c r="MJP228" s="9"/>
      <c r="MJQ228" s="4"/>
      <c r="MJR228" s="9"/>
      <c r="MJS228" s="4"/>
      <c r="MJT228" s="9"/>
      <c r="MJU228" s="4"/>
      <c r="MJV228" s="9"/>
      <c r="MJW228" s="4"/>
      <c r="MJX228" s="9"/>
      <c r="MJY228" s="4"/>
      <c r="MJZ228" s="9"/>
      <c r="MKA228" s="4"/>
      <c r="MKB228" s="9"/>
      <c r="MKC228" s="4"/>
      <c r="MKD228" s="9"/>
      <c r="MKE228" s="4"/>
      <c r="MKF228" s="9"/>
      <c r="MKG228" s="4"/>
      <c r="MKH228" s="9"/>
      <c r="MKI228" s="4"/>
      <c r="MKJ228" s="9"/>
      <c r="MKK228" s="4"/>
      <c r="MKL228" s="9"/>
      <c r="MKM228" s="4"/>
      <c r="MKN228" s="9"/>
      <c r="MKO228" s="4"/>
      <c r="MKP228" s="9"/>
      <c r="MKQ228" s="4"/>
      <c r="MKR228" s="9"/>
      <c r="MKS228" s="4"/>
      <c r="MKT228" s="9"/>
      <c r="MKU228" s="4"/>
      <c r="MKV228" s="9"/>
      <c r="MKW228" s="4"/>
      <c r="MKX228" s="9"/>
      <c r="MKY228" s="4"/>
      <c r="MKZ228" s="9"/>
      <c r="MLA228" s="4"/>
      <c r="MLB228" s="9"/>
      <c r="MLC228" s="4"/>
      <c r="MLD228" s="9"/>
      <c r="MLE228" s="4"/>
      <c r="MLF228" s="9"/>
      <c r="MLG228" s="4"/>
      <c r="MLH228" s="9"/>
      <c r="MLI228" s="4"/>
      <c r="MLJ228" s="9"/>
      <c r="MLK228" s="4"/>
      <c r="MLL228" s="9"/>
      <c r="MLM228" s="4"/>
      <c r="MLN228" s="9"/>
      <c r="MLO228" s="4"/>
      <c r="MLP228" s="9"/>
      <c r="MLQ228" s="4"/>
      <c r="MLR228" s="9"/>
      <c r="MLS228" s="4"/>
      <c r="MLT228" s="9"/>
      <c r="MLU228" s="4"/>
      <c r="MLV228" s="9"/>
      <c r="MLW228" s="4"/>
      <c r="MLX228" s="9"/>
      <c r="MLY228" s="4"/>
      <c r="MLZ228" s="9"/>
      <c r="MMA228" s="4"/>
      <c r="MMB228" s="9"/>
      <c r="MMC228" s="4"/>
      <c r="MMD228" s="9"/>
      <c r="MME228" s="4"/>
      <c r="MMF228" s="9"/>
      <c r="MMG228" s="4"/>
      <c r="MMH228" s="9"/>
      <c r="MMI228" s="4"/>
      <c r="MMJ228" s="9"/>
      <c r="MMK228" s="4"/>
      <c r="MML228" s="9"/>
      <c r="MMM228" s="4"/>
      <c r="MMN228" s="9"/>
      <c r="MMO228" s="4"/>
      <c r="MMP228" s="9"/>
      <c r="MMQ228" s="4"/>
      <c r="MMR228" s="9"/>
      <c r="MMS228" s="4"/>
      <c r="MMT228" s="9"/>
      <c r="MMU228" s="4"/>
      <c r="MMV228" s="9"/>
      <c r="MMW228" s="4"/>
      <c r="MMX228" s="9"/>
      <c r="MMY228" s="4"/>
      <c r="MMZ228" s="9"/>
      <c r="MNA228" s="4"/>
      <c r="MNB228" s="9"/>
      <c r="MNC228" s="4"/>
      <c r="MND228" s="9"/>
      <c r="MNE228" s="4"/>
      <c r="MNF228" s="9"/>
      <c r="MNG228" s="4"/>
      <c r="MNH228" s="9"/>
      <c r="MNI228" s="4"/>
      <c r="MNJ228" s="9"/>
      <c r="MNK228" s="4"/>
      <c r="MNL228" s="9"/>
      <c r="MNM228" s="4"/>
      <c r="MNN228" s="9"/>
      <c r="MNO228" s="4"/>
      <c r="MNP228" s="9"/>
      <c r="MNQ228" s="4"/>
      <c r="MNR228" s="9"/>
      <c r="MNS228" s="4"/>
      <c r="MNT228" s="9"/>
      <c r="MNU228" s="4"/>
      <c r="MNV228" s="9"/>
      <c r="MNW228" s="4"/>
      <c r="MNX228" s="9"/>
      <c r="MNY228" s="4"/>
      <c r="MNZ228" s="9"/>
      <c r="MOA228" s="4"/>
      <c r="MOB228" s="9"/>
      <c r="MOC228" s="4"/>
      <c r="MOD228" s="9"/>
      <c r="MOE228" s="4"/>
      <c r="MOF228" s="9"/>
      <c r="MOG228" s="4"/>
      <c r="MOH228" s="9"/>
      <c r="MOI228" s="4"/>
      <c r="MOJ228" s="9"/>
      <c r="MOK228" s="4"/>
      <c r="MOL228" s="9"/>
      <c r="MOM228" s="4"/>
      <c r="MON228" s="9"/>
      <c r="MOO228" s="4"/>
      <c r="MOP228" s="9"/>
      <c r="MOQ228" s="4"/>
      <c r="MOR228" s="9"/>
      <c r="MOS228" s="4"/>
      <c r="MOT228" s="9"/>
      <c r="MOU228" s="4"/>
      <c r="MOV228" s="9"/>
      <c r="MOW228" s="4"/>
      <c r="MOX228" s="9"/>
      <c r="MOY228" s="4"/>
      <c r="MOZ228" s="9"/>
      <c r="MPA228" s="4"/>
      <c r="MPB228" s="9"/>
      <c r="MPC228" s="4"/>
      <c r="MPD228" s="9"/>
      <c r="MPE228" s="4"/>
      <c r="MPF228" s="9"/>
      <c r="MPG228" s="4"/>
      <c r="MPH228" s="9"/>
      <c r="MPI228" s="4"/>
      <c r="MPJ228" s="9"/>
      <c r="MPK228" s="4"/>
      <c r="MPL228" s="9"/>
      <c r="MPM228" s="4"/>
      <c r="MPN228" s="9"/>
      <c r="MPO228" s="4"/>
      <c r="MPP228" s="9"/>
      <c r="MPQ228" s="4"/>
      <c r="MPR228" s="9"/>
      <c r="MPS228" s="4"/>
      <c r="MPT228" s="9"/>
      <c r="MPU228" s="4"/>
      <c r="MPV228" s="9"/>
      <c r="MPW228" s="4"/>
      <c r="MPX228" s="9"/>
      <c r="MPY228" s="4"/>
      <c r="MPZ228" s="9"/>
      <c r="MQA228" s="4"/>
      <c r="MQB228" s="9"/>
      <c r="MQC228" s="4"/>
      <c r="MQD228" s="9"/>
      <c r="MQE228" s="4"/>
      <c r="MQF228" s="9"/>
      <c r="MQG228" s="4"/>
      <c r="MQH228" s="9"/>
      <c r="MQI228" s="4"/>
      <c r="MQJ228" s="9"/>
      <c r="MQK228" s="4"/>
      <c r="MQL228" s="9"/>
      <c r="MQM228" s="4"/>
      <c r="MQN228" s="9"/>
      <c r="MQO228" s="4"/>
      <c r="MQP228" s="9"/>
      <c r="MQQ228" s="4"/>
      <c r="MQR228" s="9"/>
      <c r="MQS228" s="4"/>
      <c r="MQT228" s="9"/>
      <c r="MQU228" s="4"/>
      <c r="MQV228" s="9"/>
      <c r="MQW228" s="4"/>
      <c r="MQX228" s="9"/>
      <c r="MQY228" s="4"/>
      <c r="MQZ228" s="9"/>
      <c r="MRA228" s="4"/>
      <c r="MRB228" s="9"/>
      <c r="MRC228" s="4"/>
      <c r="MRD228" s="9"/>
      <c r="MRE228" s="4"/>
      <c r="MRF228" s="9"/>
      <c r="MRG228" s="4"/>
      <c r="MRH228" s="9"/>
      <c r="MRI228" s="4"/>
      <c r="MRJ228" s="9"/>
      <c r="MRK228" s="4"/>
      <c r="MRL228" s="9"/>
      <c r="MRM228" s="4"/>
      <c r="MRN228" s="9"/>
      <c r="MRO228" s="4"/>
      <c r="MRP228" s="9"/>
      <c r="MRQ228" s="4"/>
      <c r="MRR228" s="9"/>
      <c r="MRS228" s="4"/>
      <c r="MRT228" s="9"/>
      <c r="MRU228" s="4"/>
      <c r="MRV228" s="9"/>
      <c r="MRW228" s="4"/>
      <c r="MRX228" s="9"/>
      <c r="MRY228" s="4"/>
      <c r="MRZ228" s="9"/>
      <c r="MSA228" s="4"/>
      <c r="MSB228" s="9"/>
      <c r="MSC228" s="4"/>
      <c r="MSD228" s="9"/>
      <c r="MSE228" s="4"/>
      <c r="MSF228" s="9"/>
      <c r="MSG228" s="4"/>
      <c r="MSH228" s="9"/>
      <c r="MSI228" s="4"/>
      <c r="MSJ228" s="9"/>
      <c r="MSK228" s="4"/>
      <c r="MSL228" s="9"/>
      <c r="MSM228" s="4"/>
      <c r="MSN228" s="9"/>
      <c r="MSO228" s="4"/>
      <c r="MSP228" s="9"/>
      <c r="MSQ228" s="4"/>
      <c r="MSR228" s="9"/>
      <c r="MSS228" s="4"/>
      <c r="MST228" s="9"/>
      <c r="MSU228" s="4"/>
      <c r="MSV228" s="9"/>
      <c r="MSW228" s="4"/>
      <c r="MSX228" s="9"/>
      <c r="MSY228" s="4"/>
      <c r="MSZ228" s="9"/>
      <c r="MTA228" s="4"/>
      <c r="MTB228" s="9"/>
      <c r="MTC228" s="4"/>
      <c r="MTD228" s="9"/>
      <c r="MTE228" s="4"/>
      <c r="MTF228" s="9"/>
      <c r="MTG228" s="4"/>
      <c r="MTH228" s="9"/>
      <c r="MTI228" s="4"/>
      <c r="MTJ228" s="9"/>
      <c r="MTK228" s="4"/>
      <c r="MTL228" s="9"/>
      <c r="MTM228" s="4"/>
      <c r="MTN228" s="9"/>
      <c r="MTO228" s="4"/>
      <c r="MTP228" s="9"/>
      <c r="MTQ228" s="4"/>
      <c r="MTR228" s="9"/>
      <c r="MTS228" s="4"/>
      <c r="MTT228" s="9"/>
      <c r="MTU228" s="4"/>
      <c r="MTV228" s="9"/>
      <c r="MTW228" s="4"/>
      <c r="MTX228" s="9"/>
      <c r="MTY228" s="4"/>
      <c r="MTZ228" s="9"/>
      <c r="MUA228" s="4"/>
      <c r="MUB228" s="9"/>
      <c r="MUC228" s="4"/>
      <c r="MUD228" s="9"/>
      <c r="MUE228" s="4"/>
      <c r="MUF228" s="9"/>
      <c r="MUG228" s="4"/>
      <c r="MUH228" s="9"/>
      <c r="MUI228" s="4"/>
      <c r="MUJ228" s="9"/>
      <c r="MUK228" s="4"/>
      <c r="MUL228" s="9"/>
      <c r="MUM228" s="4"/>
      <c r="MUN228" s="9"/>
      <c r="MUO228" s="4"/>
      <c r="MUP228" s="9"/>
      <c r="MUQ228" s="4"/>
      <c r="MUR228" s="9"/>
      <c r="MUS228" s="4"/>
      <c r="MUT228" s="9"/>
      <c r="MUU228" s="4"/>
      <c r="MUV228" s="9"/>
      <c r="MUW228" s="4"/>
      <c r="MUX228" s="9"/>
      <c r="MUY228" s="4"/>
      <c r="MUZ228" s="9"/>
      <c r="MVA228" s="4"/>
      <c r="MVB228" s="9"/>
      <c r="MVC228" s="4"/>
      <c r="MVD228" s="9"/>
      <c r="MVE228" s="4"/>
      <c r="MVF228" s="9"/>
      <c r="MVG228" s="4"/>
      <c r="MVH228" s="9"/>
      <c r="MVI228" s="4"/>
      <c r="MVJ228" s="9"/>
      <c r="MVK228" s="4"/>
      <c r="MVL228" s="9"/>
      <c r="MVM228" s="4"/>
      <c r="MVN228" s="9"/>
      <c r="MVO228" s="4"/>
      <c r="MVP228" s="9"/>
      <c r="MVQ228" s="4"/>
      <c r="MVR228" s="9"/>
      <c r="MVS228" s="4"/>
      <c r="MVT228" s="9"/>
      <c r="MVU228" s="4"/>
      <c r="MVV228" s="9"/>
      <c r="MVW228" s="4"/>
      <c r="MVX228" s="9"/>
      <c r="MVY228" s="4"/>
      <c r="MVZ228" s="9"/>
      <c r="MWA228" s="4"/>
      <c r="MWB228" s="9"/>
      <c r="MWC228" s="4"/>
      <c r="MWD228" s="9"/>
      <c r="MWE228" s="4"/>
      <c r="MWF228" s="9"/>
      <c r="MWG228" s="4"/>
      <c r="MWH228" s="9"/>
      <c r="MWI228" s="4"/>
      <c r="MWJ228" s="9"/>
      <c r="MWK228" s="4"/>
      <c r="MWL228" s="9"/>
      <c r="MWM228" s="4"/>
      <c r="MWN228" s="9"/>
      <c r="MWO228" s="4"/>
      <c r="MWP228" s="9"/>
      <c r="MWQ228" s="4"/>
      <c r="MWR228" s="9"/>
      <c r="MWS228" s="4"/>
      <c r="MWT228" s="9"/>
      <c r="MWU228" s="4"/>
      <c r="MWV228" s="9"/>
      <c r="MWW228" s="4"/>
      <c r="MWX228" s="9"/>
      <c r="MWY228" s="4"/>
      <c r="MWZ228" s="9"/>
      <c r="MXA228" s="4"/>
      <c r="MXB228" s="9"/>
      <c r="MXC228" s="4"/>
      <c r="MXD228" s="9"/>
      <c r="MXE228" s="4"/>
      <c r="MXF228" s="9"/>
      <c r="MXG228" s="4"/>
      <c r="MXH228" s="9"/>
      <c r="MXI228" s="4"/>
      <c r="MXJ228" s="9"/>
      <c r="MXK228" s="4"/>
      <c r="MXL228" s="9"/>
      <c r="MXM228" s="4"/>
      <c r="MXN228" s="9"/>
      <c r="MXO228" s="4"/>
      <c r="MXP228" s="9"/>
      <c r="MXQ228" s="4"/>
      <c r="MXR228" s="9"/>
      <c r="MXS228" s="4"/>
      <c r="MXT228" s="9"/>
      <c r="MXU228" s="4"/>
      <c r="MXV228" s="9"/>
      <c r="MXW228" s="4"/>
      <c r="MXX228" s="9"/>
      <c r="MXY228" s="4"/>
      <c r="MXZ228" s="9"/>
      <c r="MYA228" s="4"/>
      <c r="MYB228" s="9"/>
      <c r="MYC228" s="4"/>
      <c r="MYD228" s="9"/>
      <c r="MYE228" s="4"/>
      <c r="MYF228" s="9"/>
      <c r="MYG228" s="4"/>
      <c r="MYH228" s="9"/>
      <c r="MYI228" s="4"/>
      <c r="MYJ228" s="9"/>
      <c r="MYK228" s="4"/>
      <c r="MYL228" s="9"/>
      <c r="MYM228" s="4"/>
      <c r="MYN228" s="9"/>
      <c r="MYO228" s="4"/>
      <c r="MYP228" s="9"/>
      <c r="MYQ228" s="4"/>
      <c r="MYR228" s="9"/>
      <c r="MYS228" s="4"/>
      <c r="MYT228" s="9"/>
      <c r="MYU228" s="4"/>
      <c r="MYV228" s="9"/>
      <c r="MYW228" s="4"/>
      <c r="MYX228" s="9"/>
      <c r="MYY228" s="4"/>
      <c r="MYZ228" s="9"/>
      <c r="MZA228" s="4"/>
      <c r="MZB228" s="9"/>
      <c r="MZC228" s="4"/>
      <c r="MZD228" s="9"/>
      <c r="MZE228" s="4"/>
      <c r="MZF228" s="9"/>
      <c r="MZG228" s="4"/>
      <c r="MZH228" s="9"/>
      <c r="MZI228" s="4"/>
      <c r="MZJ228" s="9"/>
      <c r="MZK228" s="4"/>
      <c r="MZL228" s="9"/>
      <c r="MZM228" s="4"/>
      <c r="MZN228" s="9"/>
      <c r="MZO228" s="4"/>
      <c r="MZP228" s="9"/>
      <c r="MZQ228" s="4"/>
      <c r="MZR228" s="9"/>
      <c r="MZS228" s="4"/>
      <c r="MZT228" s="9"/>
      <c r="MZU228" s="4"/>
      <c r="MZV228" s="9"/>
      <c r="MZW228" s="4"/>
      <c r="MZX228" s="9"/>
      <c r="MZY228" s="4"/>
      <c r="MZZ228" s="9"/>
      <c r="NAA228" s="4"/>
      <c r="NAB228" s="9"/>
      <c r="NAC228" s="4"/>
      <c r="NAD228" s="9"/>
      <c r="NAE228" s="4"/>
      <c r="NAF228" s="9"/>
      <c r="NAG228" s="4"/>
      <c r="NAH228" s="9"/>
      <c r="NAI228" s="4"/>
      <c r="NAJ228" s="9"/>
      <c r="NAK228" s="4"/>
      <c r="NAL228" s="9"/>
      <c r="NAM228" s="4"/>
      <c r="NAN228" s="9"/>
      <c r="NAO228" s="4"/>
      <c r="NAP228" s="9"/>
      <c r="NAQ228" s="4"/>
      <c r="NAR228" s="9"/>
      <c r="NAS228" s="4"/>
      <c r="NAT228" s="9"/>
      <c r="NAU228" s="4"/>
      <c r="NAV228" s="9"/>
      <c r="NAW228" s="4"/>
      <c r="NAX228" s="9"/>
      <c r="NAY228" s="4"/>
      <c r="NAZ228" s="9"/>
      <c r="NBA228" s="4"/>
      <c r="NBB228" s="9"/>
      <c r="NBC228" s="4"/>
      <c r="NBD228" s="9"/>
      <c r="NBE228" s="4"/>
      <c r="NBF228" s="9"/>
      <c r="NBG228" s="4"/>
      <c r="NBH228" s="9"/>
      <c r="NBI228" s="4"/>
      <c r="NBJ228" s="9"/>
      <c r="NBK228" s="4"/>
      <c r="NBL228" s="9"/>
      <c r="NBM228" s="4"/>
      <c r="NBN228" s="9"/>
      <c r="NBO228" s="4"/>
      <c r="NBP228" s="9"/>
      <c r="NBQ228" s="4"/>
      <c r="NBR228" s="9"/>
      <c r="NBS228" s="4"/>
      <c r="NBT228" s="9"/>
      <c r="NBU228" s="4"/>
      <c r="NBV228" s="9"/>
      <c r="NBW228" s="4"/>
      <c r="NBX228" s="9"/>
      <c r="NBY228" s="4"/>
      <c r="NBZ228" s="9"/>
      <c r="NCA228" s="4"/>
      <c r="NCB228" s="9"/>
      <c r="NCC228" s="4"/>
      <c r="NCD228" s="9"/>
      <c r="NCE228" s="4"/>
      <c r="NCF228" s="9"/>
      <c r="NCG228" s="4"/>
      <c r="NCH228" s="9"/>
      <c r="NCI228" s="4"/>
      <c r="NCJ228" s="9"/>
      <c r="NCK228" s="4"/>
      <c r="NCL228" s="9"/>
      <c r="NCM228" s="4"/>
      <c r="NCN228" s="9"/>
      <c r="NCO228" s="4"/>
      <c r="NCP228" s="9"/>
      <c r="NCQ228" s="4"/>
      <c r="NCR228" s="9"/>
      <c r="NCS228" s="4"/>
      <c r="NCT228" s="9"/>
      <c r="NCU228" s="4"/>
      <c r="NCV228" s="9"/>
      <c r="NCW228" s="4"/>
      <c r="NCX228" s="9"/>
      <c r="NCY228" s="4"/>
      <c r="NCZ228" s="9"/>
      <c r="NDA228" s="4"/>
      <c r="NDB228" s="9"/>
      <c r="NDC228" s="4"/>
      <c r="NDD228" s="9"/>
      <c r="NDE228" s="4"/>
      <c r="NDF228" s="9"/>
      <c r="NDG228" s="4"/>
      <c r="NDH228" s="9"/>
      <c r="NDI228" s="4"/>
      <c r="NDJ228" s="9"/>
      <c r="NDK228" s="4"/>
      <c r="NDL228" s="9"/>
      <c r="NDM228" s="4"/>
      <c r="NDN228" s="9"/>
      <c r="NDO228" s="4"/>
      <c r="NDP228" s="9"/>
      <c r="NDQ228" s="4"/>
      <c r="NDR228" s="9"/>
      <c r="NDS228" s="4"/>
      <c r="NDT228" s="9"/>
      <c r="NDU228" s="4"/>
      <c r="NDV228" s="9"/>
      <c r="NDW228" s="4"/>
      <c r="NDX228" s="9"/>
      <c r="NDY228" s="4"/>
      <c r="NDZ228" s="9"/>
      <c r="NEA228" s="4"/>
      <c r="NEB228" s="9"/>
      <c r="NEC228" s="4"/>
      <c r="NED228" s="9"/>
      <c r="NEE228" s="4"/>
      <c r="NEF228" s="9"/>
      <c r="NEG228" s="4"/>
      <c r="NEH228" s="9"/>
      <c r="NEI228" s="4"/>
      <c r="NEJ228" s="9"/>
      <c r="NEK228" s="4"/>
      <c r="NEL228" s="9"/>
      <c r="NEM228" s="4"/>
      <c r="NEN228" s="9"/>
      <c r="NEO228" s="4"/>
      <c r="NEP228" s="9"/>
      <c r="NEQ228" s="4"/>
      <c r="NER228" s="9"/>
      <c r="NES228" s="4"/>
      <c r="NET228" s="9"/>
      <c r="NEU228" s="4"/>
      <c r="NEV228" s="9"/>
      <c r="NEW228" s="4"/>
      <c r="NEX228" s="9"/>
      <c r="NEY228" s="4"/>
      <c r="NEZ228" s="9"/>
      <c r="NFA228" s="4"/>
      <c r="NFB228" s="9"/>
      <c r="NFC228" s="4"/>
      <c r="NFD228" s="9"/>
      <c r="NFE228" s="4"/>
      <c r="NFF228" s="9"/>
      <c r="NFG228" s="4"/>
      <c r="NFH228" s="9"/>
      <c r="NFI228" s="4"/>
      <c r="NFJ228" s="9"/>
      <c r="NFK228" s="4"/>
      <c r="NFL228" s="9"/>
      <c r="NFM228" s="4"/>
      <c r="NFN228" s="9"/>
      <c r="NFO228" s="4"/>
      <c r="NFP228" s="9"/>
      <c r="NFQ228" s="4"/>
      <c r="NFR228" s="9"/>
      <c r="NFS228" s="4"/>
      <c r="NFT228" s="9"/>
      <c r="NFU228" s="4"/>
      <c r="NFV228" s="9"/>
      <c r="NFW228" s="4"/>
      <c r="NFX228" s="9"/>
      <c r="NFY228" s="4"/>
      <c r="NFZ228" s="9"/>
      <c r="NGA228" s="4"/>
      <c r="NGB228" s="9"/>
      <c r="NGC228" s="4"/>
      <c r="NGD228" s="9"/>
      <c r="NGE228" s="4"/>
      <c r="NGF228" s="9"/>
      <c r="NGG228" s="4"/>
      <c r="NGH228" s="9"/>
      <c r="NGI228" s="4"/>
      <c r="NGJ228" s="9"/>
      <c r="NGK228" s="4"/>
      <c r="NGL228" s="9"/>
      <c r="NGM228" s="4"/>
      <c r="NGN228" s="9"/>
      <c r="NGO228" s="4"/>
      <c r="NGP228" s="9"/>
      <c r="NGQ228" s="4"/>
      <c r="NGR228" s="9"/>
      <c r="NGS228" s="4"/>
      <c r="NGT228" s="9"/>
      <c r="NGU228" s="4"/>
      <c r="NGV228" s="9"/>
      <c r="NGW228" s="4"/>
      <c r="NGX228" s="9"/>
      <c r="NGY228" s="4"/>
      <c r="NGZ228" s="9"/>
      <c r="NHA228" s="4"/>
      <c r="NHB228" s="9"/>
      <c r="NHC228" s="4"/>
      <c r="NHD228" s="9"/>
      <c r="NHE228" s="4"/>
      <c r="NHF228" s="9"/>
      <c r="NHG228" s="4"/>
      <c r="NHH228" s="9"/>
      <c r="NHI228" s="4"/>
      <c r="NHJ228" s="9"/>
      <c r="NHK228" s="4"/>
      <c r="NHL228" s="9"/>
      <c r="NHM228" s="4"/>
      <c r="NHN228" s="9"/>
      <c r="NHO228" s="4"/>
      <c r="NHP228" s="9"/>
      <c r="NHQ228" s="4"/>
      <c r="NHR228" s="9"/>
      <c r="NHS228" s="4"/>
      <c r="NHT228" s="9"/>
      <c r="NHU228" s="4"/>
      <c r="NHV228" s="9"/>
      <c r="NHW228" s="4"/>
      <c r="NHX228" s="9"/>
      <c r="NHY228" s="4"/>
      <c r="NHZ228" s="9"/>
      <c r="NIA228" s="4"/>
      <c r="NIB228" s="9"/>
      <c r="NIC228" s="4"/>
      <c r="NID228" s="9"/>
      <c r="NIE228" s="4"/>
      <c r="NIF228" s="9"/>
      <c r="NIG228" s="4"/>
      <c r="NIH228" s="9"/>
      <c r="NII228" s="4"/>
      <c r="NIJ228" s="9"/>
      <c r="NIK228" s="4"/>
      <c r="NIL228" s="9"/>
      <c r="NIM228" s="4"/>
      <c r="NIN228" s="9"/>
      <c r="NIO228" s="4"/>
      <c r="NIP228" s="9"/>
      <c r="NIQ228" s="4"/>
      <c r="NIR228" s="9"/>
      <c r="NIS228" s="4"/>
      <c r="NIT228" s="9"/>
      <c r="NIU228" s="4"/>
      <c r="NIV228" s="9"/>
      <c r="NIW228" s="4"/>
      <c r="NIX228" s="9"/>
      <c r="NIY228" s="4"/>
      <c r="NIZ228" s="9"/>
      <c r="NJA228" s="4"/>
      <c r="NJB228" s="9"/>
      <c r="NJC228" s="4"/>
      <c r="NJD228" s="9"/>
      <c r="NJE228" s="4"/>
      <c r="NJF228" s="9"/>
      <c r="NJG228" s="4"/>
      <c r="NJH228" s="9"/>
      <c r="NJI228" s="4"/>
      <c r="NJJ228" s="9"/>
      <c r="NJK228" s="4"/>
      <c r="NJL228" s="9"/>
      <c r="NJM228" s="4"/>
      <c r="NJN228" s="9"/>
      <c r="NJO228" s="4"/>
      <c r="NJP228" s="9"/>
      <c r="NJQ228" s="4"/>
      <c r="NJR228" s="9"/>
      <c r="NJS228" s="4"/>
      <c r="NJT228" s="9"/>
      <c r="NJU228" s="4"/>
      <c r="NJV228" s="9"/>
      <c r="NJW228" s="4"/>
      <c r="NJX228" s="9"/>
      <c r="NJY228" s="4"/>
      <c r="NJZ228" s="9"/>
      <c r="NKA228" s="4"/>
      <c r="NKB228" s="9"/>
      <c r="NKC228" s="4"/>
      <c r="NKD228" s="9"/>
      <c r="NKE228" s="4"/>
      <c r="NKF228" s="9"/>
      <c r="NKG228" s="4"/>
      <c r="NKH228" s="9"/>
      <c r="NKI228" s="4"/>
      <c r="NKJ228" s="9"/>
      <c r="NKK228" s="4"/>
      <c r="NKL228" s="9"/>
      <c r="NKM228" s="4"/>
      <c r="NKN228" s="9"/>
      <c r="NKO228" s="4"/>
      <c r="NKP228" s="9"/>
      <c r="NKQ228" s="4"/>
      <c r="NKR228" s="9"/>
      <c r="NKS228" s="4"/>
      <c r="NKT228" s="9"/>
      <c r="NKU228" s="4"/>
      <c r="NKV228" s="9"/>
      <c r="NKW228" s="4"/>
      <c r="NKX228" s="9"/>
      <c r="NKY228" s="4"/>
      <c r="NKZ228" s="9"/>
      <c r="NLA228" s="4"/>
      <c r="NLB228" s="9"/>
      <c r="NLC228" s="4"/>
      <c r="NLD228" s="9"/>
      <c r="NLE228" s="4"/>
      <c r="NLF228" s="9"/>
      <c r="NLG228" s="4"/>
      <c r="NLH228" s="9"/>
      <c r="NLI228" s="4"/>
      <c r="NLJ228" s="9"/>
      <c r="NLK228" s="4"/>
      <c r="NLL228" s="9"/>
      <c r="NLM228" s="4"/>
      <c r="NLN228" s="9"/>
      <c r="NLO228" s="4"/>
      <c r="NLP228" s="9"/>
      <c r="NLQ228" s="4"/>
      <c r="NLR228" s="9"/>
      <c r="NLS228" s="4"/>
      <c r="NLT228" s="9"/>
      <c r="NLU228" s="4"/>
      <c r="NLV228" s="9"/>
      <c r="NLW228" s="4"/>
      <c r="NLX228" s="9"/>
      <c r="NLY228" s="4"/>
      <c r="NLZ228" s="9"/>
      <c r="NMA228" s="4"/>
      <c r="NMB228" s="9"/>
      <c r="NMC228" s="4"/>
      <c r="NMD228" s="9"/>
      <c r="NME228" s="4"/>
      <c r="NMF228" s="9"/>
      <c r="NMG228" s="4"/>
      <c r="NMH228" s="9"/>
      <c r="NMI228" s="4"/>
      <c r="NMJ228" s="9"/>
      <c r="NMK228" s="4"/>
      <c r="NML228" s="9"/>
      <c r="NMM228" s="4"/>
      <c r="NMN228" s="9"/>
      <c r="NMO228" s="4"/>
      <c r="NMP228" s="9"/>
      <c r="NMQ228" s="4"/>
      <c r="NMR228" s="9"/>
      <c r="NMS228" s="4"/>
      <c r="NMT228" s="9"/>
      <c r="NMU228" s="4"/>
      <c r="NMV228" s="9"/>
      <c r="NMW228" s="4"/>
      <c r="NMX228" s="9"/>
      <c r="NMY228" s="4"/>
      <c r="NMZ228" s="9"/>
      <c r="NNA228" s="4"/>
      <c r="NNB228" s="9"/>
      <c r="NNC228" s="4"/>
      <c r="NND228" s="9"/>
      <c r="NNE228" s="4"/>
      <c r="NNF228" s="9"/>
      <c r="NNG228" s="4"/>
      <c r="NNH228" s="9"/>
      <c r="NNI228" s="4"/>
      <c r="NNJ228" s="9"/>
      <c r="NNK228" s="4"/>
      <c r="NNL228" s="9"/>
      <c r="NNM228" s="4"/>
      <c r="NNN228" s="9"/>
      <c r="NNO228" s="4"/>
      <c r="NNP228" s="9"/>
      <c r="NNQ228" s="4"/>
      <c r="NNR228" s="9"/>
      <c r="NNS228" s="4"/>
      <c r="NNT228" s="9"/>
      <c r="NNU228" s="4"/>
      <c r="NNV228" s="9"/>
      <c r="NNW228" s="4"/>
      <c r="NNX228" s="9"/>
      <c r="NNY228" s="4"/>
      <c r="NNZ228" s="9"/>
      <c r="NOA228" s="4"/>
      <c r="NOB228" s="9"/>
      <c r="NOC228" s="4"/>
      <c r="NOD228" s="9"/>
      <c r="NOE228" s="4"/>
      <c r="NOF228" s="9"/>
      <c r="NOG228" s="4"/>
      <c r="NOH228" s="9"/>
      <c r="NOI228" s="4"/>
      <c r="NOJ228" s="9"/>
      <c r="NOK228" s="4"/>
      <c r="NOL228" s="9"/>
      <c r="NOM228" s="4"/>
      <c r="NON228" s="9"/>
      <c r="NOO228" s="4"/>
      <c r="NOP228" s="9"/>
      <c r="NOQ228" s="4"/>
      <c r="NOR228" s="9"/>
      <c r="NOS228" s="4"/>
      <c r="NOT228" s="9"/>
      <c r="NOU228" s="4"/>
      <c r="NOV228" s="9"/>
      <c r="NOW228" s="4"/>
      <c r="NOX228" s="9"/>
      <c r="NOY228" s="4"/>
      <c r="NOZ228" s="9"/>
      <c r="NPA228" s="4"/>
      <c r="NPB228" s="9"/>
      <c r="NPC228" s="4"/>
      <c r="NPD228" s="9"/>
      <c r="NPE228" s="4"/>
      <c r="NPF228" s="9"/>
      <c r="NPG228" s="4"/>
      <c r="NPH228" s="9"/>
      <c r="NPI228" s="4"/>
      <c r="NPJ228" s="9"/>
      <c r="NPK228" s="4"/>
      <c r="NPL228" s="9"/>
      <c r="NPM228" s="4"/>
      <c r="NPN228" s="9"/>
      <c r="NPO228" s="4"/>
      <c r="NPP228" s="9"/>
      <c r="NPQ228" s="4"/>
      <c r="NPR228" s="9"/>
      <c r="NPS228" s="4"/>
      <c r="NPT228" s="9"/>
      <c r="NPU228" s="4"/>
      <c r="NPV228" s="9"/>
      <c r="NPW228" s="4"/>
      <c r="NPX228" s="9"/>
      <c r="NPY228" s="4"/>
      <c r="NPZ228" s="9"/>
      <c r="NQA228" s="4"/>
      <c r="NQB228" s="9"/>
      <c r="NQC228" s="4"/>
      <c r="NQD228" s="9"/>
      <c r="NQE228" s="4"/>
      <c r="NQF228" s="9"/>
      <c r="NQG228" s="4"/>
      <c r="NQH228" s="9"/>
      <c r="NQI228" s="4"/>
      <c r="NQJ228" s="9"/>
      <c r="NQK228" s="4"/>
      <c r="NQL228" s="9"/>
      <c r="NQM228" s="4"/>
      <c r="NQN228" s="9"/>
      <c r="NQO228" s="4"/>
      <c r="NQP228" s="9"/>
      <c r="NQQ228" s="4"/>
      <c r="NQR228" s="9"/>
      <c r="NQS228" s="4"/>
      <c r="NQT228" s="9"/>
      <c r="NQU228" s="4"/>
      <c r="NQV228" s="9"/>
      <c r="NQW228" s="4"/>
      <c r="NQX228" s="9"/>
      <c r="NQY228" s="4"/>
      <c r="NQZ228" s="9"/>
      <c r="NRA228" s="4"/>
      <c r="NRB228" s="9"/>
      <c r="NRC228" s="4"/>
      <c r="NRD228" s="9"/>
      <c r="NRE228" s="4"/>
      <c r="NRF228" s="9"/>
      <c r="NRG228" s="4"/>
      <c r="NRH228" s="9"/>
      <c r="NRI228" s="4"/>
      <c r="NRJ228" s="9"/>
      <c r="NRK228" s="4"/>
      <c r="NRL228" s="9"/>
      <c r="NRM228" s="4"/>
      <c r="NRN228" s="9"/>
      <c r="NRO228" s="4"/>
      <c r="NRP228" s="9"/>
      <c r="NRQ228" s="4"/>
      <c r="NRR228" s="9"/>
      <c r="NRS228" s="4"/>
      <c r="NRT228" s="9"/>
      <c r="NRU228" s="4"/>
      <c r="NRV228" s="9"/>
      <c r="NRW228" s="4"/>
      <c r="NRX228" s="9"/>
      <c r="NRY228" s="4"/>
      <c r="NRZ228" s="9"/>
      <c r="NSA228" s="4"/>
      <c r="NSB228" s="9"/>
      <c r="NSC228" s="4"/>
      <c r="NSD228" s="9"/>
      <c r="NSE228" s="4"/>
      <c r="NSF228" s="9"/>
      <c r="NSG228" s="4"/>
      <c r="NSH228" s="9"/>
      <c r="NSI228" s="4"/>
      <c r="NSJ228" s="9"/>
      <c r="NSK228" s="4"/>
      <c r="NSL228" s="9"/>
      <c r="NSM228" s="4"/>
      <c r="NSN228" s="9"/>
      <c r="NSO228" s="4"/>
      <c r="NSP228" s="9"/>
      <c r="NSQ228" s="4"/>
      <c r="NSR228" s="9"/>
      <c r="NSS228" s="4"/>
      <c r="NST228" s="9"/>
      <c r="NSU228" s="4"/>
      <c r="NSV228" s="9"/>
      <c r="NSW228" s="4"/>
      <c r="NSX228" s="9"/>
      <c r="NSY228" s="4"/>
      <c r="NSZ228" s="9"/>
      <c r="NTA228" s="4"/>
      <c r="NTB228" s="9"/>
      <c r="NTC228" s="4"/>
      <c r="NTD228" s="9"/>
      <c r="NTE228" s="4"/>
      <c r="NTF228" s="9"/>
      <c r="NTG228" s="4"/>
      <c r="NTH228" s="9"/>
      <c r="NTI228" s="4"/>
      <c r="NTJ228" s="9"/>
      <c r="NTK228" s="4"/>
      <c r="NTL228" s="9"/>
      <c r="NTM228" s="4"/>
      <c r="NTN228" s="9"/>
      <c r="NTO228" s="4"/>
      <c r="NTP228" s="9"/>
      <c r="NTQ228" s="4"/>
      <c r="NTR228" s="9"/>
      <c r="NTS228" s="4"/>
      <c r="NTT228" s="9"/>
      <c r="NTU228" s="4"/>
      <c r="NTV228" s="9"/>
      <c r="NTW228" s="4"/>
      <c r="NTX228" s="9"/>
      <c r="NTY228" s="4"/>
      <c r="NTZ228" s="9"/>
      <c r="NUA228" s="4"/>
      <c r="NUB228" s="9"/>
      <c r="NUC228" s="4"/>
      <c r="NUD228" s="9"/>
      <c r="NUE228" s="4"/>
      <c r="NUF228" s="9"/>
      <c r="NUG228" s="4"/>
      <c r="NUH228" s="9"/>
      <c r="NUI228" s="4"/>
      <c r="NUJ228" s="9"/>
      <c r="NUK228" s="4"/>
      <c r="NUL228" s="9"/>
      <c r="NUM228" s="4"/>
      <c r="NUN228" s="9"/>
      <c r="NUO228" s="4"/>
      <c r="NUP228" s="9"/>
      <c r="NUQ228" s="4"/>
      <c r="NUR228" s="9"/>
      <c r="NUS228" s="4"/>
      <c r="NUT228" s="9"/>
      <c r="NUU228" s="4"/>
      <c r="NUV228" s="9"/>
      <c r="NUW228" s="4"/>
      <c r="NUX228" s="9"/>
      <c r="NUY228" s="4"/>
      <c r="NUZ228" s="9"/>
      <c r="NVA228" s="4"/>
      <c r="NVB228" s="9"/>
      <c r="NVC228" s="4"/>
      <c r="NVD228" s="9"/>
      <c r="NVE228" s="4"/>
      <c r="NVF228" s="9"/>
      <c r="NVG228" s="4"/>
      <c r="NVH228" s="9"/>
      <c r="NVI228" s="4"/>
      <c r="NVJ228" s="9"/>
      <c r="NVK228" s="4"/>
      <c r="NVL228" s="9"/>
      <c r="NVM228" s="4"/>
      <c r="NVN228" s="9"/>
      <c r="NVO228" s="4"/>
      <c r="NVP228" s="9"/>
      <c r="NVQ228" s="4"/>
      <c r="NVR228" s="9"/>
      <c r="NVS228" s="4"/>
      <c r="NVT228" s="9"/>
      <c r="NVU228" s="4"/>
      <c r="NVV228" s="9"/>
      <c r="NVW228" s="4"/>
      <c r="NVX228" s="9"/>
      <c r="NVY228" s="4"/>
      <c r="NVZ228" s="9"/>
      <c r="NWA228" s="4"/>
      <c r="NWB228" s="9"/>
      <c r="NWC228" s="4"/>
      <c r="NWD228" s="9"/>
      <c r="NWE228" s="4"/>
      <c r="NWF228" s="9"/>
      <c r="NWG228" s="4"/>
      <c r="NWH228" s="9"/>
      <c r="NWI228" s="4"/>
      <c r="NWJ228" s="9"/>
      <c r="NWK228" s="4"/>
      <c r="NWL228" s="9"/>
      <c r="NWM228" s="4"/>
      <c r="NWN228" s="9"/>
      <c r="NWO228" s="4"/>
      <c r="NWP228" s="9"/>
      <c r="NWQ228" s="4"/>
      <c r="NWR228" s="9"/>
      <c r="NWS228" s="4"/>
      <c r="NWT228" s="9"/>
      <c r="NWU228" s="4"/>
      <c r="NWV228" s="9"/>
      <c r="NWW228" s="4"/>
      <c r="NWX228" s="9"/>
      <c r="NWY228" s="4"/>
      <c r="NWZ228" s="9"/>
      <c r="NXA228" s="4"/>
      <c r="NXB228" s="9"/>
      <c r="NXC228" s="4"/>
      <c r="NXD228" s="9"/>
      <c r="NXE228" s="4"/>
      <c r="NXF228" s="9"/>
      <c r="NXG228" s="4"/>
      <c r="NXH228" s="9"/>
      <c r="NXI228" s="4"/>
      <c r="NXJ228" s="9"/>
      <c r="NXK228" s="4"/>
      <c r="NXL228" s="9"/>
      <c r="NXM228" s="4"/>
      <c r="NXN228" s="9"/>
      <c r="NXO228" s="4"/>
      <c r="NXP228" s="9"/>
      <c r="NXQ228" s="4"/>
      <c r="NXR228" s="9"/>
      <c r="NXS228" s="4"/>
      <c r="NXT228" s="9"/>
      <c r="NXU228" s="4"/>
      <c r="NXV228" s="9"/>
      <c r="NXW228" s="4"/>
      <c r="NXX228" s="9"/>
      <c r="NXY228" s="4"/>
      <c r="NXZ228" s="9"/>
      <c r="NYA228" s="4"/>
      <c r="NYB228" s="9"/>
      <c r="NYC228" s="4"/>
      <c r="NYD228" s="9"/>
      <c r="NYE228" s="4"/>
      <c r="NYF228" s="9"/>
      <c r="NYG228" s="4"/>
      <c r="NYH228" s="9"/>
      <c r="NYI228" s="4"/>
      <c r="NYJ228" s="9"/>
      <c r="NYK228" s="4"/>
      <c r="NYL228" s="9"/>
      <c r="NYM228" s="4"/>
      <c r="NYN228" s="9"/>
      <c r="NYO228" s="4"/>
      <c r="NYP228" s="9"/>
      <c r="NYQ228" s="4"/>
      <c r="NYR228" s="9"/>
      <c r="NYS228" s="4"/>
      <c r="NYT228" s="9"/>
      <c r="NYU228" s="4"/>
      <c r="NYV228" s="9"/>
      <c r="NYW228" s="4"/>
      <c r="NYX228" s="9"/>
      <c r="NYY228" s="4"/>
      <c r="NYZ228" s="9"/>
      <c r="NZA228" s="4"/>
      <c r="NZB228" s="9"/>
      <c r="NZC228" s="4"/>
      <c r="NZD228" s="9"/>
      <c r="NZE228" s="4"/>
      <c r="NZF228" s="9"/>
      <c r="NZG228" s="4"/>
      <c r="NZH228" s="9"/>
      <c r="NZI228" s="4"/>
      <c r="NZJ228" s="9"/>
      <c r="NZK228" s="4"/>
      <c r="NZL228" s="9"/>
      <c r="NZM228" s="4"/>
      <c r="NZN228" s="9"/>
      <c r="NZO228" s="4"/>
      <c r="NZP228" s="9"/>
      <c r="NZQ228" s="4"/>
      <c r="NZR228" s="9"/>
      <c r="NZS228" s="4"/>
      <c r="NZT228" s="9"/>
      <c r="NZU228" s="4"/>
      <c r="NZV228" s="9"/>
      <c r="NZW228" s="4"/>
      <c r="NZX228" s="9"/>
      <c r="NZY228" s="4"/>
      <c r="NZZ228" s="9"/>
      <c r="OAA228" s="4"/>
      <c r="OAB228" s="9"/>
      <c r="OAC228" s="4"/>
      <c r="OAD228" s="9"/>
      <c r="OAE228" s="4"/>
      <c r="OAF228" s="9"/>
      <c r="OAG228" s="4"/>
      <c r="OAH228" s="9"/>
      <c r="OAI228" s="4"/>
      <c r="OAJ228" s="9"/>
      <c r="OAK228" s="4"/>
      <c r="OAL228" s="9"/>
      <c r="OAM228" s="4"/>
      <c r="OAN228" s="9"/>
      <c r="OAO228" s="4"/>
      <c r="OAP228" s="9"/>
      <c r="OAQ228" s="4"/>
      <c r="OAR228" s="9"/>
      <c r="OAS228" s="4"/>
      <c r="OAT228" s="9"/>
      <c r="OAU228" s="4"/>
      <c r="OAV228" s="9"/>
      <c r="OAW228" s="4"/>
      <c r="OAX228" s="9"/>
      <c r="OAY228" s="4"/>
      <c r="OAZ228" s="9"/>
      <c r="OBA228" s="4"/>
      <c r="OBB228" s="9"/>
      <c r="OBC228" s="4"/>
      <c r="OBD228" s="9"/>
      <c r="OBE228" s="4"/>
      <c r="OBF228" s="9"/>
      <c r="OBG228" s="4"/>
      <c r="OBH228" s="9"/>
      <c r="OBI228" s="4"/>
      <c r="OBJ228" s="9"/>
      <c r="OBK228" s="4"/>
      <c r="OBL228" s="9"/>
      <c r="OBM228" s="4"/>
      <c r="OBN228" s="9"/>
      <c r="OBO228" s="4"/>
      <c r="OBP228" s="9"/>
      <c r="OBQ228" s="4"/>
      <c r="OBR228" s="9"/>
      <c r="OBS228" s="4"/>
      <c r="OBT228" s="9"/>
      <c r="OBU228" s="4"/>
      <c r="OBV228" s="9"/>
      <c r="OBW228" s="4"/>
      <c r="OBX228" s="9"/>
      <c r="OBY228" s="4"/>
      <c r="OBZ228" s="9"/>
      <c r="OCA228" s="4"/>
      <c r="OCB228" s="9"/>
      <c r="OCC228" s="4"/>
      <c r="OCD228" s="9"/>
      <c r="OCE228" s="4"/>
      <c r="OCF228" s="9"/>
      <c r="OCG228" s="4"/>
      <c r="OCH228" s="9"/>
      <c r="OCI228" s="4"/>
      <c r="OCJ228" s="9"/>
      <c r="OCK228" s="4"/>
      <c r="OCL228" s="9"/>
      <c r="OCM228" s="4"/>
      <c r="OCN228" s="9"/>
      <c r="OCO228" s="4"/>
      <c r="OCP228" s="9"/>
      <c r="OCQ228" s="4"/>
      <c r="OCR228" s="9"/>
      <c r="OCS228" s="4"/>
      <c r="OCT228" s="9"/>
      <c r="OCU228" s="4"/>
      <c r="OCV228" s="9"/>
      <c r="OCW228" s="4"/>
      <c r="OCX228" s="9"/>
      <c r="OCY228" s="4"/>
      <c r="OCZ228" s="9"/>
      <c r="ODA228" s="4"/>
      <c r="ODB228" s="9"/>
      <c r="ODC228" s="4"/>
      <c r="ODD228" s="9"/>
      <c r="ODE228" s="4"/>
      <c r="ODF228" s="9"/>
      <c r="ODG228" s="4"/>
      <c r="ODH228" s="9"/>
      <c r="ODI228" s="4"/>
      <c r="ODJ228" s="9"/>
      <c r="ODK228" s="4"/>
      <c r="ODL228" s="9"/>
      <c r="ODM228" s="4"/>
      <c r="ODN228" s="9"/>
      <c r="ODO228" s="4"/>
      <c r="ODP228" s="9"/>
      <c r="ODQ228" s="4"/>
      <c r="ODR228" s="9"/>
      <c r="ODS228" s="4"/>
      <c r="ODT228" s="9"/>
      <c r="ODU228" s="4"/>
      <c r="ODV228" s="9"/>
      <c r="ODW228" s="4"/>
      <c r="ODX228" s="9"/>
      <c r="ODY228" s="4"/>
      <c r="ODZ228" s="9"/>
      <c r="OEA228" s="4"/>
      <c r="OEB228" s="9"/>
      <c r="OEC228" s="4"/>
      <c r="OED228" s="9"/>
      <c r="OEE228" s="4"/>
      <c r="OEF228" s="9"/>
      <c r="OEG228" s="4"/>
      <c r="OEH228" s="9"/>
      <c r="OEI228" s="4"/>
      <c r="OEJ228" s="9"/>
      <c r="OEK228" s="4"/>
      <c r="OEL228" s="9"/>
      <c r="OEM228" s="4"/>
      <c r="OEN228" s="9"/>
      <c r="OEO228" s="4"/>
      <c r="OEP228" s="9"/>
      <c r="OEQ228" s="4"/>
      <c r="OER228" s="9"/>
      <c r="OES228" s="4"/>
      <c r="OET228" s="9"/>
      <c r="OEU228" s="4"/>
      <c r="OEV228" s="9"/>
      <c r="OEW228" s="4"/>
      <c r="OEX228" s="9"/>
      <c r="OEY228" s="4"/>
      <c r="OEZ228" s="9"/>
      <c r="OFA228" s="4"/>
      <c r="OFB228" s="9"/>
      <c r="OFC228" s="4"/>
      <c r="OFD228" s="9"/>
      <c r="OFE228" s="4"/>
      <c r="OFF228" s="9"/>
      <c r="OFG228" s="4"/>
      <c r="OFH228" s="9"/>
      <c r="OFI228" s="4"/>
      <c r="OFJ228" s="9"/>
      <c r="OFK228" s="4"/>
      <c r="OFL228" s="9"/>
      <c r="OFM228" s="4"/>
      <c r="OFN228" s="9"/>
      <c r="OFO228" s="4"/>
      <c r="OFP228" s="9"/>
      <c r="OFQ228" s="4"/>
      <c r="OFR228" s="9"/>
      <c r="OFS228" s="4"/>
      <c r="OFT228" s="9"/>
      <c r="OFU228" s="4"/>
      <c r="OFV228" s="9"/>
      <c r="OFW228" s="4"/>
      <c r="OFX228" s="9"/>
      <c r="OFY228" s="4"/>
      <c r="OFZ228" s="9"/>
      <c r="OGA228" s="4"/>
      <c r="OGB228" s="9"/>
      <c r="OGC228" s="4"/>
      <c r="OGD228" s="9"/>
      <c r="OGE228" s="4"/>
      <c r="OGF228" s="9"/>
      <c r="OGG228" s="4"/>
      <c r="OGH228" s="9"/>
      <c r="OGI228" s="4"/>
      <c r="OGJ228" s="9"/>
      <c r="OGK228" s="4"/>
      <c r="OGL228" s="9"/>
      <c r="OGM228" s="4"/>
      <c r="OGN228" s="9"/>
      <c r="OGO228" s="4"/>
      <c r="OGP228" s="9"/>
      <c r="OGQ228" s="4"/>
      <c r="OGR228" s="9"/>
      <c r="OGS228" s="4"/>
      <c r="OGT228" s="9"/>
      <c r="OGU228" s="4"/>
      <c r="OGV228" s="9"/>
      <c r="OGW228" s="4"/>
      <c r="OGX228" s="9"/>
      <c r="OGY228" s="4"/>
      <c r="OGZ228" s="9"/>
      <c r="OHA228" s="4"/>
      <c r="OHB228" s="9"/>
      <c r="OHC228" s="4"/>
      <c r="OHD228" s="9"/>
      <c r="OHE228" s="4"/>
      <c r="OHF228" s="9"/>
      <c r="OHG228" s="4"/>
      <c r="OHH228" s="9"/>
      <c r="OHI228" s="4"/>
      <c r="OHJ228" s="9"/>
      <c r="OHK228" s="4"/>
      <c r="OHL228" s="9"/>
      <c r="OHM228" s="4"/>
      <c r="OHN228" s="9"/>
      <c r="OHO228" s="4"/>
      <c r="OHP228" s="9"/>
      <c r="OHQ228" s="4"/>
      <c r="OHR228" s="9"/>
      <c r="OHS228" s="4"/>
      <c r="OHT228" s="9"/>
      <c r="OHU228" s="4"/>
      <c r="OHV228" s="9"/>
      <c r="OHW228" s="4"/>
      <c r="OHX228" s="9"/>
      <c r="OHY228" s="4"/>
      <c r="OHZ228" s="9"/>
      <c r="OIA228" s="4"/>
      <c r="OIB228" s="9"/>
      <c r="OIC228" s="4"/>
      <c r="OID228" s="9"/>
      <c r="OIE228" s="4"/>
      <c r="OIF228" s="9"/>
      <c r="OIG228" s="4"/>
      <c r="OIH228" s="9"/>
      <c r="OII228" s="4"/>
      <c r="OIJ228" s="9"/>
      <c r="OIK228" s="4"/>
      <c r="OIL228" s="9"/>
      <c r="OIM228" s="4"/>
      <c r="OIN228" s="9"/>
      <c r="OIO228" s="4"/>
      <c r="OIP228" s="9"/>
      <c r="OIQ228" s="4"/>
      <c r="OIR228" s="9"/>
      <c r="OIS228" s="4"/>
      <c r="OIT228" s="9"/>
      <c r="OIU228" s="4"/>
      <c r="OIV228" s="9"/>
      <c r="OIW228" s="4"/>
      <c r="OIX228" s="9"/>
      <c r="OIY228" s="4"/>
      <c r="OIZ228" s="9"/>
      <c r="OJA228" s="4"/>
      <c r="OJB228" s="9"/>
      <c r="OJC228" s="4"/>
      <c r="OJD228" s="9"/>
      <c r="OJE228" s="4"/>
      <c r="OJF228" s="9"/>
      <c r="OJG228" s="4"/>
      <c r="OJH228" s="9"/>
      <c r="OJI228" s="4"/>
      <c r="OJJ228" s="9"/>
      <c r="OJK228" s="4"/>
      <c r="OJL228" s="9"/>
      <c r="OJM228" s="4"/>
      <c r="OJN228" s="9"/>
      <c r="OJO228" s="4"/>
      <c r="OJP228" s="9"/>
      <c r="OJQ228" s="4"/>
      <c r="OJR228" s="9"/>
      <c r="OJS228" s="4"/>
      <c r="OJT228" s="9"/>
      <c r="OJU228" s="4"/>
      <c r="OJV228" s="9"/>
      <c r="OJW228" s="4"/>
      <c r="OJX228" s="9"/>
      <c r="OJY228" s="4"/>
      <c r="OJZ228" s="9"/>
      <c r="OKA228" s="4"/>
      <c r="OKB228" s="9"/>
      <c r="OKC228" s="4"/>
      <c r="OKD228" s="9"/>
      <c r="OKE228" s="4"/>
      <c r="OKF228" s="9"/>
      <c r="OKG228" s="4"/>
      <c r="OKH228" s="9"/>
      <c r="OKI228" s="4"/>
      <c r="OKJ228" s="9"/>
      <c r="OKK228" s="4"/>
      <c r="OKL228" s="9"/>
      <c r="OKM228" s="4"/>
      <c r="OKN228" s="9"/>
      <c r="OKO228" s="4"/>
      <c r="OKP228" s="9"/>
      <c r="OKQ228" s="4"/>
      <c r="OKR228" s="9"/>
      <c r="OKS228" s="4"/>
      <c r="OKT228" s="9"/>
      <c r="OKU228" s="4"/>
      <c r="OKV228" s="9"/>
      <c r="OKW228" s="4"/>
      <c r="OKX228" s="9"/>
      <c r="OKY228" s="4"/>
      <c r="OKZ228" s="9"/>
      <c r="OLA228" s="4"/>
      <c r="OLB228" s="9"/>
      <c r="OLC228" s="4"/>
      <c r="OLD228" s="9"/>
      <c r="OLE228" s="4"/>
      <c r="OLF228" s="9"/>
      <c r="OLG228" s="4"/>
      <c r="OLH228" s="9"/>
      <c r="OLI228" s="4"/>
      <c r="OLJ228" s="9"/>
      <c r="OLK228" s="4"/>
      <c r="OLL228" s="9"/>
      <c r="OLM228" s="4"/>
      <c r="OLN228" s="9"/>
      <c r="OLO228" s="4"/>
      <c r="OLP228" s="9"/>
      <c r="OLQ228" s="4"/>
      <c r="OLR228" s="9"/>
      <c r="OLS228" s="4"/>
      <c r="OLT228" s="9"/>
      <c r="OLU228" s="4"/>
      <c r="OLV228" s="9"/>
      <c r="OLW228" s="4"/>
      <c r="OLX228" s="9"/>
      <c r="OLY228" s="4"/>
      <c r="OLZ228" s="9"/>
      <c r="OMA228" s="4"/>
      <c r="OMB228" s="9"/>
      <c r="OMC228" s="4"/>
      <c r="OMD228" s="9"/>
      <c r="OME228" s="4"/>
      <c r="OMF228" s="9"/>
      <c r="OMG228" s="4"/>
      <c r="OMH228" s="9"/>
      <c r="OMI228" s="4"/>
      <c r="OMJ228" s="9"/>
      <c r="OMK228" s="4"/>
      <c r="OML228" s="9"/>
      <c r="OMM228" s="4"/>
      <c r="OMN228" s="9"/>
      <c r="OMO228" s="4"/>
      <c r="OMP228" s="9"/>
      <c r="OMQ228" s="4"/>
      <c r="OMR228" s="9"/>
      <c r="OMS228" s="4"/>
      <c r="OMT228" s="9"/>
      <c r="OMU228" s="4"/>
      <c r="OMV228" s="9"/>
      <c r="OMW228" s="4"/>
      <c r="OMX228" s="9"/>
      <c r="OMY228" s="4"/>
      <c r="OMZ228" s="9"/>
      <c r="ONA228" s="4"/>
      <c r="ONB228" s="9"/>
      <c r="ONC228" s="4"/>
      <c r="OND228" s="9"/>
      <c r="ONE228" s="4"/>
      <c r="ONF228" s="9"/>
      <c r="ONG228" s="4"/>
      <c r="ONH228" s="9"/>
      <c r="ONI228" s="4"/>
      <c r="ONJ228" s="9"/>
      <c r="ONK228" s="4"/>
      <c r="ONL228" s="9"/>
      <c r="ONM228" s="4"/>
      <c r="ONN228" s="9"/>
      <c r="ONO228" s="4"/>
      <c r="ONP228" s="9"/>
      <c r="ONQ228" s="4"/>
      <c r="ONR228" s="9"/>
      <c r="ONS228" s="4"/>
      <c r="ONT228" s="9"/>
      <c r="ONU228" s="4"/>
      <c r="ONV228" s="9"/>
      <c r="ONW228" s="4"/>
      <c r="ONX228" s="9"/>
      <c r="ONY228" s="4"/>
      <c r="ONZ228" s="9"/>
      <c r="OOA228" s="4"/>
      <c r="OOB228" s="9"/>
      <c r="OOC228" s="4"/>
      <c r="OOD228" s="9"/>
      <c r="OOE228" s="4"/>
      <c r="OOF228" s="9"/>
      <c r="OOG228" s="4"/>
      <c r="OOH228" s="9"/>
      <c r="OOI228" s="4"/>
      <c r="OOJ228" s="9"/>
      <c r="OOK228" s="4"/>
      <c r="OOL228" s="9"/>
      <c r="OOM228" s="4"/>
      <c r="OON228" s="9"/>
      <c r="OOO228" s="4"/>
      <c r="OOP228" s="9"/>
      <c r="OOQ228" s="4"/>
      <c r="OOR228" s="9"/>
      <c r="OOS228" s="4"/>
      <c r="OOT228" s="9"/>
      <c r="OOU228" s="4"/>
      <c r="OOV228" s="9"/>
      <c r="OOW228" s="4"/>
      <c r="OOX228" s="9"/>
      <c r="OOY228" s="4"/>
      <c r="OOZ228" s="9"/>
      <c r="OPA228" s="4"/>
      <c r="OPB228" s="9"/>
      <c r="OPC228" s="4"/>
      <c r="OPD228" s="9"/>
      <c r="OPE228" s="4"/>
      <c r="OPF228" s="9"/>
      <c r="OPG228" s="4"/>
      <c r="OPH228" s="9"/>
      <c r="OPI228" s="4"/>
      <c r="OPJ228" s="9"/>
      <c r="OPK228" s="4"/>
      <c r="OPL228" s="9"/>
      <c r="OPM228" s="4"/>
      <c r="OPN228" s="9"/>
      <c r="OPO228" s="4"/>
      <c r="OPP228" s="9"/>
      <c r="OPQ228" s="4"/>
      <c r="OPR228" s="9"/>
      <c r="OPS228" s="4"/>
      <c r="OPT228" s="9"/>
      <c r="OPU228" s="4"/>
      <c r="OPV228" s="9"/>
      <c r="OPW228" s="4"/>
      <c r="OPX228" s="9"/>
      <c r="OPY228" s="4"/>
      <c r="OPZ228" s="9"/>
      <c r="OQA228" s="4"/>
      <c r="OQB228" s="9"/>
      <c r="OQC228" s="4"/>
      <c r="OQD228" s="9"/>
      <c r="OQE228" s="4"/>
      <c r="OQF228" s="9"/>
      <c r="OQG228" s="4"/>
      <c r="OQH228" s="9"/>
      <c r="OQI228" s="4"/>
      <c r="OQJ228" s="9"/>
      <c r="OQK228" s="4"/>
      <c r="OQL228" s="9"/>
      <c r="OQM228" s="4"/>
      <c r="OQN228" s="9"/>
      <c r="OQO228" s="4"/>
      <c r="OQP228" s="9"/>
      <c r="OQQ228" s="4"/>
      <c r="OQR228" s="9"/>
      <c r="OQS228" s="4"/>
      <c r="OQT228" s="9"/>
      <c r="OQU228" s="4"/>
      <c r="OQV228" s="9"/>
      <c r="OQW228" s="4"/>
      <c r="OQX228" s="9"/>
      <c r="OQY228" s="4"/>
      <c r="OQZ228" s="9"/>
      <c r="ORA228" s="4"/>
      <c r="ORB228" s="9"/>
      <c r="ORC228" s="4"/>
      <c r="ORD228" s="9"/>
      <c r="ORE228" s="4"/>
      <c r="ORF228" s="9"/>
      <c r="ORG228" s="4"/>
      <c r="ORH228" s="9"/>
      <c r="ORI228" s="4"/>
      <c r="ORJ228" s="9"/>
      <c r="ORK228" s="4"/>
      <c r="ORL228" s="9"/>
      <c r="ORM228" s="4"/>
      <c r="ORN228" s="9"/>
      <c r="ORO228" s="4"/>
      <c r="ORP228" s="9"/>
      <c r="ORQ228" s="4"/>
      <c r="ORR228" s="9"/>
      <c r="ORS228" s="4"/>
      <c r="ORT228" s="9"/>
      <c r="ORU228" s="4"/>
      <c r="ORV228" s="9"/>
      <c r="ORW228" s="4"/>
      <c r="ORX228" s="9"/>
      <c r="ORY228" s="4"/>
      <c r="ORZ228" s="9"/>
      <c r="OSA228" s="4"/>
      <c r="OSB228" s="9"/>
      <c r="OSC228" s="4"/>
      <c r="OSD228" s="9"/>
      <c r="OSE228" s="4"/>
      <c r="OSF228" s="9"/>
      <c r="OSG228" s="4"/>
      <c r="OSH228" s="9"/>
      <c r="OSI228" s="4"/>
      <c r="OSJ228" s="9"/>
      <c r="OSK228" s="4"/>
      <c r="OSL228" s="9"/>
      <c r="OSM228" s="4"/>
      <c r="OSN228" s="9"/>
      <c r="OSO228" s="4"/>
      <c r="OSP228" s="9"/>
      <c r="OSQ228" s="4"/>
      <c r="OSR228" s="9"/>
      <c r="OSS228" s="4"/>
      <c r="OST228" s="9"/>
      <c r="OSU228" s="4"/>
      <c r="OSV228" s="9"/>
      <c r="OSW228" s="4"/>
      <c r="OSX228" s="9"/>
      <c r="OSY228" s="4"/>
      <c r="OSZ228" s="9"/>
      <c r="OTA228" s="4"/>
      <c r="OTB228" s="9"/>
      <c r="OTC228" s="4"/>
      <c r="OTD228" s="9"/>
      <c r="OTE228" s="4"/>
      <c r="OTF228" s="9"/>
      <c r="OTG228" s="4"/>
      <c r="OTH228" s="9"/>
      <c r="OTI228" s="4"/>
      <c r="OTJ228" s="9"/>
      <c r="OTK228" s="4"/>
      <c r="OTL228" s="9"/>
      <c r="OTM228" s="4"/>
      <c r="OTN228" s="9"/>
      <c r="OTO228" s="4"/>
      <c r="OTP228" s="9"/>
      <c r="OTQ228" s="4"/>
      <c r="OTR228" s="9"/>
      <c r="OTS228" s="4"/>
      <c r="OTT228" s="9"/>
      <c r="OTU228" s="4"/>
      <c r="OTV228" s="9"/>
      <c r="OTW228" s="4"/>
      <c r="OTX228" s="9"/>
      <c r="OTY228" s="4"/>
      <c r="OTZ228" s="9"/>
      <c r="OUA228" s="4"/>
      <c r="OUB228" s="9"/>
      <c r="OUC228" s="4"/>
      <c r="OUD228" s="9"/>
      <c r="OUE228" s="4"/>
      <c r="OUF228" s="9"/>
      <c r="OUG228" s="4"/>
      <c r="OUH228" s="9"/>
      <c r="OUI228" s="4"/>
      <c r="OUJ228" s="9"/>
      <c r="OUK228" s="4"/>
      <c r="OUL228" s="9"/>
      <c r="OUM228" s="4"/>
      <c r="OUN228" s="9"/>
      <c r="OUO228" s="4"/>
      <c r="OUP228" s="9"/>
      <c r="OUQ228" s="4"/>
      <c r="OUR228" s="9"/>
      <c r="OUS228" s="4"/>
      <c r="OUT228" s="9"/>
      <c r="OUU228" s="4"/>
      <c r="OUV228" s="9"/>
      <c r="OUW228" s="4"/>
      <c r="OUX228" s="9"/>
      <c r="OUY228" s="4"/>
      <c r="OUZ228" s="9"/>
      <c r="OVA228" s="4"/>
      <c r="OVB228" s="9"/>
      <c r="OVC228" s="4"/>
      <c r="OVD228" s="9"/>
      <c r="OVE228" s="4"/>
      <c r="OVF228" s="9"/>
      <c r="OVG228" s="4"/>
      <c r="OVH228" s="9"/>
      <c r="OVI228" s="4"/>
      <c r="OVJ228" s="9"/>
      <c r="OVK228" s="4"/>
      <c r="OVL228" s="9"/>
      <c r="OVM228" s="4"/>
      <c r="OVN228" s="9"/>
      <c r="OVO228" s="4"/>
      <c r="OVP228" s="9"/>
      <c r="OVQ228" s="4"/>
      <c r="OVR228" s="9"/>
      <c r="OVS228" s="4"/>
      <c r="OVT228" s="9"/>
      <c r="OVU228" s="4"/>
      <c r="OVV228" s="9"/>
      <c r="OVW228" s="4"/>
      <c r="OVX228" s="9"/>
      <c r="OVY228" s="4"/>
      <c r="OVZ228" s="9"/>
      <c r="OWA228" s="4"/>
      <c r="OWB228" s="9"/>
      <c r="OWC228" s="4"/>
      <c r="OWD228" s="9"/>
      <c r="OWE228" s="4"/>
      <c r="OWF228" s="9"/>
      <c r="OWG228" s="4"/>
      <c r="OWH228" s="9"/>
      <c r="OWI228" s="4"/>
      <c r="OWJ228" s="9"/>
      <c r="OWK228" s="4"/>
      <c r="OWL228" s="9"/>
      <c r="OWM228" s="4"/>
      <c r="OWN228" s="9"/>
      <c r="OWO228" s="4"/>
      <c r="OWP228" s="9"/>
      <c r="OWQ228" s="4"/>
      <c r="OWR228" s="9"/>
      <c r="OWS228" s="4"/>
      <c r="OWT228" s="9"/>
      <c r="OWU228" s="4"/>
      <c r="OWV228" s="9"/>
      <c r="OWW228" s="4"/>
      <c r="OWX228" s="9"/>
      <c r="OWY228" s="4"/>
      <c r="OWZ228" s="9"/>
      <c r="OXA228" s="4"/>
      <c r="OXB228" s="9"/>
      <c r="OXC228" s="4"/>
      <c r="OXD228" s="9"/>
      <c r="OXE228" s="4"/>
      <c r="OXF228" s="9"/>
      <c r="OXG228" s="4"/>
      <c r="OXH228" s="9"/>
      <c r="OXI228" s="4"/>
      <c r="OXJ228" s="9"/>
      <c r="OXK228" s="4"/>
      <c r="OXL228" s="9"/>
      <c r="OXM228" s="4"/>
      <c r="OXN228" s="9"/>
      <c r="OXO228" s="4"/>
      <c r="OXP228" s="9"/>
      <c r="OXQ228" s="4"/>
      <c r="OXR228" s="9"/>
      <c r="OXS228" s="4"/>
      <c r="OXT228" s="9"/>
      <c r="OXU228" s="4"/>
      <c r="OXV228" s="9"/>
      <c r="OXW228" s="4"/>
      <c r="OXX228" s="9"/>
      <c r="OXY228" s="4"/>
      <c r="OXZ228" s="9"/>
      <c r="OYA228" s="4"/>
      <c r="OYB228" s="9"/>
      <c r="OYC228" s="4"/>
      <c r="OYD228" s="9"/>
      <c r="OYE228" s="4"/>
      <c r="OYF228" s="9"/>
      <c r="OYG228" s="4"/>
      <c r="OYH228" s="9"/>
      <c r="OYI228" s="4"/>
      <c r="OYJ228" s="9"/>
      <c r="OYK228" s="4"/>
      <c r="OYL228" s="9"/>
      <c r="OYM228" s="4"/>
      <c r="OYN228" s="9"/>
      <c r="OYO228" s="4"/>
      <c r="OYP228" s="9"/>
      <c r="OYQ228" s="4"/>
      <c r="OYR228" s="9"/>
      <c r="OYS228" s="4"/>
      <c r="OYT228" s="9"/>
      <c r="OYU228" s="4"/>
      <c r="OYV228" s="9"/>
      <c r="OYW228" s="4"/>
      <c r="OYX228" s="9"/>
      <c r="OYY228" s="4"/>
      <c r="OYZ228" s="9"/>
      <c r="OZA228" s="4"/>
      <c r="OZB228" s="9"/>
      <c r="OZC228" s="4"/>
      <c r="OZD228" s="9"/>
      <c r="OZE228" s="4"/>
      <c r="OZF228" s="9"/>
      <c r="OZG228" s="4"/>
      <c r="OZH228" s="9"/>
      <c r="OZI228" s="4"/>
      <c r="OZJ228" s="9"/>
      <c r="OZK228" s="4"/>
      <c r="OZL228" s="9"/>
      <c r="OZM228" s="4"/>
      <c r="OZN228" s="9"/>
      <c r="OZO228" s="4"/>
      <c r="OZP228" s="9"/>
      <c r="OZQ228" s="4"/>
      <c r="OZR228" s="9"/>
      <c r="OZS228" s="4"/>
      <c r="OZT228" s="9"/>
      <c r="OZU228" s="4"/>
      <c r="OZV228" s="9"/>
      <c r="OZW228" s="4"/>
      <c r="OZX228" s="9"/>
      <c r="OZY228" s="4"/>
      <c r="OZZ228" s="9"/>
      <c r="PAA228" s="4"/>
      <c r="PAB228" s="9"/>
      <c r="PAC228" s="4"/>
      <c r="PAD228" s="9"/>
      <c r="PAE228" s="4"/>
      <c r="PAF228" s="9"/>
      <c r="PAG228" s="4"/>
      <c r="PAH228" s="9"/>
      <c r="PAI228" s="4"/>
      <c r="PAJ228" s="9"/>
      <c r="PAK228" s="4"/>
      <c r="PAL228" s="9"/>
      <c r="PAM228" s="4"/>
      <c r="PAN228" s="9"/>
      <c r="PAO228" s="4"/>
      <c r="PAP228" s="9"/>
      <c r="PAQ228" s="4"/>
      <c r="PAR228" s="9"/>
      <c r="PAS228" s="4"/>
      <c r="PAT228" s="9"/>
      <c r="PAU228" s="4"/>
      <c r="PAV228" s="9"/>
      <c r="PAW228" s="4"/>
      <c r="PAX228" s="9"/>
      <c r="PAY228" s="4"/>
      <c r="PAZ228" s="9"/>
      <c r="PBA228" s="4"/>
      <c r="PBB228" s="9"/>
      <c r="PBC228" s="4"/>
      <c r="PBD228" s="9"/>
      <c r="PBE228" s="4"/>
      <c r="PBF228" s="9"/>
      <c r="PBG228" s="4"/>
      <c r="PBH228" s="9"/>
      <c r="PBI228" s="4"/>
      <c r="PBJ228" s="9"/>
      <c r="PBK228" s="4"/>
      <c r="PBL228" s="9"/>
      <c r="PBM228" s="4"/>
      <c r="PBN228" s="9"/>
      <c r="PBO228" s="4"/>
      <c r="PBP228" s="9"/>
      <c r="PBQ228" s="4"/>
      <c r="PBR228" s="9"/>
      <c r="PBS228" s="4"/>
      <c r="PBT228" s="9"/>
      <c r="PBU228" s="4"/>
      <c r="PBV228" s="9"/>
      <c r="PBW228" s="4"/>
      <c r="PBX228" s="9"/>
      <c r="PBY228" s="4"/>
      <c r="PBZ228" s="9"/>
      <c r="PCA228" s="4"/>
      <c r="PCB228" s="9"/>
      <c r="PCC228" s="4"/>
      <c r="PCD228" s="9"/>
      <c r="PCE228" s="4"/>
      <c r="PCF228" s="9"/>
      <c r="PCG228" s="4"/>
      <c r="PCH228" s="9"/>
      <c r="PCI228" s="4"/>
      <c r="PCJ228" s="9"/>
      <c r="PCK228" s="4"/>
      <c r="PCL228" s="9"/>
      <c r="PCM228" s="4"/>
      <c r="PCN228" s="9"/>
      <c r="PCO228" s="4"/>
      <c r="PCP228" s="9"/>
      <c r="PCQ228" s="4"/>
      <c r="PCR228" s="9"/>
      <c r="PCS228" s="4"/>
      <c r="PCT228" s="9"/>
      <c r="PCU228" s="4"/>
      <c r="PCV228" s="9"/>
      <c r="PCW228" s="4"/>
      <c r="PCX228" s="9"/>
      <c r="PCY228" s="4"/>
      <c r="PCZ228" s="9"/>
      <c r="PDA228" s="4"/>
      <c r="PDB228" s="9"/>
      <c r="PDC228" s="4"/>
      <c r="PDD228" s="9"/>
      <c r="PDE228" s="4"/>
      <c r="PDF228" s="9"/>
      <c r="PDG228" s="4"/>
      <c r="PDH228" s="9"/>
      <c r="PDI228" s="4"/>
      <c r="PDJ228" s="9"/>
      <c r="PDK228" s="4"/>
      <c r="PDL228" s="9"/>
      <c r="PDM228" s="4"/>
      <c r="PDN228" s="9"/>
      <c r="PDO228" s="4"/>
      <c r="PDP228" s="9"/>
      <c r="PDQ228" s="4"/>
      <c r="PDR228" s="9"/>
      <c r="PDS228" s="4"/>
      <c r="PDT228" s="9"/>
      <c r="PDU228" s="4"/>
      <c r="PDV228" s="9"/>
      <c r="PDW228" s="4"/>
      <c r="PDX228" s="9"/>
      <c r="PDY228" s="4"/>
      <c r="PDZ228" s="9"/>
      <c r="PEA228" s="4"/>
      <c r="PEB228" s="9"/>
      <c r="PEC228" s="4"/>
      <c r="PED228" s="9"/>
      <c r="PEE228" s="4"/>
      <c r="PEF228" s="9"/>
      <c r="PEG228" s="4"/>
      <c r="PEH228" s="9"/>
      <c r="PEI228" s="4"/>
      <c r="PEJ228" s="9"/>
      <c r="PEK228" s="4"/>
      <c r="PEL228" s="9"/>
      <c r="PEM228" s="4"/>
      <c r="PEN228" s="9"/>
      <c r="PEO228" s="4"/>
      <c r="PEP228" s="9"/>
      <c r="PEQ228" s="4"/>
      <c r="PER228" s="9"/>
      <c r="PES228" s="4"/>
      <c r="PET228" s="9"/>
      <c r="PEU228" s="4"/>
      <c r="PEV228" s="9"/>
      <c r="PEW228" s="4"/>
      <c r="PEX228" s="9"/>
      <c r="PEY228" s="4"/>
      <c r="PEZ228" s="9"/>
      <c r="PFA228" s="4"/>
      <c r="PFB228" s="9"/>
      <c r="PFC228" s="4"/>
      <c r="PFD228" s="9"/>
      <c r="PFE228" s="4"/>
      <c r="PFF228" s="9"/>
      <c r="PFG228" s="4"/>
      <c r="PFH228" s="9"/>
      <c r="PFI228" s="4"/>
      <c r="PFJ228" s="9"/>
      <c r="PFK228" s="4"/>
      <c r="PFL228" s="9"/>
      <c r="PFM228" s="4"/>
      <c r="PFN228" s="9"/>
      <c r="PFO228" s="4"/>
      <c r="PFP228" s="9"/>
      <c r="PFQ228" s="4"/>
      <c r="PFR228" s="9"/>
      <c r="PFS228" s="4"/>
      <c r="PFT228" s="9"/>
      <c r="PFU228" s="4"/>
      <c r="PFV228" s="9"/>
      <c r="PFW228" s="4"/>
      <c r="PFX228" s="9"/>
      <c r="PFY228" s="4"/>
      <c r="PFZ228" s="9"/>
      <c r="PGA228" s="4"/>
      <c r="PGB228" s="9"/>
      <c r="PGC228" s="4"/>
      <c r="PGD228" s="9"/>
      <c r="PGE228" s="4"/>
      <c r="PGF228" s="9"/>
      <c r="PGG228" s="4"/>
      <c r="PGH228" s="9"/>
      <c r="PGI228" s="4"/>
      <c r="PGJ228" s="9"/>
      <c r="PGK228" s="4"/>
      <c r="PGL228" s="9"/>
      <c r="PGM228" s="4"/>
      <c r="PGN228" s="9"/>
      <c r="PGO228" s="4"/>
      <c r="PGP228" s="9"/>
      <c r="PGQ228" s="4"/>
      <c r="PGR228" s="9"/>
      <c r="PGS228" s="4"/>
      <c r="PGT228" s="9"/>
      <c r="PGU228" s="4"/>
      <c r="PGV228" s="9"/>
      <c r="PGW228" s="4"/>
      <c r="PGX228" s="9"/>
      <c r="PGY228" s="4"/>
      <c r="PGZ228" s="9"/>
      <c r="PHA228" s="4"/>
      <c r="PHB228" s="9"/>
      <c r="PHC228" s="4"/>
      <c r="PHD228" s="9"/>
      <c r="PHE228" s="4"/>
      <c r="PHF228" s="9"/>
      <c r="PHG228" s="4"/>
      <c r="PHH228" s="9"/>
      <c r="PHI228" s="4"/>
      <c r="PHJ228" s="9"/>
      <c r="PHK228" s="4"/>
      <c r="PHL228" s="9"/>
      <c r="PHM228" s="4"/>
      <c r="PHN228" s="9"/>
      <c r="PHO228" s="4"/>
      <c r="PHP228" s="9"/>
      <c r="PHQ228" s="4"/>
      <c r="PHR228" s="9"/>
      <c r="PHS228" s="4"/>
      <c r="PHT228" s="9"/>
      <c r="PHU228" s="4"/>
      <c r="PHV228" s="9"/>
      <c r="PHW228" s="4"/>
      <c r="PHX228" s="9"/>
      <c r="PHY228" s="4"/>
      <c r="PHZ228" s="9"/>
      <c r="PIA228" s="4"/>
      <c r="PIB228" s="9"/>
      <c r="PIC228" s="4"/>
      <c r="PID228" s="9"/>
      <c r="PIE228" s="4"/>
      <c r="PIF228" s="9"/>
      <c r="PIG228" s="4"/>
      <c r="PIH228" s="9"/>
      <c r="PII228" s="4"/>
      <c r="PIJ228" s="9"/>
      <c r="PIK228" s="4"/>
      <c r="PIL228" s="9"/>
      <c r="PIM228" s="4"/>
      <c r="PIN228" s="9"/>
      <c r="PIO228" s="4"/>
      <c r="PIP228" s="9"/>
      <c r="PIQ228" s="4"/>
      <c r="PIR228" s="9"/>
      <c r="PIS228" s="4"/>
      <c r="PIT228" s="9"/>
      <c r="PIU228" s="4"/>
      <c r="PIV228" s="9"/>
      <c r="PIW228" s="4"/>
      <c r="PIX228" s="9"/>
      <c r="PIY228" s="4"/>
      <c r="PIZ228" s="9"/>
      <c r="PJA228" s="4"/>
      <c r="PJB228" s="9"/>
      <c r="PJC228" s="4"/>
      <c r="PJD228" s="9"/>
      <c r="PJE228" s="4"/>
      <c r="PJF228" s="9"/>
      <c r="PJG228" s="4"/>
      <c r="PJH228" s="9"/>
      <c r="PJI228" s="4"/>
      <c r="PJJ228" s="9"/>
      <c r="PJK228" s="4"/>
      <c r="PJL228" s="9"/>
      <c r="PJM228" s="4"/>
      <c r="PJN228" s="9"/>
      <c r="PJO228" s="4"/>
      <c r="PJP228" s="9"/>
      <c r="PJQ228" s="4"/>
      <c r="PJR228" s="9"/>
      <c r="PJS228" s="4"/>
      <c r="PJT228" s="9"/>
      <c r="PJU228" s="4"/>
      <c r="PJV228" s="9"/>
      <c r="PJW228" s="4"/>
      <c r="PJX228" s="9"/>
      <c r="PJY228" s="4"/>
      <c r="PJZ228" s="9"/>
      <c r="PKA228" s="4"/>
      <c r="PKB228" s="9"/>
      <c r="PKC228" s="4"/>
      <c r="PKD228" s="9"/>
      <c r="PKE228" s="4"/>
      <c r="PKF228" s="9"/>
      <c r="PKG228" s="4"/>
      <c r="PKH228" s="9"/>
      <c r="PKI228" s="4"/>
      <c r="PKJ228" s="9"/>
      <c r="PKK228" s="4"/>
      <c r="PKL228" s="9"/>
      <c r="PKM228" s="4"/>
      <c r="PKN228" s="9"/>
      <c r="PKO228" s="4"/>
      <c r="PKP228" s="9"/>
      <c r="PKQ228" s="4"/>
      <c r="PKR228" s="9"/>
      <c r="PKS228" s="4"/>
      <c r="PKT228" s="9"/>
      <c r="PKU228" s="4"/>
      <c r="PKV228" s="9"/>
      <c r="PKW228" s="4"/>
      <c r="PKX228" s="9"/>
      <c r="PKY228" s="4"/>
      <c r="PKZ228" s="9"/>
      <c r="PLA228" s="4"/>
      <c r="PLB228" s="9"/>
      <c r="PLC228" s="4"/>
      <c r="PLD228" s="9"/>
      <c r="PLE228" s="4"/>
      <c r="PLF228" s="9"/>
      <c r="PLG228" s="4"/>
      <c r="PLH228" s="9"/>
      <c r="PLI228" s="4"/>
      <c r="PLJ228" s="9"/>
      <c r="PLK228" s="4"/>
      <c r="PLL228" s="9"/>
      <c r="PLM228" s="4"/>
      <c r="PLN228" s="9"/>
      <c r="PLO228" s="4"/>
      <c r="PLP228" s="9"/>
      <c r="PLQ228" s="4"/>
      <c r="PLR228" s="9"/>
      <c r="PLS228" s="4"/>
      <c r="PLT228" s="9"/>
      <c r="PLU228" s="4"/>
      <c r="PLV228" s="9"/>
      <c r="PLW228" s="4"/>
      <c r="PLX228" s="9"/>
      <c r="PLY228" s="4"/>
      <c r="PLZ228" s="9"/>
      <c r="PMA228" s="4"/>
      <c r="PMB228" s="9"/>
      <c r="PMC228" s="4"/>
      <c r="PMD228" s="9"/>
      <c r="PME228" s="4"/>
      <c r="PMF228" s="9"/>
      <c r="PMG228" s="4"/>
      <c r="PMH228" s="9"/>
      <c r="PMI228" s="4"/>
      <c r="PMJ228" s="9"/>
      <c r="PMK228" s="4"/>
      <c r="PML228" s="9"/>
      <c r="PMM228" s="4"/>
      <c r="PMN228" s="9"/>
      <c r="PMO228" s="4"/>
      <c r="PMP228" s="9"/>
      <c r="PMQ228" s="4"/>
      <c r="PMR228" s="9"/>
      <c r="PMS228" s="4"/>
      <c r="PMT228" s="9"/>
      <c r="PMU228" s="4"/>
      <c r="PMV228" s="9"/>
      <c r="PMW228" s="4"/>
      <c r="PMX228" s="9"/>
      <c r="PMY228" s="4"/>
      <c r="PMZ228" s="9"/>
      <c r="PNA228" s="4"/>
      <c r="PNB228" s="9"/>
      <c r="PNC228" s="4"/>
      <c r="PND228" s="9"/>
      <c r="PNE228" s="4"/>
      <c r="PNF228" s="9"/>
      <c r="PNG228" s="4"/>
      <c r="PNH228" s="9"/>
      <c r="PNI228" s="4"/>
      <c r="PNJ228" s="9"/>
      <c r="PNK228" s="4"/>
      <c r="PNL228" s="9"/>
      <c r="PNM228" s="4"/>
      <c r="PNN228" s="9"/>
      <c r="PNO228" s="4"/>
      <c r="PNP228" s="9"/>
      <c r="PNQ228" s="4"/>
      <c r="PNR228" s="9"/>
      <c r="PNS228" s="4"/>
      <c r="PNT228" s="9"/>
      <c r="PNU228" s="4"/>
      <c r="PNV228" s="9"/>
      <c r="PNW228" s="4"/>
      <c r="PNX228" s="9"/>
      <c r="PNY228" s="4"/>
      <c r="PNZ228" s="9"/>
      <c r="POA228" s="4"/>
      <c r="POB228" s="9"/>
      <c r="POC228" s="4"/>
      <c r="POD228" s="9"/>
      <c r="POE228" s="4"/>
      <c r="POF228" s="9"/>
      <c r="POG228" s="4"/>
      <c r="POH228" s="9"/>
      <c r="POI228" s="4"/>
      <c r="POJ228" s="9"/>
      <c r="POK228" s="4"/>
      <c r="POL228" s="9"/>
      <c r="POM228" s="4"/>
      <c r="PON228" s="9"/>
      <c r="POO228" s="4"/>
      <c r="POP228" s="9"/>
      <c r="POQ228" s="4"/>
      <c r="POR228" s="9"/>
      <c r="POS228" s="4"/>
      <c r="POT228" s="9"/>
      <c r="POU228" s="4"/>
      <c r="POV228" s="9"/>
      <c r="POW228" s="4"/>
      <c r="POX228" s="9"/>
      <c r="POY228" s="4"/>
      <c r="POZ228" s="9"/>
      <c r="PPA228" s="4"/>
      <c r="PPB228" s="9"/>
      <c r="PPC228" s="4"/>
      <c r="PPD228" s="9"/>
      <c r="PPE228" s="4"/>
      <c r="PPF228" s="9"/>
      <c r="PPG228" s="4"/>
      <c r="PPH228" s="9"/>
      <c r="PPI228" s="4"/>
      <c r="PPJ228" s="9"/>
      <c r="PPK228" s="4"/>
      <c r="PPL228" s="9"/>
      <c r="PPM228" s="4"/>
      <c r="PPN228" s="9"/>
      <c r="PPO228" s="4"/>
      <c r="PPP228" s="9"/>
      <c r="PPQ228" s="4"/>
      <c r="PPR228" s="9"/>
      <c r="PPS228" s="4"/>
      <c r="PPT228" s="9"/>
      <c r="PPU228" s="4"/>
      <c r="PPV228" s="9"/>
      <c r="PPW228" s="4"/>
      <c r="PPX228" s="9"/>
      <c r="PPY228" s="4"/>
      <c r="PPZ228" s="9"/>
      <c r="PQA228" s="4"/>
      <c r="PQB228" s="9"/>
      <c r="PQC228" s="4"/>
      <c r="PQD228" s="9"/>
      <c r="PQE228" s="4"/>
      <c r="PQF228" s="9"/>
      <c r="PQG228" s="4"/>
      <c r="PQH228" s="9"/>
      <c r="PQI228" s="4"/>
      <c r="PQJ228" s="9"/>
      <c r="PQK228" s="4"/>
      <c r="PQL228" s="9"/>
      <c r="PQM228" s="4"/>
      <c r="PQN228" s="9"/>
      <c r="PQO228" s="4"/>
      <c r="PQP228" s="9"/>
      <c r="PQQ228" s="4"/>
      <c r="PQR228" s="9"/>
      <c r="PQS228" s="4"/>
      <c r="PQT228" s="9"/>
      <c r="PQU228" s="4"/>
      <c r="PQV228" s="9"/>
      <c r="PQW228" s="4"/>
      <c r="PQX228" s="9"/>
      <c r="PQY228" s="4"/>
      <c r="PQZ228" s="9"/>
      <c r="PRA228" s="4"/>
      <c r="PRB228" s="9"/>
      <c r="PRC228" s="4"/>
      <c r="PRD228" s="9"/>
      <c r="PRE228" s="4"/>
      <c r="PRF228" s="9"/>
      <c r="PRG228" s="4"/>
      <c r="PRH228" s="9"/>
      <c r="PRI228" s="4"/>
      <c r="PRJ228" s="9"/>
      <c r="PRK228" s="4"/>
      <c r="PRL228" s="9"/>
      <c r="PRM228" s="4"/>
      <c r="PRN228" s="9"/>
      <c r="PRO228" s="4"/>
      <c r="PRP228" s="9"/>
      <c r="PRQ228" s="4"/>
      <c r="PRR228" s="9"/>
      <c r="PRS228" s="4"/>
      <c r="PRT228" s="9"/>
      <c r="PRU228" s="4"/>
      <c r="PRV228" s="9"/>
      <c r="PRW228" s="4"/>
      <c r="PRX228" s="9"/>
      <c r="PRY228" s="4"/>
      <c r="PRZ228" s="9"/>
      <c r="PSA228" s="4"/>
      <c r="PSB228" s="9"/>
      <c r="PSC228" s="4"/>
      <c r="PSD228" s="9"/>
      <c r="PSE228" s="4"/>
      <c r="PSF228" s="9"/>
      <c r="PSG228" s="4"/>
      <c r="PSH228" s="9"/>
      <c r="PSI228" s="4"/>
      <c r="PSJ228" s="9"/>
      <c r="PSK228" s="4"/>
      <c r="PSL228" s="9"/>
      <c r="PSM228" s="4"/>
      <c r="PSN228" s="9"/>
      <c r="PSO228" s="4"/>
      <c r="PSP228" s="9"/>
      <c r="PSQ228" s="4"/>
      <c r="PSR228" s="9"/>
      <c r="PSS228" s="4"/>
      <c r="PST228" s="9"/>
      <c r="PSU228" s="4"/>
      <c r="PSV228" s="9"/>
      <c r="PSW228" s="4"/>
      <c r="PSX228" s="9"/>
      <c r="PSY228" s="4"/>
      <c r="PSZ228" s="9"/>
      <c r="PTA228" s="4"/>
      <c r="PTB228" s="9"/>
      <c r="PTC228" s="4"/>
      <c r="PTD228" s="9"/>
      <c r="PTE228" s="4"/>
      <c r="PTF228" s="9"/>
      <c r="PTG228" s="4"/>
      <c r="PTH228" s="9"/>
      <c r="PTI228" s="4"/>
      <c r="PTJ228" s="9"/>
      <c r="PTK228" s="4"/>
      <c r="PTL228" s="9"/>
      <c r="PTM228" s="4"/>
      <c r="PTN228" s="9"/>
      <c r="PTO228" s="4"/>
      <c r="PTP228" s="9"/>
      <c r="PTQ228" s="4"/>
      <c r="PTR228" s="9"/>
      <c r="PTS228" s="4"/>
      <c r="PTT228" s="9"/>
      <c r="PTU228" s="4"/>
      <c r="PTV228" s="9"/>
      <c r="PTW228" s="4"/>
      <c r="PTX228" s="9"/>
      <c r="PTY228" s="4"/>
      <c r="PTZ228" s="9"/>
      <c r="PUA228" s="4"/>
      <c r="PUB228" s="9"/>
      <c r="PUC228" s="4"/>
      <c r="PUD228" s="9"/>
      <c r="PUE228" s="4"/>
      <c r="PUF228" s="9"/>
      <c r="PUG228" s="4"/>
      <c r="PUH228" s="9"/>
      <c r="PUI228" s="4"/>
      <c r="PUJ228" s="9"/>
      <c r="PUK228" s="4"/>
      <c r="PUL228" s="9"/>
      <c r="PUM228" s="4"/>
      <c r="PUN228" s="9"/>
      <c r="PUO228" s="4"/>
      <c r="PUP228" s="9"/>
      <c r="PUQ228" s="4"/>
      <c r="PUR228" s="9"/>
      <c r="PUS228" s="4"/>
      <c r="PUT228" s="9"/>
      <c r="PUU228" s="4"/>
      <c r="PUV228" s="9"/>
      <c r="PUW228" s="4"/>
      <c r="PUX228" s="9"/>
      <c r="PUY228" s="4"/>
      <c r="PUZ228" s="9"/>
      <c r="PVA228" s="4"/>
      <c r="PVB228" s="9"/>
      <c r="PVC228" s="4"/>
      <c r="PVD228" s="9"/>
      <c r="PVE228" s="4"/>
      <c r="PVF228" s="9"/>
      <c r="PVG228" s="4"/>
      <c r="PVH228" s="9"/>
      <c r="PVI228" s="4"/>
      <c r="PVJ228" s="9"/>
      <c r="PVK228" s="4"/>
      <c r="PVL228" s="9"/>
      <c r="PVM228" s="4"/>
      <c r="PVN228" s="9"/>
      <c r="PVO228" s="4"/>
      <c r="PVP228" s="9"/>
      <c r="PVQ228" s="4"/>
      <c r="PVR228" s="9"/>
      <c r="PVS228" s="4"/>
      <c r="PVT228" s="9"/>
      <c r="PVU228" s="4"/>
      <c r="PVV228" s="9"/>
      <c r="PVW228" s="4"/>
      <c r="PVX228" s="9"/>
      <c r="PVY228" s="4"/>
      <c r="PVZ228" s="9"/>
      <c r="PWA228" s="4"/>
      <c r="PWB228" s="9"/>
      <c r="PWC228" s="4"/>
      <c r="PWD228" s="9"/>
      <c r="PWE228" s="4"/>
      <c r="PWF228" s="9"/>
      <c r="PWG228" s="4"/>
      <c r="PWH228" s="9"/>
      <c r="PWI228" s="4"/>
      <c r="PWJ228" s="9"/>
      <c r="PWK228" s="4"/>
      <c r="PWL228" s="9"/>
      <c r="PWM228" s="4"/>
      <c r="PWN228" s="9"/>
      <c r="PWO228" s="4"/>
      <c r="PWP228" s="9"/>
      <c r="PWQ228" s="4"/>
      <c r="PWR228" s="9"/>
      <c r="PWS228" s="4"/>
      <c r="PWT228" s="9"/>
      <c r="PWU228" s="4"/>
      <c r="PWV228" s="9"/>
      <c r="PWW228" s="4"/>
      <c r="PWX228" s="9"/>
      <c r="PWY228" s="4"/>
      <c r="PWZ228" s="9"/>
      <c r="PXA228" s="4"/>
      <c r="PXB228" s="9"/>
      <c r="PXC228" s="4"/>
      <c r="PXD228" s="9"/>
      <c r="PXE228" s="4"/>
      <c r="PXF228" s="9"/>
      <c r="PXG228" s="4"/>
      <c r="PXH228" s="9"/>
      <c r="PXI228" s="4"/>
      <c r="PXJ228" s="9"/>
      <c r="PXK228" s="4"/>
      <c r="PXL228" s="9"/>
      <c r="PXM228" s="4"/>
      <c r="PXN228" s="9"/>
      <c r="PXO228" s="4"/>
      <c r="PXP228" s="9"/>
      <c r="PXQ228" s="4"/>
      <c r="PXR228" s="9"/>
      <c r="PXS228" s="4"/>
      <c r="PXT228" s="9"/>
      <c r="PXU228" s="4"/>
      <c r="PXV228" s="9"/>
      <c r="PXW228" s="4"/>
      <c r="PXX228" s="9"/>
      <c r="PXY228" s="4"/>
      <c r="PXZ228" s="9"/>
      <c r="PYA228" s="4"/>
      <c r="PYB228" s="9"/>
      <c r="PYC228" s="4"/>
      <c r="PYD228" s="9"/>
      <c r="PYE228" s="4"/>
      <c r="PYF228" s="9"/>
      <c r="PYG228" s="4"/>
      <c r="PYH228" s="9"/>
      <c r="PYI228" s="4"/>
      <c r="PYJ228" s="9"/>
      <c r="PYK228" s="4"/>
      <c r="PYL228" s="9"/>
      <c r="PYM228" s="4"/>
      <c r="PYN228" s="9"/>
      <c r="PYO228" s="4"/>
      <c r="PYP228" s="9"/>
      <c r="PYQ228" s="4"/>
      <c r="PYR228" s="9"/>
      <c r="PYS228" s="4"/>
      <c r="PYT228" s="9"/>
      <c r="PYU228" s="4"/>
      <c r="PYV228" s="9"/>
      <c r="PYW228" s="4"/>
      <c r="PYX228" s="9"/>
      <c r="PYY228" s="4"/>
      <c r="PYZ228" s="9"/>
      <c r="PZA228" s="4"/>
      <c r="PZB228" s="9"/>
      <c r="PZC228" s="4"/>
      <c r="PZD228" s="9"/>
      <c r="PZE228" s="4"/>
      <c r="PZF228" s="9"/>
      <c r="PZG228" s="4"/>
      <c r="PZH228" s="9"/>
      <c r="PZI228" s="4"/>
      <c r="PZJ228" s="9"/>
      <c r="PZK228" s="4"/>
      <c r="PZL228" s="9"/>
      <c r="PZM228" s="4"/>
      <c r="PZN228" s="9"/>
      <c r="PZO228" s="4"/>
      <c r="PZP228" s="9"/>
      <c r="PZQ228" s="4"/>
      <c r="PZR228" s="9"/>
      <c r="PZS228" s="4"/>
      <c r="PZT228" s="9"/>
      <c r="PZU228" s="4"/>
      <c r="PZV228" s="9"/>
      <c r="PZW228" s="4"/>
      <c r="PZX228" s="9"/>
      <c r="PZY228" s="4"/>
      <c r="PZZ228" s="9"/>
      <c r="QAA228" s="4"/>
      <c r="QAB228" s="9"/>
      <c r="QAC228" s="4"/>
      <c r="QAD228" s="9"/>
      <c r="QAE228" s="4"/>
      <c r="QAF228" s="9"/>
      <c r="QAG228" s="4"/>
      <c r="QAH228" s="9"/>
      <c r="QAI228" s="4"/>
      <c r="QAJ228" s="9"/>
      <c r="QAK228" s="4"/>
      <c r="QAL228" s="9"/>
      <c r="QAM228" s="4"/>
      <c r="QAN228" s="9"/>
      <c r="QAO228" s="4"/>
      <c r="QAP228" s="9"/>
      <c r="QAQ228" s="4"/>
      <c r="QAR228" s="9"/>
      <c r="QAS228" s="4"/>
      <c r="QAT228" s="9"/>
      <c r="QAU228" s="4"/>
      <c r="QAV228" s="9"/>
      <c r="QAW228" s="4"/>
      <c r="QAX228" s="9"/>
      <c r="QAY228" s="4"/>
      <c r="QAZ228" s="9"/>
      <c r="QBA228" s="4"/>
      <c r="QBB228" s="9"/>
      <c r="QBC228" s="4"/>
      <c r="QBD228" s="9"/>
      <c r="QBE228" s="4"/>
      <c r="QBF228" s="9"/>
      <c r="QBG228" s="4"/>
      <c r="QBH228" s="9"/>
      <c r="QBI228" s="4"/>
      <c r="QBJ228" s="9"/>
      <c r="QBK228" s="4"/>
      <c r="QBL228" s="9"/>
      <c r="QBM228" s="4"/>
      <c r="QBN228" s="9"/>
      <c r="QBO228" s="4"/>
      <c r="QBP228" s="9"/>
      <c r="QBQ228" s="4"/>
      <c r="QBR228" s="9"/>
      <c r="QBS228" s="4"/>
      <c r="QBT228" s="9"/>
      <c r="QBU228" s="4"/>
      <c r="QBV228" s="9"/>
      <c r="QBW228" s="4"/>
      <c r="QBX228" s="9"/>
      <c r="QBY228" s="4"/>
      <c r="QBZ228" s="9"/>
      <c r="QCA228" s="4"/>
      <c r="QCB228" s="9"/>
      <c r="QCC228" s="4"/>
      <c r="QCD228" s="9"/>
      <c r="QCE228" s="4"/>
      <c r="QCF228" s="9"/>
      <c r="QCG228" s="4"/>
      <c r="QCH228" s="9"/>
      <c r="QCI228" s="4"/>
      <c r="QCJ228" s="9"/>
      <c r="QCK228" s="4"/>
      <c r="QCL228" s="9"/>
      <c r="QCM228" s="4"/>
      <c r="QCN228" s="9"/>
      <c r="QCO228" s="4"/>
      <c r="QCP228" s="9"/>
      <c r="QCQ228" s="4"/>
      <c r="QCR228" s="9"/>
      <c r="QCS228" s="4"/>
      <c r="QCT228" s="9"/>
      <c r="QCU228" s="4"/>
      <c r="QCV228" s="9"/>
      <c r="QCW228" s="4"/>
      <c r="QCX228" s="9"/>
      <c r="QCY228" s="4"/>
      <c r="QCZ228" s="9"/>
      <c r="QDA228" s="4"/>
      <c r="QDB228" s="9"/>
      <c r="QDC228" s="4"/>
      <c r="QDD228" s="9"/>
      <c r="QDE228" s="4"/>
      <c r="QDF228" s="9"/>
      <c r="QDG228" s="4"/>
      <c r="QDH228" s="9"/>
      <c r="QDI228" s="4"/>
      <c r="QDJ228" s="9"/>
      <c r="QDK228" s="4"/>
      <c r="QDL228" s="9"/>
      <c r="QDM228" s="4"/>
      <c r="QDN228" s="9"/>
      <c r="QDO228" s="4"/>
      <c r="QDP228" s="9"/>
      <c r="QDQ228" s="4"/>
      <c r="QDR228" s="9"/>
      <c r="QDS228" s="4"/>
      <c r="QDT228" s="9"/>
      <c r="QDU228" s="4"/>
      <c r="QDV228" s="9"/>
      <c r="QDW228" s="4"/>
      <c r="QDX228" s="9"/>
      <c r="QDY228" s="4"/>
      <c r="QDZ228" s="9"/>
      <c r="QEA228" s="4"/>
      <c r="QEB228" s="9"/>
      <c r="QEC228" s="4"/>
      <c r="QED228" s="9"/>
      <c r="QEE228" s="4"/>
      <c r="QEF228" s="9"/>
      <c r="QEG228" s="4"/>
      <c r="QEH228" s="9"/>
      <c r="QEI228" s="4"/>
      <c r="QEJ228" s="9"/>
      <c r="QEK228" s="4"/>
      <c r="QEL228" s="9"/>
      <c r="QEM228" s="4"/>
      <c r="QEN228" s="9"/>
      <c r="QEO228" s="4"/>
      <c r="QEP228" s="9"/>
      <c r="QEQ228" s="4"/>
      <c r="QER228" s="9"/>
      <c r="QES228" s="4"/>
      <c r="QET228" s="9"/>
      <c r="QEU228" s="4"/>
      <c r="QEV228" s="9"/>
      <c r="QEW228" s="4"/>
      <c r="QEX228" s="9"/>
      <c r="QEY228" s="4"/>
      <c r="QEZ228" s="9"/>
      <c r="QFA228" s="4"/>
      <c r="QFB228" s="9"/>
      <c r="QFC228" s="4"/>
      <c r="QFD228" s="9"/>
      <c r="QFE228" s="4"/>
      <c r="QFF228" s="9"/>
      <c r="QFG228" s="4"/>
      <c r="QFH228" s="9"/>
      <c r="QFI228" s="4"/>
      <c r="QFJ228" s="9"/>
      <c r="QFK228" s="4"/>
      <c r="QFL228" s="9"/>
      <c r="QFM228" s="4"/>
      <c r="QFN228" s="9"/>
      <c r="QFO228" s="4"/>
      <c r="QFP228" s="9"/>
      <c r="QFQ228" s="4"/>
      <c r="QFR228" s="9"/>
      <c r="QFS228" s="4"/>
      <c r="QFT228" s="9"/>
      <c r="QFU228" s="4"/>
      <c r="QFV228" s="9"/>
      <c r="QFW228" s="4"/>
      <c r="QFX228" s="9"/>
      <c r="QFY228" s="4"/>
      <c r="QFZ228" s="9"/>
      <c r="QGA228" s="4"/>
      <c r="QGB228" s="9"/>
      <c r="QGC228" s="4"/>
      <c r="QGD228" s="9"/>
      <c r="QGE228" s="4"/>
      <c r="QGF228" s="9"/>
      <c r="QGG228" s="4"/>
      <c r="QGH228" s="9"/>
      <c r="QGI228" s="4"/>
      <c r="QGJ228" s="9"/>
      <c r="QGK228" s="4"/>
      <c r="QGL228" s="9"/>
      <c r="QGM228" s="4"/>
      <c r="QGN228" s="9"/>
      <c r="QGO228" s="4"/>
      <c r="QGP228" s="9"/>
      <c r="QGQ228" s="4"/>
      <c r="QGR228" s="9"/>
      <c r="QGS228" s="4"/>
      <c r="QGT228" s="9"/>
      <c r="QGU228" s="4"/>
      <c r="QGV228" s="9"/>
      <c r="QGW228" s="4"/>
      <c r="QGX228" s="9"/>
      <c r="QGY228" s="4"/>
      <c r="QGZ228" s="9"/>
      <c r="QHA228" s="4"/>
      <c r="QHB228" s="9"/>
      <c r="QHC228" s="4"/>
      <c r="QHD228" s="9"/>
      <c r="QHE228" s="4"/>
      <c r="QHF228" s="9"/>
      <c r="QHG228" s="4"/>
      <c r="QHH228" s="9"/>
      <c r="QHI228" s="4"/>
      <c r="QHJ228" s="9"/>
      <c r="QHK228" s="4"/>
      <c r="QHL228" s="9"/>
      <c r="QHM228" s="4"/>
      <c r="QHN228" s="9"/>
      <c r="QHO228" s="4"/>
      <c r="QHP228" s="9"/>
      <c r="QHQ228" s="4"/>
      <c r="QHR228" s="9"/>
      <c r="QHS228" s="4"/>
      <c r="QHT228" s="9"/>
      <c r="QHU228" s="4"/>
      <c r="QHV228" s="9"/>
      <c r="QHW228" s="4"/>
      <c r="QHX228" s="9"/>
      <c r="QHY228" s="4"/>
      <c r="QHZ228" s="9"/>
      <c r="QIA228" s="4"/>
      <c r="QIB228" s="9"/>
      <c r="QIC228" s="4"/>
      <c r="QID228" s="9"/>
      <c r="QIE228" s="4"/>
      <c r="QIF228" s="9"/>
      <c r="QIG228" s="4"/>
      <c r="QIH228" s="9"/>
      <c r="QII228" s="4"/>
      <c r="QIJ228" s="9"/>
      <c r="QIK228" s="4"/>
      <c r="QIL228" s="9"/>
      <c r="QIM228" s="4"/>
      <c r="QIN228" s="9"/>
      <c r="QIO228" s="4"/>
      <c r="QIP228" s="9"/>
      <c r="QIQ228" s="4"/>
      <c r="QIR228" s="9"/>
      <c r="QIS228" s="4"/>
      <c r="QIT228" s="9"/>
      <c r="QIU228" s="4"/>
      <c r="QIV228" s="9"/>
      <c r="QIW228" s="4"/>
      <c r="QIX228" s="9"/>
      <c r="QIY228" s="4"/>
      <c r="QIZ228" s="9"/>
      <c r="QJA228" s="4"/>
      <c r="QJB228" s="9"/>
      <c r="QJC228" s="4"/>
      <c r="QJD228" s="9"/>
      <c r="QJE228" s="4"/>
      <c r="QJF228" s="9"/>
      <c r="QJG228" s="4"/>
      <c r="QJH228" s="9"/>
      <c r="QJI228" s="4"/>
      <c r="QJJ228" s="9"/>
      <c r="QJK228" s="4"/>
      <c r="QJL228" s="9"/>
      <c r="QJM228" s="4"/>
      <c r="QJN228" s="9"/>
      <c r="QJO228" s="4"/>
      <c r="QJP228" s="9"/>
      <c r="QJQ228" s="4"/>
      <c r="QJR228" s="9"/>
      <c r="QJS228" s="4"/>
      <c r="QJT228" s="9"/>
      <c r="QJU228" s="4"/>
      <c r="QJV228" s="9"/>
      <c r="QJW228" s="4"/>
      <c r="QJX228" s="9"/>
      <c r="QJY228" s="4"/>
      <c r="QJZ228" s="9"/>
      <c r="QKA228" s="4"/>
      <c r="QKB228" s="9"/>
      <c r="QKC228" s="4"/>
      <c r="QKD228" s="9"/>
      <c r="QKE228" s="4"/>
      <c r="QKF228" s="9"/>
      <c r="QKG228" s="4"/>
      <c r="QKH228" s="9"/>
      <c r="QKI228" s="4"/>
      <c r="QKJ228" s="9"/>
      <c r="QKK228" s="4"/>
      <c r="QKL228" s="9"/>
      <c r="QKM228" s="4"/>
      <c r="QKN228" s="9"/>
      <c r="QKO228" s="4"/>
      <c r="QKP228" s="9"/>
      <c r="QKQ228" s="4"/>
      <c r="QKR228" s="9"/>
      <c r="QKS228" s="4"/>
      <c r="QKT228" s="9"/>
      <c r="QKU228" s="4"/>
      <c r="QKV228" s="9"/>
      <c r="QKW228" s="4"/>
      <c r="QKX228" s="9"/>
      <c r="QKY228" s="4"/>
      <c r="QKZ228" s="9"/>
      <c r="QLA228" s="4"/>
      <c r="QLB228" s="9"/>
      <c r="QLC228" s="4"/>
      <c r="QLD228" s="9"/>
      <c r="QLE228" s="4"/>
      <c r="QLF228" s="9"/>
      <c r="QLG228" s="4"/>
      <c r="QLH228" s="9"/>
      <c r="QLI228" s="4"/>
      <c r="QLJ228" s="9"/>
      <c r="QLK228" s="4"/>
      <c r="QLL228" s="9"/>
      <c r="QLM228" s="4"/>
      <c r="QLN228" s="9"/>
      <c r="QLO228" s="4"/>
      <c r="QLP228" s="9"/>
      <c r="QLQ228" s="4"/>
      <c r="QLR228" s="9"/>
      <c r="QLS228" s="4"/>
      <c r="QLT228" s="9"/>
      <c r="QLU228" s="4"/>
      <c r="QLV228" s="9"/>
      <c r="QLW228" s="4"/>
      <c r="QLX228" s="9"/>
      <c r="QLY228" s="4"/>
      <c r="QLZ228" s="9"/>
      <c r="QMA228" s="4"/>
      <c r="QMB228" s="9"/>
      <c r="QMC228" s="4"/>
      <c r="QMD228" s="9"/>
      <c r="QME228" s="4"/>
      <c r="QMF228" s="9"/>
      <c r="QMG228" s="4"/>
      <c r="QMH228" s="9"/>
      <c r="QMI228" s="4"/>
      <c r="QMJ228" s="9"/>
      <c r="QMK228" s="4"/>
      <c r="QML228" s="9"/>
      <c r="QMM228" s="4"/>
      <c r="QMN228" s="9"/>
      <c r="QMO228" s="4"/>
      <c r="QMP228" s="9"/>
      <c r="QMQ228" s="4"/>
      <c r="QMR228" s="9"/>
      <c r="QMS228" s="4"/>
      <c r="QMT228" s="9"/>
      <c r="QMU228" s="4"/>
      <c r="QMV228" s="9"/>
      <c r="QMW228" s="4"/>
      <c r="QMX228" s="9"/>
      <c r="QMY228" s="4"/>
      <c r="QMZ228" s="9"/>
      <c r="QNA228" s="4"/>
      <c r="QNB228" s="9"/>
      <c r="QNC228" s="4"/>
      <c r="QND228" s="9"/>
      <c r="QNE228" s="4"/>
      <c r="QNF228" s="9"/>
      <c r="QNG228" s="4"/>
      <c r="QNH228" s="9"/>
      <c r="QNI228" s="4"/>
      <c r="QNJ228" s="9"/>
      <c r="QNK228" s="4"/>
      <c r="QNL228" s="9"/>
      <c r="QNM228" s="4"/>
      <c r="QNN228" s="9"/>
      <c r="QNO228" s="4"/>
      <c r="QNP228" s="9"/>
      <c r="QNQ228" s="4"/>
      <c r="QNR228" s="9"/>
      <c r="QNS228" s="4"/>
      <c r="QNT228" s="9"/>
      <c r="QNU228" s="4"/>
      <c r="QNV228" s="9"/>
      <c r="QNW228" s="4"/>
      <c r="QNX228" s="9"/>
      <c r="QNY228" s="4"/>
      <c r="QNZ228" s="9"/>
      <c r="QOA228" s="4"/>
      <c r="QOB228" s="9"/>
      <c r="QOC228" s="4"/>
      <c r="QOD228" s="9"/>
      <c r="QOE228" s="4"/>
      <c r="QOF228" s="9"/>
      <c r="QOG228" s="4"/>
      <c r="QOH228" s="9"/>
      <c r="QOI228" s="4"/>
      <c r="QOJ228" s="9"/>
      <c r="QOK228" s="4"/>
      <c r="QOL228" s="9"/>
      <c r="QOM228" s="4"/>
      <c r="QON228" s="9"/>
      <c r="QOO228" s="4"/>
      <c r="QOP228" s="9"/>
      <c r="QOQ228" s="4"/>
      <c r="QOR228" s="9"/>
      <c r="QOS228" s="4"/>
      <c r="QOT228" s="9"/>
      <c r="QOU228" s="4"/>
      <c r="QOV228" s="9"/>
      <c r="QOW228" s="4"/>
      <c r="QOX228" s="9"/>
      <c r="QOY228" s="4"/>
      <c r="QOZ228" s="9"/>
      <c r="QPA228" s="4"/>
      <c r="QPB228" s="9"/>
      <c r="QPC228" s="4"/>
      <c r="QPD228" s="9"/>
      <c r="QPE228" s="4"/>
      <c r="QPF228" s="9"/>
      <c r="QPG228" s="4"/>
      <c r="QPH228" s="9"/>
      <c r="QPI228" s="4"/>
      <c r="QPJ228" s="9"/>
      <c r="QPK228" s="4"/>
      <c r="QPL228" s="9"/>
      <c r="QPM228" s="4"/>
      <c r="QPN228" s="9"/>
      <c r="QPO228" s="4"/>
      <c r="QPP228" s="9"/>
      <c r="QPQ228" s="4"/>
      <c r="QPR228" s="9"/>
      <c r="QPS228" s="4"/>
      <c r="QPT228" s="9"/>
      <c r="QPU228" s="4"/>
      <c r="QPV228" s="9"/>
      <c r="QPW228" s="4"/>
      <c r="QPX228" s="9"/>
      <c r="QPY228" s="4"/>
      <c r="QPZ228" s="9"/>
      <c r="QQA228" s="4"/>
      <c r="QQB228" s="9"/>
      <c r="QQC228" s="4"/>
      <c r="QQD228" s="9"/>
      <c r="QQE228" s="4"/>
      <c r="QQF228" s="9"/>
      <c r="QQG228" s="4"/>
      <c r="QQH228" s="9"/>
      <c r="QQI228" s="4"/>
      <c r="QQJ228" s="9"/>
      <c r="QQK228" s="4"/>
      <c r="QQL228" s="9"/>
      <c r="QQM228" s="4"/>
      <c r="QQN228" s="9"/>
      <c r="QQO228" s="4"/>
      <c r="QQP228" s="9"/>
      <c r="QQQ228" s="4"/>
      <c r="QQR228" s="9"/>
      <c r="QQS228" s="4"/>
      <c r="QQT228" s="9"/>
      <c r="QQU228" s="4"/>
      <c r="QQV228" s="9"/>
      <c r="QQW228" s="4"/>
      <c r="QQX228" s="9"/>
      <c r="QQY228" s="4"/>
      <c r="QQZ228" s="9"/>
      <c r="QRA228" s="4"/>
      <c r="QRB228" s="9"/>
      <c r="QRC228" s="4"/>
      <c r="QRD228" s="9"/>
      <c r="QRE228" s="4"/>
      <c r="QRF228" s="9"/>
      <c r="QRG228" s="4"/>
      <c r="QRH228" s="9"/>
      <c r="QRI228" s="4"/>
      <c r="QRJ228" s="9"/>
      <c r="QRK228" s="4"/>
      <c r="QRL228" s="9"/>
      <c r="QRM228" s="4"/>
      <c r="QRN228" s="9"/>
      <c r="QRO228" s="4"/>
      <c r="QRP228" s="9"/>
      <c r="QRQ228" s="4"/>
      <c r="QRR228" s="9"/>
      <c r="QRS228" s="4"/>
      <c r="QRT228" s="9"/>
      <c r="QRU228" s="4"/>
      <c r="QRV228" s="9"/>
      <c r="QRW228" s="4"/>
      <c r="QRX228" s="9"/>
      <c r="QRY228" s="4"/>
      <c r="QRZ228" s="9"/>
      <c r="QSA228" s="4"/>
      <c r="QSB228" s="9"/>
      <c r="QSC228" s="4"/>
      <c r="QSD228" s="9"/>
      <c r="QSE228" s="4"/>
      <c r="QSF228" s="9"/>
      <c r="QSG228" s="4"/>
      <c r="QSH228" s="9"/>
      <c r="QSI228" s="4"/>
      <c r="QSJ228" s="9"/>
      <c r="QSK228" s="4"/>
      <c r="QSL228" s="9"/>
      <c r="QSM228" s="4"/>
      <c r="QSN228" s="9"/>
      <c r="QSO228" s="4"/>
      <c r="QSP228" s="9"/>
      <c r="QSQ228" s="4"/>
      <c r="QSR228" s="9"/>
      <c r="QSS228" s="4"/>
      <c r="QST228" s="9"/>
      <c r="QSU228" s="4"/>
      <c r="QSV228" s="9"/>
      <c r="QSW228" s="4"/>
      <c r="QSX228" s="9"/>
      <c r="QSY228" s="4"/>
      <c r="QSZ228" s="9"/>
      <c r="QTA228" s="4"/>
      <c r="QTB228" s="9"/>
      <c r="QTC228" s="4"/>
      <c r="QTD228" s="9"/>
      <c r="QTE228" s="4"/>
      <c r="QTF228" s="9"/>
      <c r="QTG228" s="4"/>
      <c r="QTH228" s="9"/>
      <c r="QTI228" s="4"/>
      <c r="QTJ228" s="9"/>
      <c r="QTK228" s="4"/>
      <c r="QTL228" s="9"/>
      <c r="QTM228" s="4"/>
      <c r="QTN228" s="9"/>
      <c r="QTO228" s="4"/>
      <c r="QTP228" s="9"/>
      <c r="QTQ228" s="4"/>
      <c r="QTR228" s="9"/>
      <c r="QTS228" s="4"/>
      <c r="QTT228" s="9"/>
      <c r="QTU228" s="4"/>
      <c r="QTV228" s="9"/>
      <c r="QTW228" s="4"/>
      <c r="QTX228" s="9"/>
      <c r="QTY228" s="4"/>
      <c r="QTZ228" s="9"/>
      <c r="QUA228" s="4"/>
      <c r="QUB228" s="9"/>
      <c r="QUC228" s="4"/>
      <c r="QUD228" s="9"/>
      <c r="QUE228" s="4"/>
      <c r="QUF228" s="9"/>
      <c r="QUG228" s="4"/>
      <c r="QUH228" s="9"/>
      <c r="QUI228" s="4"/>
      <c r="QUJ228" s="9"/>
      <c r="QUK228" s="4"/>
      <c r="QUL228" s="9"/>
      <c r="QUM228" s="4"/>
      <c r="QUN228" s="9"/>
      <c r="QUO228" s="4"/>
      <c r="QUP228" s="9"/>
      <c r="QUQ228" s="4"/>
      <c r="QUR228" s="9"/>
      <c r="QUS228" s="4"/>
      <c r="QUT228" s="9"/>
      <c r="QUU228" s="4"/>
      <c r="QUV228" s="9"/>
      <c r="QUW228" s="4"/>
      <c r="QUX228" s="9"/>
      <c r="QUY228" s="4"/>
      <c r="QUZ228" s="9"/>
      <c r="QVA228" s="4"/>
      <c r="QVB228" s="9"/>
      <c r="QVC228" s="4"/>
      <c r="QVD228" s="9"/>
      <c r="QVE228" s="4"/>
      <c r="QVF228" s="9"/>
      <c r="QVG228" s="4"/>
      <c r="QVH228" s="9"/>
      <c r="QVI228" s="4"/>
      <c r="QVJ228" s="9"/>
      <c r="QVK228" s="4"/>
      <c r="QVL228" s="9"/>
      <c r="QVM228" s="4"/>
      <c r="QVN228" s="9"/>
      <c r="QVO228" s="4"/>
      <c r="QVP228" s="9"/>
      <c r="QVQ228" s="4"/>
      <c r="QVR228" s="9"/>
      <c r="QVS228" s="4"/>
      <c r="QVT228" s="9"/>
      <c r="QVU228" s="4"/>
      <c r="QVV228" s="9"/>
      <c r="QVW228" s="4"/>
      <c r="QVX228" s="9"/>
      <c r="QVY228" s="4"/>
      <c r="QVZ228" s="9"/>
      <c r="QWA228" s="4"/>
      <c r="QWB228" s="9"/>
      <c r="QWC228" s="4"/>
      <c r="QWD228" s="9"/>
      <c r="QWE228" s="4"/>
      <c r="QWF228" s="9"/>
      <c r="QWG228" s="4"/>
      <c r="QWH228" s="9"/>
      <c r="QWI228" s="4"/>
      <c r="QWJ228" s="9"/>
      <c r="QWK228" s="4"/>
      <c r="QWL228" s="9"/>
      <c r="QWM228" s="4"/>
      <c r="QWN228" s="9"/>
      <c r="QWO228" s="4"/>
      <c r="QWP228" s="9"/>
      <c r="QWQ228" s="4"/>
      <c r="QWR228" s="9"/>
      <c r="QWS228" s="4"/>
      <c r="QWT228" s="9"/>
      <c r="QWU228" s="4"/>
      <c r="QWV228" s="9"/>
      <c r="QWW228" s="4"/>
      <c r="QWX228" s="9"/>
      <c r="QWY228" s="4"/>
      <c r="QWZ228" s="9"/>
      <c r="QXA228" s="4"/>
      <c r="QXB228" s="9"/>
      <c r="QXC228" s="4"/>
      <c r="QXD228" s="9"/>
      <c r="QXE228" s="4"/>
      <c r="QXF228" s="9"/>
      <c r="QXG228" s="4"/>
      <c r="QXH228" s="9"/>
      <c r="QXI228" s="4"/>
      <c r="QXJ228" s="9"/>
      <c r="QXK228" s="4"/>
      <c r="QXL228" s="9"/>
      <c r="QXM228" s="4"/>
      <c r="QXN228" s="9"/>
      <c r="QXO228" s="4"/>
      <c r="QXP228" s="9"/>
      <c r="QXQ228" s="4"/>
      <c r="QXR228" s="9"/>
      <c r="QXS228" s="4"/>
      <c r="QXT228" s="9"/>
      <c r="QXU228" s="4"/>
      <c r="QXV228" s="9"/>
      <c r="QXW228" s="4"/>
      <c r="QXX228" s="9"/>
      <c r="QXY228" s="4"/>
      <c r="QXZ228" s="9"/>
      <c r="QYA228" s="4"/>
      <c r="QYB228" s="9"/>
      <c r="QYC228" s="4"/>
      <c r="QYD228" s="9"/>
      <c r="QYE228" s="4"/>
      <c r="QYF228" s="9"/>
      <c r="QYG228" s="4"/>
      <c r="QYH228" s="9"/>
      <c r="QYI228" s="4"/>
      <c r="QYJ228" s="9"/>
      <c r="QYK228" s="4"/>
      <c r="QYL228" s="9"/>
      <c r="QYM228" s="4"/>
      <c r="QYN228" s="9"/>
      <c r="QYO228" s="4"/>
      <c r="QYP228" s="9"/>
      <c r="QYQ228" s="4"/>
      <c r="QYR228" s="9"/>
      <c r="QYS228" s="4"/>
      <c r="QYT228" s="9"/>
      <c r="QYU228" s="4"/>
      <c r="QYV228" s="9"/>
      <c r="QYW228" s="4"/>
      <c r="QYX228" s="9"/>
      <c r="QYY228" s="4"/>
      <c r="QYZ228" s="9"/>
      <c r="QZA228" s="4"/>
      <c r="QZB228" s="9"/>
      <c r="QZC228" s="4"/>
      <c r="QZD228" s="9"/>
      <c r="QZE228" s="4"/>
      <c r="QZF228" s="9"/>
      <c r="QZG228" s="4"/>
      <c r="QZH228" s="9"/>
      <c r="QZI228" s="4"/>
      <c r="QZJ228" s="9"/>
      <c r="QZK228" s="4"/>
      <c r="QZL228" s="9"/>
      <c r="QZM228" s="4"/>
      <c r="QZN228" s="9"/>
      <c r="QZO228" s="4"/>
      <c r="QZP228" s="9"/>
      <c r="QZQ228" s="4"/>
      <c r="QZR228" s="9"/>
      <c r="QZS228" s="4"/>
      <c r="QZT228" s="9"/>
      <c r="QZU228" s="4"/>
      <c r="QZV228" s="9"/>
      <c r="QZW228" s="4"/>
      <c r="QZX228" s="9"/>
      <c r="QZY228" s="4"/>
      <c r="QZZ228" s="9"/>
      <c r="RAA228" s="4"/>
      <c r="RAB228" s="9"/>
      <c r="RAC228" s="4"/>
      <c r="RAD228" s="9"/>
      <c r="RAE228" s="4"/>
      <c r="RAF228" s="9"/>
      <c r="RAG228" s="4"/>
      <c r="RAH228" s="9"/>
      <c r="RAI228" s="4"/>
      <c r="RAJ228" s="9"/>
      <c r="RAK228" s="4"/>
      <c r="RAL228" s="9"/>
      <c r="RAM228" s="4"/>
      <c r="RAN228" s="9"/>
      <c r="RAO228" s="4"/>
      <c r="RAP228" s="9"/>
      <c r="RAQ228" s="4"/>
      <c r="RAR228" s="9"/>
      <c r="RAS228" s="4"/>
      <c r="RAT228" s="9"/>
      <c r="RAU228" s="4"/>
      <c r="RAV228" s="9"/>
      <c r="RAW228" s="4"/>
      <c r="RAX228" s="9"/>
      <c r="RAY228" s="4"/>
      <c r="RAZ228" s="9"/>
      <c r="RBA228" s="4"/>
      <c r="RBB228" s="9"/>
      <c r="RBC228" s="4"/>
      <c r="RBD228" s="9"/>
      <c r="RBE228" s="4"/>
      <c r="RBF228" s="9"/>
      <c r="RBG228" s="4"/>
      <c r="RBH228" s="9"/>
      <c r="RBI228" s="4"/>
      <c r="RBJ228" s="9"/>
      <c r="RBK228" s="4"/>
      <c r="RBL228" s="9"/>
      <c r="RBM228" s="4"/>
      <c r="RBN228" s="9"/>
      <c r="RBO228" s="4"/>
      <c r="RBP228" s="9"/>
      <c r="RBQ228" s="4"/>
      <c r="RBR228" s="9"/>
      <c r="RBS228" s="4"/>
      <c r="RBT228" s="9"/>
      <c r="RBU228" s="4"/>
      <c r="RBV228" s="9"/>
      <c r="RBW228" s="4"/>
      <c r="RBX228" s="9"/>
      <c r="RBY228" s="4"/>
      <c r="RBZ228" s="9"/>
      <c r="RCA228" s="4"/>
      <c r="RCB228" s="9"/>
      <c r="RCC228" s="4"/>
      <c r="RCD228" s="9"/>
      <c r="RCE228" s="4"/>
      <c r="RCF228" s="9"/>
      <c r="RCG228" s="4"/>
      <c r="RCH228" s="9"/>
      <c r="RCI228" s="4"/>
      <c r="RCJ228" s="9"/>
      <c r="RCK228" s="4"/>
      <c r="RCL228" s="9"/>
      <c r="RCM228" s="4"/>
      <c r="RCN228" s="9"/>
      <c r="RCO228" s="4"/>
      <c r="RCP228" s="9"/>
      <c r="RCQ228" s="4"/>
      <c r="RCR228" s="9"/>
      <c r="RCS228" s="4"/>
      <c r="RCT228" s="9"/>
      <c r="RCU228" s="4"/>
      <c r="RCV228" s="9"/>
      <c r="RCW228" s="4"/>
      <c r="RCX228" s="9"/>
      <c r="RCY228" s="4"/>
      <c r="RCZ228" s="9"/>
      <c r="RDA228" s="4"/>
      <c r="RDB228" s="9"/>
      <c r="RDC228" s="4"/>
      <c r="RDD228" s="9"/>
      <c r="RDE228" s="4"/>
      <c r="RDF228" s="9"/>
      <c r="RDG228" s="4"/>
      <c r="RDH228" s="9"/>
      <c r="RDI228" s="4"/>
      <c r="RDJ228" s="9"/>
      <c r="RDK228" s="4"/>
      <c r="RDL228" s="9"/>
      <c r="RDM228" s="4"/>
      <c r="RDN228" s="9"/>
      <c r="RDO228" s="4"/>
      <c r="RDP228" s="9"/>
      <c r="RDQ228" s="4"/>
      <c r="RDR228" s="9"/>
      <c r="RDS228" s="4"/>
      <c r="RDT228" s="9"/>
      <c r="RDU228" s="4"/>
      <c r="RDV228" s="9"/>
      <c r="RDW228" s="4"/>
      <c r="RDX228" s="9"/>
      <c r="RDY228" s="4"/>
      <c r="RDZ228" s="9"/>
      <c r="REA228" s="4"/>
      <c r="REB228" s="9"/>
      <c r="REC228" s="4"/>
      <c r="RED228" s="9"/>
      <c r="REE228" s="4"/>
      <c r="REF228" s="9"/>
      <c r="REG228" s="4"/>
      <c r="REH228" s="9"/>
      <c r="REI228" s="4"/>
      <c r="REJ228" s="9"/>
      <c r="REK228" s="4"/>
      <c r="REL228" s="9"/>
      <c r="REM228" s="4"/>
      <c r="REN228" s="9"/>
      <c r="REO228" s="4"/>
      <c r="REP228" s="9"/>
      <c r="REQ228" s="4"/>
      <c r="RER228" s="9"/>
      <c r="RES228" s="4"/>
      <c r="RET228" s="9"/>
      <c r="REU228" s="4"/>
      <c r="REV228" s="9"/>
      <c r="REW228" s="4"/>
      <c r="REX228" s="9"/>
      <c r="REY228" s="4"/>
      <c r="REZ228" s="9"/>
      <c r="RFA228" s="4"/>
      <c r="RFB228" s="9"/>
      <c r="RFC228" s="4"/>
      <c r="RFD228" s="9"/>
      <c r="RFE228" s="4"/>
      <c r="RFF228" s="9"/>
      <c r="RFG228" s="4"/>
      <c r="RFH228" s="9"/>
      <c r="RFI228" s="4"/>
      <c r="RFJ228" s="9"/>
      <c r="RFK228" s="4"/>
      <c r="RFL228" s="9"/>
      <c r="RFM228" s="4"/>
      <c r="RFN228" s="9"/>
      <c r="RFO228" s="4"/>
      <c r="RFP228" s="9"/>
      <c r="RFQ228" s="4"/>
      <c r="RFR228" s="9"/>
      <c r="RFS228" s="4"/>
      <c r="RFT228" s="9"/>
      <c r="RFU228" s="4"/>
      <c r="RFV228" s="9"/>
      <c r="RFW228" s="4"/>
      <c r="RFX228" s="9"/>
      <c r="RFY228" s="4"/>
      <c r="RFZ228" s="9"/>
      <c r="RGA228" s="4"/>
      <c r="RGB228" s="9"/>
      <c r="RGC228" s="4"/>
      <c r="RGD228" s="9"/>
      <c r="RGE228" s="4"/>
      <c r="RGF228" s="9"/>
      <c r="RGG228" s="4"/>
      <c r="RGH228" s="9"/>
      <c r="RGI228" s="4"/>
      <c r="RGJ228" s="9"/>
      <c r="RGK228" s="4"/>
      <c r="RGL228" s="9"/>
      <c r="RGM228" s="4"/>
      <c r="RGN228" s="9"/>
      <c r="RGO228" s="4"/>
      <c r="RGP228" s="9"/>
      <c r="RGQ228" s="4"/>
      <c r="RGR228" s="9"/>
      <c r="RGS228" s="4"/>
      <c r="RGT228" s="9"/>
      <c r="RGU228" s="4"/>
      <c r="RGV228" s="9"/>
      <c r="RGW228" s="4"/>
      <c r="RGX228" s="9"/>
      <c r="RGY228" s="4"/>
      <c r="RGZ228" s="9"/>
      <c r="RHA228" s="4"/>
      <c r="RHB228" s="9"/>
      <c r="RHC228" s="4"/>
      <c r="RHD228" s="9"/>
      <c r="RHE228" s="4"/>
      <c r="RHF228" s="9"/>
      <c r="RHG228" s="4"/>
      <c r="RHH228" s="9"/>
      <c r="RHI228" s="4"/>
      <c r="RHJ228" s="9"/>
      <c r="RHK228" s="4"/>
      <c r="RHL228" s="9"/>
      <c r="RHM228" s="4"/>
      <c r="RHN228" s="9"/>
      <c r="RHO228" s="4"/>
      <c r="RHP228" s="9"/>
      <c r="RHQ228" s="4"/>
      <c r="RHR228" s="9"/>
      <c r="RHS228" s="4"/>
      <c r="RHT228" s="9"/>
      <c r="RHU228" s="4"/>
      <c r="RHV228" s="9"/>
      <c r="RHW228" s="4"/>
      <c r="RHX228" s="9"/>
      <c r="RHY228" s="4"/>
      <c r="RHZ228" s="9"/>
      <c r="RIA228" s="4"/>
      <c r="RIB228" s="9"/>
      <c r="RIC228" s="4"/>
      <c r="RID228" s="9"/>
      <c r="RIE228" s="4"/>
      <c r="RIF228" s="9"/>
      <c r="RIG228" s="4"/>
      <c r="RIH228" s="9"/>
      <c r="RII228" s="4"/>
      <c r="RIJ228" s="9"/>
      <c r="RIK228" s="4"/>
      <c r="RIL228" s="9"/>
      <c r="RIM228" s="4"/>
      <c r="RIN228" s="9"/>
      <c r="RIO228" s="4"/>
      <c r="RIP228" s="9"/>
      <c r="RIQ228" s="4"/>
      <c r="RIR228" s="9"/>
      <c r="RIS228" s="4"/>
      <c r="RIT228" s="9"/>
      <c r="RIU228" s="4"/>
      <c r="RIV228" s="9"/>
      <c r="RIW228" s="4"/>
      <c r="RIX228" s="9"/>
      <c r="RIY228" s="4"/>
      <c r="RIZ228" s="9"/>
      <c r="RJA228" s="4"/>
      <c r="RJB228" s="9"/>
      <c r="RJC228" s="4"/>
      <c r="RJD228" s="9"/>
      <c r="RJE228" s="4"/>
      <c r="RJF228" s="9"/>
      <c r="RJG228" s="4"/>
      <c r="RJH228" s="9"/>
      <c r="RJI228" s="4"/>
      <c r="RJJ228" s="9"/>
      <c r="RJK228" s="4"/>
      <c r="RJL228" s="9"/>
      <c r="RJM228" s="4"/>
      <c r="RJN228" s="9"/>
      <c r="RJO228" s="4"/>
      <c r="RJP228" s="9"/>
      <c r="RJQ228" s="4"/>
      <c r="RJR228" s="9"/>
      <c r="RJS228" s="4"/>
      <c r="RJT228" s="9"/>
      <c r="RJU228" s="4"/>
      <c r="RJV228" s="9"/>
      <c r="RJW228" s="4"/>
      <c r="RJX228" s="9"/>
      <c r="RJY228" s="4"/>
      <c r="RJZ228" s="9"/>
      <c r="RKA228" s="4"/>
      <c r="RKB228" s="9"/>
      <c r="RKC228" s="4"/>
      <c r="RKD228" s="9"/>
      <c r="RKE228" s="4"/>
      <c r="RKF228" s="9"/>
      <c r="RKG228" s="4"/>
      <c r="RKH228" s="9"/>
      <c r="RKI228" s="4"/>
      <c r="RKJ228" s="9"/>
      <c r="RKK228" s="4"/>
      <c r="RKL228" s="9"/>
      <c r="RKM228" s="4"/>
      <c r="RKN228" s="9"/>
      <c r="RKO228" s="4"/>
      <c r="RKP228" s="9"/>
      <c r="RKQ228" s="4"/>
      <c r="RKR228" s="9"/>
      <c r="RKS228" s="4"/>
      <c r="RKT228" s="9"/>
      <c r="RKU228" s="4"/>
      <c r="RKV228" s="9"/>
      <c r="RKW228" s="4"/>
      <c r="RKX228" s="9"/>
      <c r="RKY228" s="4"/>
      <c r="RKZ228" s="9"/>
      <c r="RLA228" s="4"/>
      <c r="RLB228" s="9"/>
      <c r="RLC228" s="4"/>
      <c r="RLD228" s="9"/>
      <c r="RLE228" s="4"/>
      <c r="RLF228" s="9"/>
      <c r="RLG228" s="4"/>
      <c r="RLH228" s="9"/>
      <c r="RLI228" s="4"/>
      <c r="RLJ228" s="9"/>
      <c r="RLK228" s="4"/>
      <c r="RLL228" s="9"/>
      <c r="RLM228" s="4"/>
      <c r="RLN228" s="9"/>
      <c r="RLO228" s="4"/>
      <c r="RLP228" s="9"/>
      <c r="RLQ228" s="4"/>
      <c r="RLR228" s="9"/>
      <c r="RLS228" s="4"/>
      <c r="RLT228" s="9"/>
      <c r="RLU228" s="4"/>
      <c r="RLV228" s="9"/>
      <c r="RLW228" s="4"/>
      <c r="RLX228" s="9"/>
      <c r="RLY228" s="4"/>
      <c r="RLZ228" s="9"/>
      <c r="RMA228" s="4"/>
      <c r="RMB228" s="9"/>
      <c r="RMC228" s="4"/>
      <c r="RMD228" s="9"/>
      <c r="RME228" s="4"/>
      <c r="RMF228" s="9"/>
      <c r="RMG228" s="4"/>
      <c r="RMH228" s="9"/>
      <c r="RMI228" s="4"/>
      <c r="RMJ228" s="9"/>
      <c r="RMK228" s="4"/>
      <c r="RML228" s="9"/>
      <c r="RMM228" s="4"/>
      <c r="RMN228" s="9"/>
      <c r="RMO228" s="4"/>
      <c r="RMP228" s="9"/>
      <c r="RMQ228" s="4"/>
      <c r="RMR228" s="9"/>
      <c r="RMS228" s="4"/>
      <c r="RMT228" s="9"/>
      <c r="RMU228" s="4"/>
      <c r="RMV228" s="9"/>
      <c r="RMW228" s="4"/>
      <c r="RMX228" s="9"/>
      <c r="RMY228" s="4"/>
      <c r="RMZ228" s="9"/>
      <c r="RNA228" s="4"/>
      <c r="RNB228" s="9"/>
      <c r="RNC228" s="4"/>
      <c r="RND228" s="9"/>
      <c r="RNE228" s="4"/>
      <c r="RNF228" s="9"/>
      <c r="RNG228" s="4"/>
      <c r="RNH228" s="9"/>
      <c r="RNI228" s="4"/>
      <c r="RNJ228" s="9"/>
      <c r="RNK228" s="4"/>
      <c r="RNL228" s="9"/>
      <c r="RNM228" s="4"/>
      <c r="RNN228" s="9"/>
      <c r="RNO228" s="4"/>
      <c r="RNP228" s="9"/>
      <c r="RNQ228" s="4"/>
      <c r="RNR228" s="9"/>
      <c r="RNS228" s="4"/>
      <c r="RNT228" s="9"/>
      <c r="RNU228" s="4"/>
      <c r="RNV228" s="9"/>
      <c r="RNW228" s="4"/>
      <c r="RNX228" s="9"/>
      <c r="RNY228" s="4"/>
      <c r="RNZ228" s="9"/>
      <c r="ROA228" s="4"/>
      <c r="ROB228" s="9"/>
      <c r="ROC228" s="4"/>
      <c r="ROD228" s="9"/>
      <c r="ROE228" s="4"/>
      <c r="ROF228" s="9"/>
      <c r="ROG228" s="4"/>
      <c r="ROH228" s="9"/>
      <c r="ROI228" s="4"/>
      <c r="ROJ228" s="9"/>
      <c r="ROK228" s="4"/>
      <c r="ROL228" s="9"/>
      <c r="ROM228" s="4"/>
      <c r="RON228" s="9"/>
      <c r="ROO228" s="4"/>
      <c r="ROP228" s="9"/>
      <c r="ROQ228" s="4"/>
      <c r="ROR228" s="9"/>
      <c r="ROS228" s="4"/>
      <c r="ROT228" s="9"/>
      <c r="ROU228" s="4"/>
      <c r="ROV228" s="9"/>
      <c r="ROW228" s="4"/>
      <c r="ROX228" s="9"/>
      <c r="ROY228" s="4"/>
      <c r="ROZ228" s="9"/>
      <c r="RPA228" s="4"/>
      <c r="RPB228" s="9"/>
      <c r="RPC228" s="4"/>
      <c r="RPD228" s="9"/>
      <c r="RPE228" s="4"/>
      <c r="RPF228" s="9"/>
      <c r="RPG228" s="4"/>
      <c r="RPH228" s="9"/>
      <c r="RPI228" s="4"/>
      <c r="RPJ228" s="9"/>
      <c r="RPK228" s="4"/>
      <c r="RPL228" s="9"/>
      <c r="RPM228" s="4"/>
      <c r="RPN228" s="9"/>
      <c r="RPO228" s="4"/>
      <c r="RPP228" s="9"/>
      <c r="RPQ228" s="4"/>
      <c r="RPR228" s="9"/>
      <c r="RPS228" s="4"/>
      <c r="RPT228" s="9"/>
      <c r="RPU228" s="4"/>
      <c r="RPV228" s="9"/>
      <c r="RPW228" s="4"/>
      <c r="RPX228" s="9"/>
      <c r="RPY228" s="4"/>
      <c r="RPZ228" s="9"/>
      <c r="RQA228" s="4"/>
      <c r="RQB228" s="9"/>
      <c r="RQC228" s="4"/>
      <c r="RQD228" s="9"/>
      <c r="RQE228" s="4"/>
      <c r="RQF228" s="9"/>
      <c r="RQG228" s="4"/>
      <c r="RQH228" s="9"/>
      <c r="RQI228" s="4"/>
      <c r="RQJ228" s="9"/>
      <c r="RQK228" s="4"/>
      <c r="RQL228" s="9"/>
      <c r="RQM228" s="4"/>
      <c r="RQN228" s="9"/>
      <c r="RQO228" s="4"/>
      <c r="RQP228" s="9"/>
      <c r="RQQ228" s="4"/>
      <c r="RQR228" s="9"/>
      <c r="RQS228" s="4"/>
      <c r="RQT228" s="9"/>
      <c r="RQU228" s="4"/>
      <c r="RQV228" s="9"/>
      <c r="RQW228" s="4"/>
      <c r="RQX228" s="9"/>
      <c r="RQY228" s="4"/>
      <c r="RQZ228" s="9"/>
      <c r="RRA228" s="4"/>
      <c r="RRB228" s="9"/>
      <c r="RRC228" s="4"/>
      <c r="RRD228" s="9"/>
      <c r="RRE228" s="4"/>
      <c r="RRF228" s="9"/>
      <c r="RRG228" s="4"/>
      <c r="RRH228" s="9"/>
      <c r="RRI228" s="4"/>
      <c r="RRJ228" s="9"/>
      <c r="RRK228" s="4"/>
      <c r="RRL228" s="9"/>
      <c r="RRM228" s="4"/>
      <c r="RRN228" s="9"/>
      <c r="RRO228" s="4"/>
      <c r="RRP228" s="9"/>
      <c r="RRQ228" s="4"/>
      <c r="RRR228" s="9"/>
      <c r="RRS228" s="4"/>
      <c r="RRT228" s="9"/>
      <c r="RRU228" s="4"/>
      <c r="RRV228" s="9"/>
      <c r="RRW228" s="4"/>
      <c r="RRX228" s="9"/>
      <c r="RRY228" s="4"/>
      <c r="RRZ228" s="9"/>
      <c r="RSA228" s="4"/>
      <c r="RSB228" s="9"/>
      <c r="RSC228" s="4"/>
      <c r="RSD228" s="9"/>
      <c r="RSE228" s="4"/>
      <c r="RSF228" s="9"/>
      <c r="RSG228" s="4"/>
      <c r="RSH228" s="9"/>
      <c r="RSI228" s="4"/>
      <c r="RSJ228" s="9"/>
      <c r="RSK228" s="4"/>
      <c r="RSL228" s="9"/>
      <c r="RSM228" s="4"/>
      <c r="RSN228" s="9"/>
      <c r="RSO228" s="4"/>
      <c r="RSP228" s="9"/>
      <c r="RSQ228" s="4"/>
      <c r="RSR228" s="9"/>
      <c r="RSS228" s="4"/>
      <c r="RST228" s="9"/>
      <c r="RSU228" s="4"/>
      <c r="RSV228" s="9"/>
      <c r="RSW228" s="4"/>
      <c r="RSX228" s="9"/>
      <c r="RSY228" s="4"/>
      <c r="RSZ228" s="9"/>
      <c r="RTA228" s="4"/>
      <c r="RTB228" s="9"/>
      <c r="RTC228" s="4"/>
      <c r="RTD228" s="9"/>
      <c r="RTE228" s="4"/>
      <c r="RTF228" s="9"/>
      <c r="RTG228" s="4"/>
      <c r="RTH228" s="9"/>
      <c r="RTI228" s="4"/>
      <c r="RTJ228" s="9"/>
      <c r="RTK228" s="4"/>
      <c r="RTL228" s="9"/>
      <c r="RTM228" s="4"/>
      <c r="RTN228" s="9"/>
      <c r="RTO228" s="4"/>
      <c r="RTP228" s="9"/>
      <c r="RTQ228" s="4"/>
      <c r="RTR228" s="9"/>
      <c r="RTS228" s="4"/>
      <c r="RTT228" s="9"/>
      <c r="RTU228" s="4"/>
      <c r="RTV228" s="9"/>
      <c r="RTW228" s="4"/>
      <c r="RTX228" s="9"/>
      <c r="RTY228" s="4"/>
      <c r="RTZ228" s="9"/>
      <c r="RUA228" s="4"/>
      <c r="RUB228" s="9"/>
      <c r="RUC228" s="4"/>
      <c r="RUD228" s="9"/>
      <c r="RUE228" s="4"/>
      <c r="RUF228" s="9"/>
      <c r="RUG228" s="4"/>
      <c r="RUH228" s="9"/>
      <c r="RUI228" s="4"/>
      <c r="RUJ228" s="9"/>
      <c r="RUK228" s="4"/>
      <c r="RUL228" s="9"/>
      <c r="RUM228" s="4"/>
      <c r="RUN228" s="9"/>
      <c r="RUO228" s="4"/>
      <c r="RUP228" s="9"/>
      <c r="RUQ228" s="4"/>
      <c r="RUR228" s="9"/>
      <c r="RUS228" s="4"/>
      <c r="RUT228" s="9"/>
      <c r="RUU228" s="4"/>
      <c r="RUV228" s="9"/>
      <c r="RUW228" s="4"/>
      <c r="RUX228" s="9"/>
      <c r="RUY228" s="4"/>
      <c r="RUZ228" s="9"/>
      <c r="RVA228" s="4"/>
      <c r="RVB228" s="9"/>
      <c r="RVC228" s="4"/>
      <c r="RVD228" s="9"/>
      <c r="RVE228" s="4"/>
      <c r="RVF228" s="9"/>
      <c r="RVG228" s="4"/>
      <c r="RVH228" s="9"/>
      <c r="RVI228" s="4"/>
      <c r="RVJ228" s="9"/>
      <c r="RVK228" s="4"/>
      <c r="RVL228" s="9"/>
      <c r="RVM228" s="4"/>
      <c r="RVN228" s="9"/>
      <c r="RVO228" s="4"/>
      <c r="RVP228" s="9"/>
      <c r="RVQ228" s="4"/>
      <c r="RVR228" s="9"/>
      <c r="RVS228" s="4"/>
      <c r="RVT228" s="9"/>
      <c r="RVU228" s="4"/>
      <c r="RVV228" s="9"/>
      <c r="RVW228" s="4"/>
      <c r="RVX228" s="9"/>
      <c r="RVY228" s="4"/>
      <c r="RVZ228" s="9"/>
      <c r="RWA228" s="4"/>
      <c r="RWB228" s="9"/>
      <c r="RWC228" s="4"/>
      <c r="RWD228" s="9"/>
      <c r="RWE228" s="4"/>
      <c r="RWF228" s="9"/>
      <c r="RWG228" s="4"/>
      <c r="RWH228" s="9"/>
      <c r="RWI228" s="4"/>
      <c r="RWJ228" s="9"/>
      <c r="RWK228" s="4"/>
      <c r="RWL228" s="9"/>
      <c r="RWM228" s="4"/>
      <c r="RWN228" s="9"/>
      <c r="RWO228" s="4"/>
      <c r="RWP228" s="9"/>
      <c r="RWQ228" s="4"/>
      <c r="RWR228" s="9"/>
      <c r="RWS228" s="4"/>
      <c r="RWT228" s="9"/>
      <c r="RWU228" s="4"/>
      <c r="RWV228" s="9"/>
      <c r="RWW228" s="4"/>
      <c r="RWX228" s="9"/>
      <c r="RWY228" s="4"/>
      <c r="RWZ228" s="9"/>
      <c r="RXA228" s="4"/>
      <c r="RXB228" s="9"/>
      <c r="RXC228" s="4"/>
      <c r="RXD228" s="9"/>
      <c r="RXE228" s="4"/>
      <c r="RXF228" s="9"/>
      <c r="RXG228" s="4"/>
      <c r="RXH228" s="9"/>
      <c r="RXI228" s="4"/>
      <c r="RXJ228" s="9"/>
      <c r="RXK228" s="4"/>
      <c r="RXL228" s="9"/>
      <c r="RXM228" s="4"/>
      <c r="RXN228" s="9"/>
      <c r="RXO228" s="4"/>
      <c r="RXP228" s="9"/>
      <c r="RXQ228" s="4"/>
      <c r="RXR228" s="9"/>
      <c r="RXS228" s="4"/>
      <c r="RXT228" s="9"/>
      <c r="RXU228" s="4"/>
      <c r="RXV228" s="9"/>
      <c r="RXW228" s="4"/>
      <c r="RXX228" s="9"/>
      <c r="RXY228" s="4"/>
      <c r="RXZ228" s="9"/>
      <c r="RYA228" s="4"/>
      <c r="RYB228" s="9"/>
      <c r="RYC228" s="4"/>
      <c r="RYD228" s="9"/>
      <c r="RYE228" s="4"/>
      <c r="RYF228" s="9"/>
      <c r="RYG228" s="4"/>
      <c r="RYH228" s="9"/>
      <c r="RYI228" s="4"/>
      <c r="RYJ228" s="9"/>
      <c r="RYK228" s="4"/>
      <c r="RYL228" s="9"/>
      <c r="RYM228" s="4"/>
      <c r="RYN228" s="9"/>
      <c r="RYO228" s="4"/>
      <c r="RYP228" s="9"/>
      <c r="RYQ228" s="4"/>
      <c r="RYR228" s="9"/>
      <c r="RYS228" s="4"/>
      <c r="RYT228" s="9"/>
      <c r="RYU228" s="4"/>
      <c r="RYV228" s="9"/>
      <c r="RYW228" s="4"/>
      <c r="RYX228" s="9"/>
      <c r="RYY228" s="4"/>
      <c r="RYZ228" s="9"/>
      <c r="RZA228" s="4"/>
      <c r="RZB228" s="9"/>
      <c r="RZC228" s="4"/>
      <c r="RZD228" s="9"/>
      <c r="RZE228" s="4"/>
      <c r="RZF228" s="9"/>
      <c r="RZG228" s="4"/>
      <c r="RZH228" s="9"/>
      <c r="RZI228" s="4"/>
      <c r="RZJ228" s="9"/>
      <c r="RZK228" s="4"/>
      <c r="RZL228" s="9"/>
      <c r="RZM228" s="4"/>
      <c r="RZN228" s="9"/>
      <c r="RZO228" s="4"/>
      <c r="RZP228" s="9"/>
      <c r="RZQ228" s="4"/>
      <c r="RZR228" s="9"/>
      <c r="RZS228" s="4"/>
      <c r="RZT228" s="9"/>
      <c r="RZU228" s="4"/>
      <c r="RZV228" s="9"/>
      <c r="RZW228" s="4"/>
      <c r="RZX228" s="9"/>
      <c r="RZY228" s="4"/>
      <c r="RZZ228" s="9"/>
      <c r="SAA228" s="4"/>
      <c r="SAB228" s="9"/>
      <c r="SAC228" s="4"/>
      <c r="SAD228" s="9"/>
      <c r="SAE228" s="4"/>
      <c r="SAF228" s="9"/>
      <c r="SAG228" s="4"/>
      <c r="SAH228" s="9"/>
      <c r="SAI228" s="4"/>
      <c r="SAJ228" s="9"/>
      <c r="SAK228" s="4"/>
      <c r="SAL228" s="9"/>
      <c r="SAM228" s="4"/>
      <c r="SAN228" s="9"/>
      <c r="SAO228" s="4"/>
      <c r="SAP228" s="9"/>
      <c r="SAQ228" s="4"/>
      <c r="SAR228" s="9"/>
      <c r="SAS228" s="4"/>
      <c r="SAT228" s="9"/>
      <c r="SAU228" s="4"/>
      <c r="SAV228" s="9"/>
      <c r="SAW228" s="4"/>
      <c r="SAX228" s="9"/>
      <c r="SAY228" s="4"/>
      <c r="SAZ228" s="9"/>
      <c r="SBA228" s="4"/>
      <c r="SBB228" s="9"/>
      <c r="SBC228" s="4"/>
      <c r="SBD228" s="9"/>
      <c r="SBE228" s="4"/>
      <c r="SBF228" s="9"/>
      <c r="SBG228" s="4"/>
      <c r="SBH228" s="9"/>
      <c r="SBI228" s="4"/>
      <c r="SBJ228" s="9"/>
      <c r="SBK228" s="4"/>
      <c r="SBL228" s="9"/>
      <c r="SBM228" s="4"/>
      <c r="SBN228" s="9"/>
      <c r="SBO228" s="4"/>
      <c r="SBP228" s="9"/>
      <c r="SBQ228" s="4"/>
      <c r="SBR228" s="9"/>
      <c r="SBS228" s="4"/>
      <c r="SBT228" s="9"/>
      <c r="SBU228" s="4"/>
      <c r="SBV228" s="9"/>
      <c r="SBW228" s="4"/>
      <c r="SBX228" s="9"/>
      <c r="SBY228" s="4"/>
      <c r="SBZ228" s="9"/>
      <c r="SCA228" s="4"/>
      <c r="SCB228" s="9"/>
      <c r="SCC228" s="4"/>
      <c r="SCD228" s="9"/>
      <c r="SCE228" s="4"/>
      <c r="SCF228" s="9"/>
      <c r="SCG228" s="4"/>
      <c r="SCH228" s="9"/>
      <c r="SCI228" s="4"/>
      <c r="SCJ228" s="9"/>
      <c r="SCK228" s="4"/>
      <c r="SCL228" s="9"/>
      <c r="SCM228" s="4"/>
      <c r="SCN228" s="9"/>
      <c r="SCO228" s="4"/>
      <c r="SCP228" s="9"/>
      <c r="SCQ228" s="4"/>
      <c r="SCR228" s="9"/>
      <c r="SCS228" s="4"/>
      <c r="SCT228" s="9"/>
      <c r="SCU228" s="4"/>
      <c r="SCV228" s="9"/>
      <c r="SCW228" s="4"/>
      <c r="SCX228" s="9"/>
      <c r="SCY228" s="4"/>
      <c r="SCZ228" s="9"/>
      <c r="SDA228" s="4"/>
      <c r="SDB228" s="9"/>
      <c r="SDC228" s="4"/>
      <c r="SDD228" s="9"/>
      <c r="SDE228" s="4"/>
      <c r="SDF228" s="9"/>
      <c r="SDG228" s="4"/>
      <c r="SDH228" s="9"/>
      <c r="SDI228" s="4"/>
      <c r="SDJ228" s="9"/>
      <c r="SDK228" s="4"/>
      <c r="SDL228" s="9"/>
      <c r="SDM228" s="4"/>
      <c r="SDN228" s="9"/>
      <c r="SDO228" s="4"/>
      <c r="SDP228" s="9"/>
      <c r="SDQ228" s="4"/>
      <c r="SDR228" s="9"/>
      <c r="SDS228" s="4"/>
      <c r="SDT228" s="9"/>
      <c r="SDU228" s="4"/>
      <c r="SDV228" s="9"/>
      <c r="SDW228" s="4"/>
      <c r="SDX228" s="9"/>
      <c r="SDY228" s="4"/>
      <c r="SDZ228" s="9"/>
      <c r="SEA228" s="4"/>
      <c r="SEB228" s="9"/>
      <c r="SEC228" s="4"/>
      <c r="SED228" s="9"/>
      <c r="SEE228" s="4"/>
      <c r="SEF228" s="9"/>
      <c r="SEG228" s="4"/>
      <c r="SEH228" s="9"/>
      <c r="SEI228" s="4"/>
      <c r="SEJ228" s="9"/>
      <c r="SEK228" s="4"/>
      <c r="SEL228" s="9"/>
      <c r="SEM228" s="4"/>
      <c r="SEN228" s="9"/>
      <c r="SEO228" s="4"/>
      <c r="SEP228" s="9"/>
      <c r="SEQ228" s="4"/>
      <c r="SER228" s="9"/>
      <c r="SES228" s="4"/>
      <c r="SET228" s="9"/>
      <c r="SEU228" s="4"/>
      <c r="SEV228" s="9"/>
      <c r="SEW228" s="4"/>
      <c r="SEX228" s="9"/>
      <c r="SEY228" s="4"/>
      <c r="SEZ228" s="9"/>
      <c r="SFA228" s="4"/>
      <c r="SFB228" s="9"/>
      <c r="SFC228" s="4"/>
      <c r="SFD228" s="9"/>
      <c r="SFE228" s="4"/>
      <c r="SFF228" s="9"/>
      <c r="SFG228" s="4"/>
      <c r="SFH228" s="9"/>
      <c r="SFI228" s="4"/>
      <c r="SFJ228" s="9"/>
      <c r="SFK228" s="4"/>
      <c r="SFL228" s="9"/>
      <c r="SFM228" s="4"/>
      <c r="SFN228" s="9"/>
      <c r="SFO228" s="4"/>
      <c r="SFP228" s="9"/>
      <c r="SFQ228" s="4"/>
      <c r="SFR228" s="9"/>
      <c r="SFS228" s="4"/>
      <c r="SFT228" s="9"/>
      <c r="SFU228" s="4"/>
      <c r="SFV228" s="9"/>
      <c r="SFW228" s="4"/>
      <c r="SFX228" s="9"/>
      <c r="SFY228" s="4"/>
      <c r="SFZ228" s="9"/>
      <c r="SGA228" s="4"/>
      <c r="SGB228" s="9"/>
      <c r="SGC228" s="4"/>
      <c r="SGD228" s="9"/>
      <c r="SGE228" s="4"/>
      <c r="SGF228" s="9"/>
      <c r="SGG228" s="4"/>
      <c r="SGH228" s="9"/>
      <c r="SGI228" s="4"/>
      <c r="SGJ228" s="9"/>
      <c r="SGK228" s="4"/>
      <c r="SGL228" s="9"/>
      <c r="SGM228" s="4"/>
      <c r="SGN228" s="9"/>
      <c r="SGO228" s="4"/>
      <c r="SGP228" s="9"/>
      <c r="SGQ228" s="4"/>
      <c r="SGR228" s="9"/>
      <c r="SGS228" s="4"/>
      <c r="SGT228" s="9"/>
      <c r="SGU228" s="4"/>
      <c r="SGV228" s="9"/>
      <c r="SGW228" s="4"/>
      <c r="SGX228" s="9"/>
      <c r="SGY228" s="4"/>
      <c r="SGZ228" s="9"/>
      <c r="SHA228" s="4"/>
      <c r="SHB228" s="9"/>
      <c r="SHC228" s="4"/>
      <c r="SHD228" s="9"/>
      <c r="SHE228" s="4"/>
      <c r="SHF228" s="9"/>
      <c r="SHG228" s="4"/>
      <c r="SHH228" s="9"/>
      <c r="SHI228" s="4"/>
      <c r="SHJ228" s="9"/>
      <c r="SHK228" s="4"/>
      <c r="SHL228" s="9"/>
      <c r="SHM228" s="4"/>
      <c r="SHN228" s="9"/>
      <c r="SHO228" s="4"/>
      <c r="SHP228" s="9"/>
      <c r="SHQ228" s="4"/>
      <c r="SHR228" s="9"/>
      <c r="SHS228" s="4"/>
      <c r="SHT228" s="9"/>
      <c r="SHU228" s="4"/>
      <c r="SHV228" s="9"/>
      <c r="SHW228" s="4"/>
      <c r="SHX228" s="9"/>
      <c r="SHY228" s="4"/>
      <c r="SHZ228" s="9"/>
      <c r="SIA228" s="4"/>
      <c r="SIB228" s="9"/>
      <c r="SIC228" s="4"/>
      <c r="SID228" s="9"/>
      <c r="SIE228" s="4"/>
      <c r="SIF228" s="9"/>
      <c r="SIG228" s="4"/>
      <c r="SIH228" s="9"/>
      <c r="SII228" s="4"/>
      <c r="SIJ228" s="9"/>
      <c r="SIK228" s="4"/>
      <c r="SIL228" s="9"/>
      <c r="SIM228" s="4"/>
      <c r="SIN228" s="9"/>
      <c r="SIO228" s="4"/>
      <c r="SIP228" s="9"/>
      <c r="SIQ228" s="4"/>
      <c r="SIR228" s="9"/>
      <c r="SIS228" s="4"/>
      <c r="SIT228" s="9"/>
      <c r="SIU228" s="4"/>
      <c r="SIV228" s="9"/>
      <c r="SIW228" s="4"/>
      <c r="SIX228" s="9"/>
      <c r="SIY228" s="4"/>
      <c r="SIZ228" s="9"/>
      <c r="SJA228" s="4"/>
      <c r="SJB228" s="9"/>
      <c r="SJC228" s="4"/>
      <c r="SJD228" s="9"/>
      <c r="SJE228" s="4"/>
      <c r="SJF228" s="9"/>
      <c r="SJG228" s="4"/>
      <c r="SJH228" s="9"/>
      <c r="SJI228" s="4"/>
      <c r="SJJ228" s="9"/>
      <c r="SJK228" s="4"/>
      <c r="SJL228" s="9"/>
      <c r="SJM228" s="4"/>
      <c r="SJN228" s="9"/>
      <c r="SJO228" s="4"/>
      <c r="SJP228" s="9"/>
      <c r="SJQ228" s="4"/>
      <c r="SJR228" s="9"/>
      <c r="SJS228" s="4"/>
      <c r="SJT228" s="9"/>
      <c r="SJU228" s="4"/>
      <c r="SJV228" s="9"/>
      <c r="SJW228" s="4"/>
      <c r="SJX228" s="9"/>
      <c r="SJY228" s="4"/>
      <c r="SJZ228" s="9"/>
      <c r="SKA228" s="4"/>
      <c r="SKB228" s="9"/>
      <c r="SKC228" s="4"/>
      <c r="SKD228" s="9"/>
      <c r="SKE228" s="4"/>
      <c r="SKF228" s="9"/>
      <c r="SKG228" s="4"/>
      <c r="SKH228" s="9"/>
      <c r="SKI228" s="4"/>
      <c r="SKJ228" s="9"/>
      <c r="SKK228" s="4"/>
      <c r="SKL228" s="9"/>
      <c r="SKM228" s="4"/>
      <c r="SKN228" s="9"/>
      <c r="SKO228" s="4"/>
      <c r="SKP228" s="9"/>
      <c r="SKQ228" s="4"/>
      <c r="SKR228" s="9"/>
      <c r="SKS228" s="4"/>
      <c r="SKT228" s="9"/>
      <c r="SKU228" s="4"/>
      <c r="SKV228" s="9"/>
      <c r="SKW228" s="4"/>
      <c r="SKX228" s="9"/>
      <c r="SKY228" s="4"/>
      <c r="SKZ228" s="9"/>
      <c r="SLA228" s="4"/>
      <c r="SLB228" s="9"/>
      <c r="SLC228" s="4"/>
      <c r="SLD228" s="9"/>
      <c r="SLE228" s="4"/>
      <c r="SLF228" s="9"/>
      <c r="SLG228" s="4"/>
      <c r="SLH228" s="9"/>
      <c r="SLI228" s="4"/>
      <c r="SLJ228" s="9"/>
      <c r="SLK228" s="4"/>
      <c r="SLL228" s="9"/>
      <c r="SLM228" s="4"/>
      <c r="SLN228" s="9"/>
      <c r="SLO228" s="4"/>
      <c r="SLP228" s="9"/>
      <c r="SLQ228" s="4"/>
      <c r="SLR228" s="9"/>
      <c r="SLS228" s="4"/>
      <c r="SLT228" s="9"/>
      <c r="SLU228" s="4"/>
      <c r="SLV228" s="9"/>
      <c r="SLW228" s="4"/>
      <c r="SLX228" s="9"/>
      <c r="SLY228" s="4"/>
      <c r="SLZ228" s="9"/>
      <c r="SMA228" s="4"/>
      <c r="SMB228" s="9"/>
      <c r="SMC228" s="4"/>
      <c r="SMD228" s="9"/>
      <c r="SME228" s="4"/>
      <c r="SMF228" s="9"/>
      <c r="SMG228" s="4"/>
      <c r="SMH228" s="9"/>
      <c r="SMI228" s="4"/>
      <c r="SMJ228" s="9"/>
      <c r="SMK228" s="4"/>
      <c r="SML228" s="9"/>
      <c r="SMM228" s="4"/>
      <c r="SMN228" s="9"/>
      <c r="SMO228" s="4"/>
      <c r="SMP228" s="9"/>
      <c r="SMQ228" s="4"/>
      <c r="SMR228" s="9"/>
      <c r="SMS228" s="4"/>
      <c r="SMT228" s="9"/>
      <c r="SMU228" s="4"/>
      <c r="SMV228" s="9"/>
      <c r="SMW228" s="4"/>
      <c r="SMX228" s="9"/>
      <c r="SMY228" s="4"/>
      <c r="SMZ228" s="9"/>
      <c r="SNA228" s="4"/>
      <c r="SNB228" s="9"/>
      <c r="SNC228" s="4"/>
      <c r="SND228" s="9"/>
      <c r="SNE228" s="4"/>
      <c r="SNF228" s="9"/>
      <c r="SNG228" s="4"/>
      <c r="SNH228" s="9"/>
      <c r="SNI228" s="4"/>
      <c r="SNJ228" s="9"/>
      <c r="SNK228" s="4"/>
      <c r="SNL228" s="9"/>
      <c r="SNM228" s="4"/>
      <c r="SNN228" s="9"/>
      <c r="SNO228" s="4"/>
      <c r="SNP228" s="9"/>
      <c r="SNQ228" s="4"/>
      <c r="SNR228" s="9"/>
      <c r="SNS228" s="4"/>
      <c r="SNT228" s="9"/>
      <c r="SNU228" s="4"/>
      <c r="SNV228" s="9"/>
      <c r="SNW228" s="4"/>
      <c r="SNX228" s="9"/>
      <c r="SNY228" s="4"/>
      <c r="SNZ228" s="9"/>
      <c r="SOA228" s="4"/>
      <c r="SOB228" s="9"/>
      <c r="SOC228" s="4"/>
      <c r="SOD228" s="9"/>
      <c r="SOE228" s="4"/>
      <c r="SOF228" s="9"/>
      <c r="SOG228" s="4"/>
      <c r="SOH228" s="9"/>
      <c r="SOI228" s="4"/>
      <c r="SOJ228" s="9"/>
      <c r="SOK228" s="4"/>
      <c r="SOL228" s="9"/>
      <c r="SOM228" s="4"/>
      <c r="SON228" s="9"/>
      <c r="SOO228" s="4"/>
      <c r="SOP228" s="9"/>
      <c r="SOQ228" s="4"/>
      <c r="SOR228" s="9"/>
      <c r="SOS228" s="4"/>
      <c r="SOT228" s="9"/>
      <c r="SOU228" s="4"/>
      <c r="SOV228" s="9"/>
      <c r="SOW228" s="4"/>
      <c r="SOX228" s="9"/>
      <c r="SOY228" s="4"/>
      <c r="SOZ228" s="9"/>
      <c r="SPA228" s="4"/>
      <c r="SPB228" s="9"/>
      <c r="SPC228" s="4"/>
      <c r="SPD228" s="9"/>
      <c r="SPE228" s="4"/>
      <c r="SPF228" s="9"/>
      <c r="SPG228" s="4"/>
      <c r="SPH228" s="9"/>
      <c r="SPI228" s="4"/>
      <c r="SPJ228" s="9"/>
      <c r="SPK228" s="4"/>
      <c r="SPL228" s="9"/>
      <c r="SPM228" s="4"/>
      <c r="SPN228" s="9"/>
      <c r="SPO228" s="4"/>
      <c r="SPP228" s="9"/>
      <c r="SPQ228" s="4"/>
      <c r="SPR228" s="9"/>
      <c r="SPS228" s="4"/>
      <c r="SPT228" s="9"/>
      <c r="SPU228" s="4"/>
      <c r="SPV228" s="9"/>
      <c r="SPW228" s="4"/>
      <c r="SPX228" s="9"/>
      <c r="SPY228" s="4"/>
      <c r="SPZ228" s="9"/>
      <c r="SQA228" s="4"/>
      <c r="SQB228" s="9"/>
      <c r="SQC228" s="4"/>
      <c r="SQD228" s="9"/>
      <c r="SQE228" s="4"/>
      <c r="SQF228" s="9"/>
      <c r="SQG228" s="4"/>
      <c r="SQH228" s="9"/>
      <c r="SQI228" s="4"/>
      <c r="SQJ228" s="9"/>
      <c r="SQK228" s="4"/>
      <c r="SQL228" s="9"/>
      <c r="SQM228" s="4"/>
      <c r="SQN228" s="9"/>
      <c r="SQO228" s="4"/>
      <c r="SQP228" s="9"/>
      <c r="SQQ228" s="4"/>
      <c r="SQR228" s="9"/>
      <c r="SQS228" s="4"/>
      <c r="SQT228" s="9"/>
      <c r="SQU228" s="4"/>
      <c r="SQV228" s="9"/>
      <c r="SQW228" s="4"/>
      <c r="SQX228" s="9"/>
      <c r="SQY228" s="4"/>
      <c r="SQZ228" s="9"/>
      <c r="SRA228" s="4"/>
      <c r="SRB228" s="9"/>
      <c r="SRC228" s="4"/>
      <c r="SRD228" s="9"/>
      <c r="SRE228" s="4"/>
      <c r="SRF228" s="9"/>
      <c r="SRG228" s="4"/>
      <c r="SRH228" s="9"/>
      <c r="SRI228" s="4"/>
      <c r="SRJ228" s="9"/>
      <c r="SRK228" s="4"/>
      <c r="SRL228" s="9"/>
      <c r="SRM228" s="4"/>
      <c r="SRN228" s="9"/>
      <c r="SRO228" s="4"/>
      <c r="SRP228" s="9"/>
      <c r="SRQ228" s="4"/>
      <c r="SRR228" s="9"/>
      <c r="SRS228" s="4"/>
      <c r="SRT228" s="9"/>
      <c r="SRU228" s="4"/>
      <c r="SRV228" s="9"/>
      <c r="SRW228" s="4"/>
      <c r="SRX228" s="9"/>
      <c r="SRY228" s="4"/>
      <c r="SRZ228" s="9"/>
      <c r="SSA228" s="4"/>
      <c r="SSB228" s="9"/>
      <c r="SSC228" s="4"/>
      <c r="SSD228" s="9"/>
      <c r="SSE228" s="4"/>
      <c r="SSF228" s="9"/>
      <c r="SSG228" s="4"/>
      <c r="SSH228" s="9"/>
      <c r="SSI228" s="4"/>
      <c r="SSJ228" s="9"/>
      <c r="SSK228" s="4"/>
      <c r="SSL228" s="9"/>
      <c r="SSM228" s="4"/>
      <c r="SSN228" s="9"/>
      <c r="SSO228" s="4"/>
      <c r="SSP228" s="9"/>
      <c r="SSQ228" s="4"/>
      <c r="SSR228" s="9"/>
      <c r="SSS228" s="4"/>
      <c r="SST228" s="9"/>
      <c r="SSU228" s="4"/>
      <c r="SSV228" s="9"/>
      <c r="SSW228" s="4"/>
      <c r="SSX228" s="9"/>
      <c r="SSY228" s="4"/>
      <c r="SSZ228" s="9"/>
      <c r="STA228" s="4"/>
      <c r="STB228" s="9"/>
      <c r="STC228" s="4"/>
      <c r="STD228" s="9"/>
      <c r="STE228" s="4"/>
      <c r="STF228" s="9"/>
      <c r="STG228" s="4"/>
      <c r="STH228" s="9"/>
      <c r="STI228" s="4"/>
      <c r="STJ228" s="9"/>
      <c r="STK228" s="4"/>
      <c r="STL228" s="9"/>
      <c r="STM228" s="4"/>
      <c r="STN228" s="9"/>
      <c r="STO228" s="4"/>
      <c r="STP228" s="9"/>
      <c r="STQ228" s="4"/>
      <c r="STR228" s="9"/>
      <c r="STS228" s="4"/>
      <c r="STT228" s="9"/>
      <c r="STU228" s="4"/>
      <c r="STV228" s="9"/>
      <c r="STW228" s="4"/>
      <c r="STX228" s="9"/>
      <c r="STY228" s="4"/>
      <c r="STZ228" s="9"/>
      <c r="SUA228" s="4"/>
      <c r="SUB228" s="9"/>
      <c r="SUC228" s="4"/>
      <c r="SUD228" s="9"/>
      <c r="SUE228" s="4"/>
      <c r="SUF228" s="9"/>
      <c r="SUG228" s="4"/>
      <c r="SUH228" s="9"/>
      <c r="SUI228" s="4"/>
      <c r="SUJ228" s="9"/>
      <c r="SUK228" s="4"/>
      <c r="SUL228" s="9"/>
      <c r="SUM228" s="4"/>
      <c r="SUN228" s="9"/>
      <c r="SUO228" s="4"/>
      <c r="SUP228" s="9"/>
      <c r="SUQ228" s="4"/>
      <c r="SUR228" s="9"/>
      <c r="SUS228" s="4"/>
      <c r="SUT228" s="9"/>
      <c r="SUU228" s="4"/>
      <c r="SUV228" s="9"/>
      <c r="SUW228" s="4"/>
      <c r="SUX228" s="9"/>
      <c r="SUY228" s="4"/>
      <c r="SUZ228" s="9"/>
      <c r="SVA228" s="4"/>
      <c r="SVB228" s="9"/>
      <c r="SVC228" s="4"/>
      <c r="SVD228" s="9"/>
      <c r="SVE228" s="4"/>
      <c r="SVF228" s="9"/>
      <c r="SVG228" s="4"/>
      <c r="SVH228" s="9"/>
      <c r="SVI228" s="4"/>
      <c r="SVJ228" s="9"/>
      <c r="SVK228" s="4"/>
      <c r="SVL228" s="9"/>
      <c r="SVM228" s="4"/>
      <c r="SVN228" s="9"/>
      <c r="SVO228" s="4"/>
      <c r="SVP228" s="9"/>
      <c r="SVQ228" s="4"/>
      <c r="SVR228" s="9"/>
      <c r="SVS228" s="4"/>
      <c r="SVT228" s="9"/>
      <c r="SVU228" s="4"/>
      <c r="SVV228" s="9"/>
      <c r="SVW228" s="4"/>
      <c r="SVX228" s="9"/>
      <c r="SVY228" s="4"/>
      <c r="SVZ228" s="9"/>
      <c r="SWA228" s="4"/>
      <c r="SWB228" s="9"/>
      <c r="SWC228" s="4"/>
      <c r="SWD228" s="9"/>
      <c r="SWE228" s="4"/>
      <c r="SWF228" s="9"/>
      <c r="SWG228" s="4"/>
      <c r="SWH228" s="9"/>
      <c r="SWI228" s="4"/>
      <c r="SWJ228" s="9"/>
      <c r="SWK228" s="4"/>
      <c r="SWL228" s="9"/>
      <c r="SWM228" s="4"/>
      <c r="SWN228" s="9"/>
      <c r="SWO228" s="4"/>
      <c r="SWP228" s="9"/>
      <c r="SWQ228" s="4"/>
      <c r="SWR228" s="9"/>
      <c r="SWS228" s="4"/>
      <c r="SWT228" s="9"/>
      <c r="SWU228" s="4"/>
      <c r="SWV228" s="9"/>
      <c r="SWW228" s="4"/>
      <c r="SWX228" s="9"/>
      <c r="SWY228" s="4"/>
      <c r="SWZ228" s="9"/>
      <c r="SXA228" s="4"/>
      <c r="SXB228" s="9"/>
      <c r="SXC228" s="4"/>
      <c r="SXD228" s="9"/>
      <c r="SXE228" s="4"/>
      <c r="SXF228" s="9"/>
      <c r="SXG228" s="4"/>
      <c r="SXH228" s="9"/>
      <c r="SXI228" s="4"/>
      <c r="SXJ228" s="9"/>
      <c r="SXK228" s="4"/>
      <c r="SXL228" s="9"/>
      <c r="SXM228" s="4"/>
      <c r="SXN228" s="9"/>
      <c r="SXO228" s="4"/>
      <c r="SXP228" s="9"/>
      <c r="SXQ228" s="4"/>
      <c r="SXR228" s="9"/>
      <c r="SXS228" s="4"/>
      <c r="SXT228" s="9"/>
      <c r="SXU228" s="4"/>
      <c r="SXV228" s="9"/>
      <c r="SXW228" s="4"/>
      <c r="SXX228" s="9"/>
      <c r="SXY228" s="4"/>
      <c r="SXZ228" s="9"/>
      <c r="SYA228" s="4"/>
      <c r="SYB228" s="9"/>
      <c r="SYC228" s="4"/>
      <c r="SYD228" s="9"/>
      <c r="SYE228" s="4"/>
      <c r="SYF228" s="9"/>
      <c r="SYG228" s="4"/>
      <c r="SYH228" s="9"/>
      <c r="SYI228" s="4"/>
      <c r="SYJ228" s="9"/>
      <c r="SYK228" s="4"/>
      <c r="SYL228" s="9"/>
      <c r="SYM228" s="4"/>
      <c r="SYN228" s="9"/>
      <c r="SYO228" s="4"/>
      <c r="SYP228" s="9"/>
      <c r="SYQ228" s="4"/>
      <c r="SYR228" s="9"/>
      <c r="SYS228" s="4"/>
      <c r="SYT228" s="9"/>
      <c r="SYU228" s="4"/>
      <c r="SYV228" s="9"/>
      <c r="SYW228" s="4"/>
      <c r="SYX228" s="9"/>
      <c r="SYY228" s="4"/>
      <c r="SYZ228" s="9"/>
      <c r="SZA228" s="4"/>
      <c r="SZB228" s="9"/>
      <c r="SZC228" s="4"/>
      <c r="SZD228" s="9"/>
      <c r="SZE228" s="4"/>
      <c r="SZF228" s="9"/>
      <c r="SZG228" s="4"/>
      <c r="SZH228" s="9"/>
      <c r="SZI228" s="4"/>
      <c r="SZJ228" s="9"/>
      <c r="SZK228" s="4"/>
      <c r="SZL228" s="9"/>
      <c r="SZM228" s="4"/>
      <c r="SZN228" s="9"/>
      <c r="SZO228" s="4"/>
      <c r="SZP228" s="9"/>
      <c r="SZQ228" s="4"/>
      <c r="SZR228" s="9"/>
      <c r="SZS228" s="4"/>
      <c r="SZT228" s="9"/>
      <c r="SZU228" s="4"/>
      <c r="SZV228" s="9"/>
      <c r="SZW228" s="4"/>
      <c r="SZX228" s="9"/>
      <c r="SZY228" s="4"/>
      <c r="SZZ228" s="9"/>
      <c r="TAA228" s="4"/>
      <c r="TAB228" s="9"/>
      <c r="TAC228" s="4"/>
      <c r="TAD228" s="9"/>
      <c r="TAE228" s="4"/>
      <c r="TAF228" s="9"/>
      <c r="TAG228" s="4"/>
      <c r="TAH228" s="9"/>
      <c r="TAI228" s="4"/>
      <c r="TAJ228" s="9"/>
      <c r="TAK228" s="4"/>
      <c r="TAL228" s="9"/>
      <c r="TAM228" s="4"/>
      <c r="TAN228" s="9"/>
      <c r="TAO228" s="4"/>
      <c r="TAP228" s="9"/>
      <c r="TAQ228" s="4"/>
      <c r="TAR228" s="9"/>
      <c r="TAS228" s="4"/>
      <c r="TAT228" s="9"/>
      <c r="TAU228" s="4"/>
      <c r="TAV228" s="9"/>
      <c r="TAW228" s="4"/>
      <c r="TAX228" s="9"/>
      <c r="TAY228" s="4"/>
      <c r="TAZ228" s="9"/>
      <c r="TBA228" s="4"/>
      <c r="TBB228" s="9"/>
      <c r="TBC228" s="4"/>
      <c r="TBD228" s="9"/>
      <c r="TBE228" s="4"/>
      <c r="TBF228" s="9"/>
      <c r="TBG228" s="4"/>
      <c r="TBH228" s="9"/>
      <c r="TBI228" s="4"/>
      <c r="TBJ228" s="9"/>
      <c r="TBK228" s="4"/>
      <c r="TBL228" s="9"/>
      <c r="TBM228" s="4"/>
      <c r="TBN228" s="9"/>
      <c r="TBO228" s="4"/>
      <c r="TBP228" s="9"/>
      <c r="TBQ228" s="4"/>
      <c r="TBR228" s="9"/>
      <c r="TBS228" s="4"/>
      <c r="TBT228" s="9"/>
      <c r="TBU228" s="4"/>
      <c r="TBV228" s="9"/>
      <c r="TBW228" s="4"/>
      <c r="TBX228" s="9"/>
      <c r="TBY228" s="4"/>
      <c r="TBZ228" s="9"/>
      <c r="TCA228" s="4"/>
      <c r="TCB228" s="9"/>
      <c r="TCC228" s="4"/>
      <c r="TCD228" s="9"/>
      <c r="TCE228" s="4"/>
      <c r="TCF228" s="9"/>
      <c r="TCG228" s="4"/>
      <c r="TCH228" s="9"/>
      <c r="TCI228" s="4"/>
      <c r="TCJ228" s="9"/>
      <c r="TCK228" s="4"/>
      <c r="TCL228" s="9"/>
      <c r="TCM228" s="4"/>
      <c r="TCN228" s="9"/>
      <c r="TCO228" s="4"/>
      <c r="TCP228" s="9"/>
      <c r="TCQ228" s="4"/>
      <c r="TCR228" s="9"/>
      <c r="TCS228" s="4"/>
      <c r="TCT228" s="9"/>
      <c r="TCU228" s="4"/>
      <c r="TCV228" s="9"/>
      <c r="TCW228" s="4"/>
      <c r="TCX228" s="9"/>
      <c r="TCY228" s="4"/>
      <c r="TCZ228" s="9"/>
      <c r="TDA228" s="4"/>
      <c r="TDB228" s="9"/>
      <c r="TDC228" s="4"/>
      <c r="TDD228" s="9"/>
      <c r="TDE228" s="4"/>
      <c r="TDF228" s="9"/>
      <c r="TDG228" s="4"/>
      <c r="TDH228" s="9"/>
      <c r="TDI228" s="4"/>
      <c r="TDJ228" s="9"/>
      <c r="TDK228" s="4"/>
      <c r="TDL228" s="9"/>
      <c r="TDM228" s="4"/>
      <c r="TDN228" s="9"/>
      <c r="TDO228" s="4"/>
      <c r="TDP228" s="9"/>
      <c r="TDQ228" s="4"/>
      <c r="TDR228" s="9"/>
      <c r="TDS228" s="4"/>
      <c r="TDT228" s="9"/>
      <c r="TDU228" s="4"/>
      <c r="TDV228" s="9"/>
      <c r="TDW228" s="4"/>
      <c r="TDX228" s="9"/>
      <c r="TDY228" s="4"/>
      <c r="TDZ228" s="9"/>
      <c r="TEA228" s="4"/>
      <c r="TEB228" s="9"/>
      <c r="TEC228" s="4"/>
      <c r="TED228" s="9"/>
      <c r="TEE228" s="4"/>
      <c r="TEF228" s="9"/>
      <c r="TEG228" s="4"/>
      <c r="TEH228" s="9"/>
      <c r="TEI228" s="4"/>
      <c r="TEJ228" s="9"/>
      <c r="TEK228" s="4"/>
      <c r="TEL228" s="9"/>
      <c r="TEM228" s="4"/>
      <c r="TEN228" s="9"/>
      <c r="TEO228" s="4"/>
      <c r="TEP228" s="9"/>
      <c r="TEQ228" s="4"/>
      <c r="TER228" s="9"/>
      <c r="TES228" s="4"/>
      <c r="TET228" s="9"/>
      <c r="TEU228" s="4"/>
      <c r="TEV228" s="9"/>
      <c r="TEW228" s="4"/>
      <c r="TEX228" s="9"/>
      <c r="TEY228" s="4"/>
      <c r="TEZ228" s="9"/>
      <c r="TFA228" s="4"/>
      <c r="TFB228" s="9"/>
      <c r="TFC228" s="4"/>
      <c r="TFD228" s="9"/>
      <c r="TFE228" s="4"/>
      <c r="TFF228" s="9"/>
      <c r="TFG228" s="4"/>
      <c r="TFH228" s="9"/>
      <c r="TFI228" s="4"/>
      <c r="TFJ228" s="9"/>
      <c r="TFK228" s="4"/>
      <c r="TFL228" s="9"/>
      <c r="TFM228" s="4"/>
      <c r="TFN228" s="9"/>
      <c r="TFO228" s="4"/>
      <c r="TFP228" s="9"/>
      <c r="TFQ228" s="4"/>
      <c r="TFR228" s="9"/>
      <c r="TFS228" s="4"/>
      <c r="TFT228" s="9"/>
      <c r="TFU228" s="4"/>
      <c r="TFV228" s="9"/>
      <c r="TFW228" s="4"/>
      <c r="TFX228" s="9"/>
      <c r="TFY228" s="4"/>
      <c r="TFZ228" s="9"/>
      <c r="TGA228" s="4"/>
      <c r="TGB228" s="9"/>
      <c r="TGC228" s="4"/>
      <c r="TGD228" s="9"/>
      <c r="TGE228" s="4"/>
      <c r="TGF228" s="9"/>
      <c r="TGG228" s="4"/>
      <c r="TGH228" s="9"/>
      <c r="TGI228" s="4"/>
      <c r="TGJ228" s="9"/>
      <c r="TGK228" s="4"/>
      <c r="TGL228" s="9"/>
      <c r="TGM228" s="4"/>
      <c r="TGN228" s="9"/>
      <c r="TGO228" s="4"/>
      <c r="TGP228" s="9"/>
      <c r="TGQ228" s="4"/>
      <c r="TGR228" s="9"/>
      <c r="TGS228" s="4"/>
      <c r="TGT228" s="9"/>
      <c r="TGU228" s="4"/>
      <c r="TGV228" s="9"/>
      <c r="TGW228" s="4"/>
      <c r="TGX228" s="9"/>
      <c r="TGY228" s="4"/>
      <c r="TGZ228" s="9"/>
      <c r="THA228" s="4"/>
      <c r="THB228" s="9"/>
      <c r="THC228" s="4"/>
      <c r="THD228" s="9"/>
      <c r="THE228" s="4"/>
      <c r="THF228" s="9"/>
      <c r="THG228" s="4"/>
      <c r="THH228" s="9"/>
      <c r="THI228" s="4"/>
      <c r="THJ228" s="9"/>
      <c r="THK228" s="4"/>
      <c r="THL228" s="9"/>
      <c r="THM228" s="4"/>
      <c r="THN228" s="9"/>
      <c r="THO228" s="4"/>
      <c r="THP228" s="9"/>
      <c r="THQ228" s="4"/>
      <c r="THR228" s="9"/>
      <c r="THS228" s="4"/>
      <c r="THT228" s="9"/>
      <c r="THU228" s="4"/>
      <c r="THV228" s="9"/>
      <c r="THW228" s="4"/>
      <c r="THX228" s="9"/>
      <c r="THY228" s="4"/>
      <c r="THZ228" s="9"/>
      <c r="TIA228" s="4"/>
      <c r="TIB228" s="9"/>
      <c r="TIC228" s="4"/>
      <c r="TID228" s="9"/>
      <c r="TIE228" s="4"/>
      <c r="TIF228" s="9"/>
      <c r="TIG228" s="4"/>
      <c r="TIH228" s="9"/>
      <c r="TII228" s="4"/>
      <c r="TIJ228" s="9"/>
      <c r="TIK228" s="4"/>
      <c r="TIL228" s="9"/>
      <c r="TIM228" s="4"/>
      <c r="TIN228" s="9"/>
      <c r="TIO228" s="4"/>
      <c r="TIP228" s="9"/>
      <c r="TIQ228" s="4"/>
      <c r="TIR228" s="9"/>
      <c r="TIS228" s="4"/>
      <c r="TIT228" s="9"/>
      <c r="TIU228" s="4"/>
      <c r="TIV228" s="9"/>
      <c r="TIW228" s="4"/>
      <c r="TIX228" s="9"/>
      <c r="TIY228" s="4"/>
      <c r="TIZ228" s="9"/>
      <c r="TJA228" s="4"/>
      <c r="TJB228" s="9"/>
      <c r="TJC228" s="4"/>
      <c r="TJD228" s="9"/>
      <c r="TJE228" s="4"/>
      <c r="TJF228" s="9"/>
      <c r="TJG228" s="4"/>
      <c r="TJH228" s="9"/>
      <c r="TJI228" s="4"/>
      <c r="TJJ228" s="9"/>
      <c r="TJK228" s="4"/>
      <c r="TJL228" s="9"/>
      <c r="TJM228" s="4"/>
      <c r="TJN228" s="9"/>
      <c r="TJO228" s="4"/>
      <c r="TJP228" s="9"/>
      <c r="TJQ228" s="4"/>
      <c r="TJR228" s="9"/>
      <c r="TJS228" s="4"/>
      <c r="TJT228" s="9"/>
      <c r="TJU228" s="4"/>
      <c r="TJV228" s="9"/>
      <c r="TJW228" s="4"/>
      <c r="TJX228" s="9"/>
      <c r="TJY228" s="4"/>
      <c r="TJZ228" s="9"/>
      <c r="TKA228" s="4"/>
      <c r="TKB228" s="9"/>
      <c r="TKC228" s="4"/>
      <c r="TKD228" s="9"/>
      <c r="TKE228" s="4"/>
      <c r="TKF228" s="9"/>
      <c r="TKG228" s="4"/>
      <c r="TKH228" s="9"/>
      <c r="TKI228" s="4"/>
      <c r="TKJ228" s="9"/>
      <c r="TKK228" s="4"/>
      <c r="TKL228" s="9"/>
      <c r="TKM228" s="4"/>
      <c r="TKN228" s="9"/>
      <c r="TKO228" s="4"/>
      <c r="TKP228" s="9"/>
      <c r="TKQ228" s="4"/>
      <c r="TKR228" s="9"/>
      <c r="TKS228" s="4"/>
      <c r="TKT228" s="9"/>
      <c r="TKU228" s="4"/>
      <c r="TKV228" s="9"/>
      <c r="TKW228" s="4"/>
      <c r="TKX228" s="9"/>
      <c r="TKY228" s="4"/>
      <c r="TKZ228" s="9"/>
      <c r="TLA228" s="4"/>
      <c r="TLB228" s="9"/>
      <c r="TLC228" s="4"/>
      <c r="TLD228" s="9"/>
      <c r="TLE228" s="4"/>
      <c r="TLF228" s="9"/>
      <c r="TLG228" s="4"/>
      <c r="TLH228" s="9"/>
      <c r="TLI228" s="4"/>
      <c r="TLJ228" s="9"/>
      <c r="TLK228" s="4"/>
      <c r="TLL228" s="9"/>
      <c r="TLM228" s="4"/>
      <c r="TLN228" s="9"/>
      <c r="TLO228" s="4"/>
      <c r="TLP228" s="9"/>
      <c r="TLQ228" s="4"/>
      <c r="TLR228" s="9"/>
      <c r="TLS228" s="4"/>
      <c r="TLT228" s="9"/>
      <c r="TLU228" s="4"/>
      <c r="TLV228" s="9"/>
      <c r="TLW228" s="4"/>
      <c r="TLX228" s="9"/>
      <c r="TLY228" s="4"/>
      <c r="TLZ228" s="9"/>
      <c r="TMA228" s="4"/>
      <c r="TMB228" s="9"/>
      <c r="TMC228" s="4"/>
      <c r="TMD228" s="9"/>
      <c r="TME228" s="4"/>
      <c r="TMF228" s="9"/>
      <c r="TMG228" s="4"/>
      <c r="TMH228" s="9"/>
      <c r="TMI228" s="4"/>
      <c r="TMJ228" s="9"/>
      <c r="TMK228" s="4"/>
      <c r="TML228" s="9"/>
      <c r="TMM228" s="4"/>
      <c r="TMN228" s="9"/>
      <c r="TMO228" s="4"/>
      <c r="TMP228" s="9"/>
      <c r="TMQ228" s="4"/>
      <c r="TMR228" s="9"/>
      <c r="TMS228" s="4"/>
      <c r="TMT228" s="9"/>
      <c r="TMU228" s="4"/>
      <c r="TMV228" s="9"/>
      <c r="TMW228" s="4"/>
      <c r="TMX228" s="9"/>
      <c r="TMY228" s="4"/>
      <c r="TMZ228" s="9"/>
      <c r="TNA228" s="4"/>
      <c r="TNB228" s="9"/>
      <c r="TNC228" s="4"/>
      <c r="TND228" s="9"/>
      <c r="TNE228" s="4"/>
      <c r="TNF228" s="9"/>
      <c r="TNG228" s="4"/>
      <c r="TNH228" s="9"/>
      <c r="TNI228" s="4"/>
      <c r="TNJ228" s="9"/>
      <c r="TNK228" s="4"/>
      <c r="TNL228" s="9"/>
      <c r="TNM228" s="4"/>
      <c r="TNN228" s="9"/>
      <c r="TNO228" s="4"/>
      <c r="TNP228" s="9"/>
      <c r="TNQ228" s="4"/>
      <c r="TNR228" s="9"/>
      <c r="TNS228" s="4"/>
      <c r="TNT228" s="9"/>
      <c r="TNU228" s="4"/>
      <c r="TNV228" s="9"/>
      <c r="TNW228" s="4"/>
      <c r="TNX228" s="9"/>
      <c r="TNY228" s="4"/>
      <c r="TNZ228" s="9"/>
      <c r="TOA228" s="4"/>
      <c r="TOB228" s="9"/>
      <c r="TOC228" s="4"/>
      <c r="TOD228" s="9"/>
      <c r="TOE228" s="4"/>
      <c r="TOF228" s="9"/>
      <c r="TOG228" s="4"/>
      <c r="TOH228" s="9"/>
      <c r="TOI228" s="4"/>
      <c r="TOJ228" s="9"/>
      <c r="TOK228" s="4"/>
      <c r="TOL228" s="9"/>
      <c r="TOM228" s="4"/>
      <c r="TON228" s="9"/>
      <c r="TOO228" s="4"/>
      <c r="TOP228" s="9"/>
      <c r="TOQ228" s="4"/>
      <c r="TOR228" s="9"/>
      <c r="TOS228" s="4"/>
      <c r="TOT228" s="9"/>
      <c r="TOU228" s="4"/>
      <c r="TOV228" s="9"/>
      <c r="TOW228" s="4"/>
      <c r="TOX228" s="9"/>
      <c r="TOY228" s="4"/>
      <c r="TOZ228" s="9"/>
      <c r="TPA228" s="4"/>
      <c r="TPB228" s="9"/>
      <c r="TPC228" s="4"/>
      <c r="TPD228" s="9"/>
      <c r="TPE228" s="4"/>
      <c r="TPF228" s="9"/>
      <c r="TPG228" s="4"/>
      <c r="TPH228" s="9"/>
      <c r="TPI228" s="4"/>
      <c r="TPJ228" s="9"/>
      <c r="TPK228" s="4"/>
      <c r="TPL228" s="9"/>
      <c r="TPM228" s="4"/>
      <c r="TPN228" s="9"/>
      <c r="TPO228" s="4"/>
      <c r="TPP228" s="9"/>
      <c r="TPQ228" s="4"/>
      <c r="TPR228" s="9"/>
      <c r="TPS228" s="4"/>
      <c r="TPT228" s="9"/>
      <c r="TPU228" s="4"/>
      <c r="TPV228" s="9"/>
      <c r="TPW228" s="4"/>
      <c r="TPX228" s="9"/>
      <c r="TPY228" s="4"/>
      <c r="TPZ228" s="9"/>
      <c r="TQA228" s="4"/>
      <c r="TQB228" s="9"/>
      <c r="TQC228" s="4"/>
      <c r="TQD228" s="9"/>
      <c r="TQE228" s="4"/>
      <c r="TQF228" s="9"/>
      <c r="TQG228" s="4"/>
      <c r="TQH228" s="9"/>
      <c r="TQI228" s="4"/>
      <c r="TQJ228" s="9"/>
      <c r="TQK228" s="4"/>
      <c r="TQL228" s="9"/>
      <c r="TQM228" s="4"/>
      <c r="TQN228" s="9"/>
      <c r="TQO228" s="4"/>
      <c r="TQP228" s="9"/>
      <c r="TQQ228" s="4"/>
      <c r="TQR228" s="9"/>
      <c r="TQS228" s="4"/>
      <c r="TQT228" s="9"/>
      <c r="TQU228" s="4"/>
      <c r="TQV228" s="9"/>
      <c r="TQW228" s="4"/>
      <c r="TQX228" s="9"/>
      <c r="TQY228" s="4"/>
      <c r="TQZ228" s="9"/>
      <c r="TRA228" s="4"/>
      <c r="TRB228" s="9"/>
      <c r="TRC228" s="4"/>
      <c r="TRD228" s="9"/>
      <c r="TRE228" s="4"/>
      <c r="TRF228" s="9"/>
      <c r="TRG228" s="4"/>
      <c r="TRH228" s="9"/>
      <c r="TRI228" s="4"/>
      <c r="TRJ228" s="9"/>
      <c r="TRK228" s="4"/>
      <c r="TRL228" s="9"/>
      <c r="TRM228" s="4"/>
      <c r="TRN228" s="9"/>
      <c r="TRO228" s="4"/>
      <c r="TRP228" s="9"/>
      <c r="TRQ228" s="4"/>
      <c r="TRR228" s="9"/>
      <c r="TRS228" s="4"/>
      <c r="TRT228" s="9"/>
      <c r="TRU228" s="4"/>
      <c r="TRV228" s="9"/>
      <c r="TRW228" s="4"/>
      <c r="TRX228" s="9"/>
      <c r="TRY228" s="4"/>
      <c r="TRZ228" s="9"/>
      <c r="TSA228" s="4"/>
      <c r="TSB228" s="9"/>
      <c r="TSC228" s="4"/>
      <c r="TSD228" s="9"/>
      <c r="TSE228" s="4"/>
      <c r="TSF228" s="9"/>
      <c r="TSG228" s="4"/>
      <c r="TSH228" s="9"/>
      <c r="TSI228" s="4"/>
      <c r="TSJ228" s="9"/>
      <c r="TSK228" s="4"/>
      <c r="TSL228" s="9"/>
      <c r="TSM228" s="4"/>
      <c r="TSN228" s="9"/>
      <c r="TSO228" s="4"/>
      <c r="TSP228" s="9"/>
      <c r="TSQ228" s="4"/>
      <c r="TSR228" s="9"/>
      <c r="TSS228" s="4"/>
      <c r="TST228" s="9"/>
      <c r="TSU228" s="4"/>
      <c r="TSV228" s="9"/>
      <c r="TSW228" s="4"/>
      <c r="TSX228" s="9"/>
      <c r="TSY228" s="4"/>
      <c r="TSZ228" s="9"/>
      <c r="TTA228" s="4"/>
      <c r="TTB228" s="9"/>
      <c r="TTC228" s="4"/>
      <c r="TTD228" s="9"/>
      <c r="TTE228" s="4"/>
      <c r="TTF228" s="9"/>
      <c r="TTG228" s="4"/>
      <c r="TTH228" s="9"/>
      <c r="TTI228" s="4"/>
      <c r="TTJ228" s="9"/>
      <c r="TTK228" s="4"/>
      <c r="TTL228" s="9"/>
      <c r="TTM228" s="4"/>
      <c r="TTN228" s="9"/>
      <c r="TTO228" s="4"/>
      <c r="TTP228" s="9"/>
      <c r="TTQ228" s="4"/>
      <c r="TTR228" s="9"/>
      <c r="TTS228" s="4"/>
      <c r="TTT228" s="9"/>
      <c r="TTU228" s="4"/>
      <c r="TTV228" s="9"/>
      <c r="TTW228" s="4"/>
      <c r="TTX228" s="9"/>
      <c r="TTY228" s="4"/>
      <c r="TTZ228" s="9"/>
      <c r="TUA228" s="4"/>
      <c r="TUB228" s="9"/>
      <c r="TUC228" s="4"/>
      <c r="TUD228" s="9"/>
      <c r="TUE228" s="4"/>
      <c r="TUF228" s="9"/>
      <c r="TUG228" s="4"/>
      <c r="TUH228" s="9"/>
      <c r="TUI228" s="4"/>
      <c r="TUJ228" s="9"/>
      <c r="TUK228" s="4"/>
      <c r="TUL228" s="9"/>
      <c r="TUM228" s="4"/>
      <c r="TUN228" s="9"/>
      <c r="TUO228" s="4"/>
      <c r="TUP228" s="9"/>
      <c r="TUQ228" s="4"/>
      <c r="TUR228" s="9"/>
      <c r="TUS228" s="4"/>
      <c r="TUT228" s="9"/>
      <c r="TUU228" s="4"/>
      <c r="TUV228" s="9"/>
      <c r="TUW228" s="4"/>
      <c r="TUX228" s="9"/>
      <c r="TUY228" s="4"/>
      <c r="TUZ228" s="9"/>
      <c r="TVA228" s="4"/>
      <c r="TVB228" s="9"/>
      <c r="TVC228" s="4"/>
      <c r="TVD228" s="9"/>
      <c r="TVE228" s="4"/>
      <c r="TVF228" s="9"/>
      <c r="TVG228" s="4"/>
      <c r="TVH228" s="9"/>
      <c r="TVI228" s="4"/>
      <c r="TVJ228" s="9"/>
      <c r="TVK228" s="4"/>
      <c r="TVL228" s="9"/>
      <c r="TVM228" s="4"/>
      <c r="TVN228" s="9"/>
      <c r="TVO228" s="4"/>
      <c r="TVP228" s="9"/>
      <c r="TVQ228" s="4"/>
      <c r="TVR228" s="9"/>
      <c r="TVS228" s="4"/>
      <c r="TVT228" s="9"/>
      <c r="TVU228" s="4"/>
      <c r="TVV228" s="9"/>
      <c r="TVW228" s="4"/>
      <c r="TVX228" s="9"/>
      <c r="TVY228" s="4"/>
      <c r="TVZ228" s="9"/>
      <c r="TWA228" s="4"/>
      <c r="TWB228" s="9"/>
      <c r="TWC228" s="4"/>
      <c r="TWD228" s="9"/>
      <c r="TWE228" s="4"/>
      <c r="TWF228" s="9"/>
      <c r="TWG228" s="4"/>
      <c r="TWH228" s="9"/>
      <c r="TWI228" s="4"/>
      <c r="TWJ228" s="9"/>
      <c r="TWK228" s="4"/>
      <c r="TWL228" s="9"/>
      <c r="TWM228" s="4"/>
      <c r="TWN228" s="9"/>
      <c r="TWO228" s="4"/>
      <c r="TWP228" s="9"/>
      <c r="TWQ228" s="4"/>
      <c r="TWR228" s="9"/>
      <c r="TWS228" s="4"/>
      <c r="TWT228" s="9"/>
      <c r="TWU228" s="4"/>
      <c r="TWV228" s="9"/>
      <c r="TWW228" s="4"/>
      <c r="TWX228" s="9"/>
      <c r="TWY228" s="4"/>
      <c r="TWZ228" s="9"/>
      <c r="TXA228" s="4"/>
      <c r="TXB228" s="9"/>
      <c r="TXC228" s="4"/>
      <c r="TXD228" s="9"/>
      <c r="TXE228" s="4"/>
      <c r="TXF228" s="9"/>
      <c r="TXG228" s="4"/>
      <c r="TXH228" s="9"/>
      <c r="TXI228" s="4"/>
      <c r="TXJ228" s="9"/>
      <c r="TXK228" s="4"/>
      <c r="TXL228" s="9"/>
      <c r="TXM228" s="4"/>
      <c r="TXN228" s="9"/>
      <c r="TXO228" s="4"/>
      <c r="TXP228" s="9"/>
      <c r="TXQ228" s="4"/>
      <c r="TXR228" s="9"/>
      <c r="TXS228" s="4"/>
      <c r="TXT228" s="9"/>
      <c r="TXU228" s="4"/>
      <c r="TXV228" s="9"/>
      <c r="TXW228" s="4"/>
      <c r="TXX228" s="9"/>
      <c r="TXY228" s="4"/>
      <c r="TXZ228" s="9"/>
      <c r="TYA228" s="4"/>
      <c r="TYB228" s="9"/>
      <c r="TYC228" s="4"/>
      <c r="TYD228" s="9"/>
      <c r="TYE228" s="4"/>
      <c r="TYF228" s="9"/>
      <c r="TYG228" s="4"/>
      <c r="TYH228" s="9"/>
      <c r="TYI228" s="4"/>
      <c r="TYJ228" s="9"/>
      <c r="TYK228" s="4"/>
      <c r="TYL228" s="9"/>
      <c r="TYM228" s="4"/>
      <c r="TYN228" s="9"/>
      <c r="TYO228" s="4"/>
      <c r="TYP228" s="9"/>
      <c r="TYQ228" s="4"/>
      <c r="TYR228" s="9"/>
      <c r="TYS228" s="4"/>
      <c r="TYT228" s="9"/>
      <c r="TYU228" s="4"/>
      <c r="TYV228" s="9"/>
      <c r="TYW228" s="4"/>
      <c r="TYX228" s="9"/>
      <c r="TYY228" s="4"/>
      <c r="TYZ228" s="9"/>
      <c r="TZA228" s="4"/>
      <c r="TZB228" s="9"/>
      <c r="TZC228" s="4"/>
      <c r="TZD228" s="9"/>
      <c r="TZE228" s="4"/>
      <c r="TZF228" s="9"/>
      <c r="TZG228" s="4"/>
      <c r="TZH228" s="9"/>
      <c r="TZI228" s="4"/>
      <c r="TZJ228" s="9"/>
      <c r="TZK228" s="4"/>
      <c r="TZL228" s="9"/>
      <c r="TZM228" s="4"/>
      <c r="TZN228" s="9"/>
      <c r="TZO228" s="4"/>
      <c r="TZP228" s="9"/>
      <c r="TZQ228" s="4"/>
      <c r="TZR228" s="9"/>
      <c r="TZS228" s="4"/>
      <c r="TZT228" s="9"/>
      <c r="TZU228" s="4"/>
      <c r="TZV228" s="9"/>
      <c r="TZW228" s="4"/>
      <c r="TZX228" s="9"/>
      <c r="TZY228" s="4"/>
      <c r="TZZ228" s="9"/>
      <c r="UAA228" s="4"/>
      <c r="UAB228" s="9"/>
      <c r="UAC228" s="4"/>
      <c r="UAD228" s="9"/>
      <c r="UAE228" s="4"/>
      <c r="UAF228" s="9"/>
      <c r="UAG228" s="4"/>
      <c r="UAH228" s="9"/>
      <c r="UAI228" s="4"/>
      <c r="UAJ228" s="9"/>
      <c r="UAK228" s="4"/>
      <c r="UAL228" s="9"/>
      <c r="UAM228" s="4"/>
      <c r="UAN228" s="9"/>
      <c r="UAO228" s="4"/>
      <c r="UAP228" s="9"/>
      <c r="UAQ228" s="4"/>
      <c r="UAR228" s="9"/>
      <c r="UAS228" s="4"/>
      <c r="UAT228" s="9"/>
      <c r="UAU228" s="4"/>
      <c r="UAV228" s="9"/>
      <c r="UAW228" s="4"/>
      <c r="UAX228" s="9"/>
      <c r="UAY228" s="4"/>
      <c r="UAZ228" s="9"/>
      <c r="UBA228" s="4"/>
      <c r="UBB228" s="9"/>
      <c r="UBC228" s="4"/>
      <c r="UBD228" s="9"/>
      <c r="UBE228" s="4"/>
      <c r="UBF228" s="9"/>
      <c r="UBG228" s="4"/>
      <c r="UBH228" s="9"/>
      <c r="UBI228" s="4"/>
      <c r="UBJ228" s="9"/>
      <c r="UBK228" s="4"/>
      <c r="UBL228" s="9"/>
      <c r="UBM228" s="4"/>
      <c r="UBN228" s="9"/>
      <c r="UBO228" s="4"/>
      <c r="UBP228" s="9"/>
      <c r="UBQ228" s="4"/>
      <c r="UBR228" s="9"/>
      <c r="UBS228" s="4"/>
      <c r="UBT228" s="9"/>
      <c r="UBU228" s="4"/>
      <c r="UBV228" s="9"/>
      <c r="UBW228" s="4"/>
      <c r="UBX228" s="9"/>
      <c r="UBY228" s="4"/>
      <c r="UBZ228" s="9"/>
      <c r="UCA228" s="4"/>
      <c r="UCB228" s="9"/>
      <c r="UCC228" s="4"/>
      <c r="UCD228" s="9"/>
      <c r="UCE228" s="4"/>
      <c r="UCF228" s="9"/>
      <c r="UCG228" s="4"/>
      <c r="UCH228" s="9"/>
      <c r="UCI228" s="4"/>
      <c r="UCJ228" s="9"/>
      <c r="UCK228" s="4"/>
      <c r="UCL228" s="9"/>
      <c r="UCM228" s="4"/>
      <c r="UCN228" s="9"/>
      <c r="UCO228" s="4"/>
      <c r="UCP228" s="9"/>
      <c r="UCQ228" s="4"/>
      <c r="UCR228" s="9"/>
      <c r="UCS228" s="4"/>
      <c r="UCT228" s="9"/>
      <c r="UCU228" s="4"/>
      <c r="UCV228" s="9"/>
      <c r="UCW228" s="4"/>
      <c r="UCX228" s="9"/>
      <c r="UCY228" s="4"/>
      <c r="UCZ228" s="9"/>
      <c r="UDA228" s="4"/>
      <c r="UDB228" s="9"/>
      <c r="UDC228" s="4"/>
      <c r="UDD228" s="9"/>
      <c r="UDE228" s="4"/>
      <c r="UDF228" s="9"/>
      <c r="UDG228" s="4"/>
      <c r="UDH228" s="9"/>
      <c r="UDI228" s="4"/>
      <c r="UDJ228" s="9"/>
      <c r="UDK228" s="4"/>
      <c r="UDL228" s="9"/>
      <c r="UDM228" s="4"/>
      <c r="UDN228" s="9"/>
      <c r="UDO228" s="4"/>
      <c r="UDP228" s="9"/>
      <c r="UDQ228" s="4"/>
      <c r="UDR228" s="9"/>
      <c r="UDS228" s="4"/>
      <c r="UDT228" s="9"/>
      <c r="UDU228" s="4"/>
      <c r="UDV228" s="9"/>
      <c r="UDW228" s="4"/>
      <c r="UDX228" s="9"/>
      <c r="UDY228" s="4"/>
      <c r="UDZ228" s="9"/>
      <c r="UEA228" s="4"/>
      <c r="UEB228" s="9"/>
      <c r="UEC228" s="4"/>
      <c r="UED228" s="9"/>
      <c r="UEE228" s="4"/>
      <c r="UEF228" s="9"/>
      <c r="UEG228" s="4"/>
      <c r="UEH228" s="9"/>
      <c r="UEI228" s="4"/>
      <c r="UEJ228" s="9"/>
      <c r="UEK228" s="4"/>
      <c r="UEL228" s="9"/>
      <c r="UEM228" s="4"/>
      <c r="UEN228" s="9"/>
      <c r="UEO228" s="4"/>
      <c r="UEP228" s="9"/>
      <c r="UEQ228" s="4"/>
      <c r="UER228" s="9"/>
      <c r="UES228" s="4"/>
      <c r="UET228" s="9"/>
      <c r="UEU228" s="4"/>
      <c r="UEV228" s="9"/>
      <c r="UEW228" s="4"/>
      <c r="UEX228" s="9"/>
      <c r="UEY228" s="4"/>
      <c r="UEZ228" s="9"/>
      <c r="UFA228" s="4"/>
      <c r="UFB228" s="9"/>
      <c r="UFC228" s="4"/>
      <c r="UFD228" s="9"/>
      <c r="UFE228" s="4"/>
      <c r="UFF228" s="9"/>
      <c r="UFG228" s="4"/>
      <c r="UFH228" s="9"/>
      <c r="UFI228" s="4"/>
      <c r="UFJ228" s="9"/>
      <c r="UFK228" s="4"/>
      <c r="UFL228" s="9"/>
      <c r="UFM228" s="4"/>
      <c r="UFN228" s="9"/>
      <c r="UFO228" s="4"/>
      <c r="UFP228" s="9"/>
      <c r="UFQ228" s="4"/>
      <c r="UFR228" s="9"/>
      <c r="UFS228" s="4"/>
      <c r="UFT228" s="9"/>
      <c r="UFU228" s="4"/>
      <c r="UFV228" s="9"/>
      <c r="UFW228" s="4"/>
      <c r="UFX228" s="9"/>
      <c r="UFY228" s="4"/>
      <c r="UFZ228" s="9"/>
      <c r="UGA228" s="4"/>
      <c r="UGB228" s="9"/>
      <c r="UGC228" s="4"/>
      <c r="UGD228" s="9"/>
      <c r="UGE228" s="4"/>
      <c r="UGF228" s="9"/>
      <c r="UGG228" s="4"/>
      <c r="UGH228" s="9"/>
      <c r="UGI228" s="4"/>
      <c r="UGJ228" s="9"/>
      <c r="UGK228" s="4"/>
      <c r="UGL228" s="9"/>
      <c r="UGM228" s="4"/>
      <c r="UGN228" s="9"/>
      <c r="UGO228" s="4"/>
      <c r="UGP228" s="9"/>
      <c r="UGQ228" s="4"/>
      <c r="UGR228" s="9"/>
      <c r="UGS228" s="4"/>
      <c r="UGT228" s="9"/>
      <c r="UGU228" s="4"/>
      <c r="UGV228" s="9"/>
      <c r="UGW228" s="4"/>
      <c r="UGX228" s="9"/>
      <c r="UGY228" s="4"/>
      <c r="UGZ228" s="9"/>
      <c r="UHA228" s="4"/>
      <c r="UHB228" s="9"/>
      <c r="UHC228" s="4"/>
      <c r="UHD228" s="9"/>
      <c r="UHE228" s="4"/>
      <c r="UHF228" s="9"/>
      <c r="UHG228" s="4"/>
      <c r="UHH228" s="9"/>
      <c r="UHI228" s="4"/>
      <c r="UHJ228" s="9"/>
      <c r="UHK228" s="4"/>
      <c r="UHL228" s="9"/>
      <c r="UHM228" s="4"/>
      <c r="UHN228" s="9"/>
      <c r="UHO228" s="4"/>
      <c r="UHP228" s="9"/>
      <c r="UHQ228" s="4"/>
      <c r="UHR228" s="9"/>
      <c r="UHS228" s="4"/>
      <c r="UHT228" s="9"/>
      <c r="UHU228" s="4"/>
      <c r="UHV228" s="9"/>
      <c r="UHW228" s="4"/>
      <c r="UHX228" s="9"/>
      <c r="UHY228" s="4"/>
      <c r="UHZ228" s="9"/>
      <c r="UIA228" s="4"/>
      <c r="UIB228" s="9"/>
      <c r="UIC228" s="4"/>
      <c r="UID228" s="9"/>
      <c r="UIE228" s="4"/>
      <c r="UIF228" s="9"/>
      <c r="UIG228" s="4"/>
      <c r="UIH228" s="9"/>
      <c r="UII228" s="4"/>
      <c r="UIJ228" s="9"/>
      <c r="UIK228" s="4"/>
      <c r="UIL228" s="9"/>
      <c r="UIM228" s="4"/>
      <c r="UIN228" s="9"/>
      <c r="UIO228" s="4"/>
      <c r="UIP228" s="9"/>
      <c r="UIQ228" s="4"/>
      <c r="UIR228" s="9"/>
      <c r="UIS228" s="4"/>
      <c r="UIT228" s="9"/>
      <c r="UIU228" s="4"/>
      <c r="UIV228" s="9"/>
      <c r="UIW228" s="4"/>
      <c r="UIX228" s="9"/>
      <c r="UIY228" s="4"/>
      <c r="UIZ228" s="9"/>
      <c r="UJA228" s="4"/>
      <c r="UJB228" s="9"/>
      <c r="UJC228" s="4"/>
      <c r="UJD228" s="9"/>
      <c r="UJE228" s="4"/>
      <c r="UJF228" s="9"/>
      <c r="UJG228" s="4"/>
      <c r="UJH228" s="9"/>
      <c r="UJI228" s="4"/>
      <c r="UJJ228" s="9"/>
      <c r="UJK228" s="4"/>
      <c r="UJL228" s="9"/>
      <c r="UJM228" s="4"/>
      <c r="UJN228" s="9"/>
      <c r="UJO228" s="4"/>
      <c r="UJP228" s="9"/>
      <c r="UJQ228" s="4"/>
      <c r="UJR228" s="9"/>
      <c r="UJS228" s="4"/>
      <c r="UJT228" s="9"/>
      <c r="UJU228" s="4"/>
      <c r="UJV228" s="9"/>
      <c r="UJW228" s="4"/>
      <c r="UJX228" s="9"/>
      <c r="UJY228" s="4"/>
      <c r="UJZ228" s="9"/>
      <c r="UKA228" s="4"/>
      <c r="UKB228" s="9"/>
      <c r="UKC228" s="4"/>
      <c r="UKD228" s="9"/>
      <c r="UKE228" s="4"/>
      <c r="UKF228" s="9"/>
      <c r="UKG228" s="4"/>
      <c r="UKH228" s="9"/>
      <c r="UKI228" s="4"/>
      <c r="UKJ228" s="9"/>
      <c r="UKK228" s="4"/>
      <c r="UKL228" s="9"/>
      <c r="UKM228" s="4"/>
      <c r="UKN228" s="9"/>
      <c r="UKO228" s="4"/>
      <c r="UKP228" s="9"/>
      <c r="UKQ228" s="4"/>
      <c r="UKR228" s="9"/>
      <c r="UKS228" s="4"/>
      <c r="UKT228" s="9"/>
      <c r="UKU228" s="4"/>
      <c r="UKV228" s="9"/>
      <c r="UKW228" s="4"/>
      <c r="UKX228" s="9"/>
      <c r="UKY228" s="4"/>
      <c r="UKZ228" s="9"/>
      <c r="ULA228" s="4"/>
      <c r="ULB228" s="9"/>
      <c r="ULC228" s="4"/>
      <c r="ULD228" s="9"/>
      <c r="ULE228" s="4"/>
      <c r="ULF228" s="9"/>
      <c r="ULG228" s="4"/>
      <c r="ULH228" s="9"/>
      <c r="ULI228" s="4"/>
      <c r="ULJ228" s="9"/>
      <c r="ULK228" s="4"/>
      <c r="ULL228" s="9"/>
      <c r="ULM228" s="4"/>
      <c r="ULN228" s="9"/>
      <c r="ULO228" s="4"/>
      <c r="ULP228" s="9"/>
      <c r="ULQ228" s="4"/>
      <c r="ULR228" s="9"/>
      <c r="ULS228" s="4"/>
      <c r="ULT228" s="9"/>
      <c r="ULU228" s="4"/>
      <c r="ULV228" s="9"/>
      <c r="ULW228" s="4"/>
      <c r="ULX228" s="9"/>
      <c r="ULY228" s="4"/>
      <c r="ULZ228" s="9"/>
      <c r="UMA228" s="4"/>
      <c r="UMB228" s="9"/>
      <c r="UMC228" s="4"/>
      <c r="UMD228" s="9"/>
      <c r="UME228" s="4"/>
      <c r="UMF228" s="9"/>
      <c r="UMG228" s="4"/>
      <c r="UMH228" s="9"/>
      <c r="UMI228" s="4"/>
      <c r="UMJ228" s="9"/>
      <c r="UMK228" s="4"/>
      <c r="UML228" s="9"/>
      <c r="UMM228" s="4"/>
      <c r="UMN228" s="9"/>
      <c r="UMO228" s="4"/>
      <c r="UMP228" s="9"/>
      <c r="UMQ228" s="4"/>
      <c r="UMR228" s="9"/>
      <c r="UMS228" s="4"/>
      <c r="UMT228" s="9"/>
      <c r="UMU228" s="4"/>
      <c r="UMV228" s="9"/>
      <c r="UMW228" s="4"/>
      <c r="UMX228" s="9"/>
      <c r="UMY228" s="4"/>
      <c r="UMZ228" s="9"/>
      <c r="UNA228" s="4"/>
      <c r="UNB228" s="9"/>
      <c r="UNC228" s="4"/>
      <c r="UND228" s="9"/>
      <c r="UNE228" s="4"/>
      <c r="UNF228" s="9"/>
      <c r="UNG228" s="4"/>
      <c r="UNH228" s="9"/>
      <c r="UNI228" s="4"/>
      <c r="UNJ228" s="9"/>
      <c r="UNK228" s="4"/>
      <c r="UNL228" s="9"/>
      <c r="UNM228" s="4"/>
      <c r="UNN228" s="9"/>
      <c r="UNO228" s="4"/>
      <c r="UNP228" s="9"/>
      <c r="UNQ228" s="4"/>
      <c r="UNR228" s="9"/>
      <c r="UNS228" s="4"/>
      <c r="UNT228" s="9"/>
      <c r="UNU228" s="4"/>
      <c r="UNV228" s="9"/>
      <c r="UNW228" s="4"/>
      <c r="UNX228" s="9"/>
      <c r="UNY228" s="4"/>
      <c r="UNZ228" s="9"/>
      <c r="UOA228" s="4"/>
      <c r="UOB228" s="9"/>
      <c r="UOC228" s="4"/>
      <c r="UOD228" s="9"/>
      <c r="UOE228" s="4"/>
      <c r="UOF228" s="9"/>
      <c r="UOG228" s="4"/>
      <c r="UOH228" s="9"/>
      <c r="UOI228" s="4"/>
      <c r="UOJ228" s="9"/>
      <c r="UOK228" s="4"/>
      <c r="UOL228" s="9"/>
      <c r="UOM228" s="4"/>
      <c r="UON228" s="9"/>
      <c r="UOO228" s="4"/>
      <c r="UOP228" s="9"/>
      <c r="UOQ228" s="4"/>
      <c r="UOR228" s="9"/>
      <c r="UOS228" s="4"/>
      <c r="UOT228" s="9"/>
      <c r="UOU228" s="4"/>
      <c r="UOV228" s="9"/>
      <c r="UOW228" s="4"/>
      <c r="UOX228" s="9"/>
      <c r="UOY228" s="4"/>
      <c r="UOZ228" s="9"/>
      <c r="UPA228" s="4"/>
      <c r="UPB228" s="9"/>
      <c r="UPC228" s="4"/>
      <c r="UPD228" s="9"/>
      <c r="UPE228" s="4"/>
      <c r="UPF228" s="9"/>
      <c r="UPG228" s="4"/>
      <c r="UPH228" s="9"/>
      <c r="UPI228" s="4"/>
      <c r="UPJ228" s="9"/>
      <c r="UPK228" s="4"/>
      <c r="UPL228" s="9"/>
      <c r="UPM228" s="4"/>
      <c r="UPN228" s="9"/>
      <c r="UPO228" s="4"/>
      <c r="UPP228" s="9"/>
      <c r="UPQ228" s="4"/>
      <c r="UPR228" s="9"/>
      <c r="UPS228" s="4"/>
      <c r="UPT228" s="9"/>
      <c r="UPU228" s="4"/>
      <c r="UPV228" s="9"/>
      <c r="UPW228" s="4"/>
      <c r="UPX228" s="9"/>
      <c r="UPY228" s="4"/>
      <c r="UPZ228" s="9"/>
      <c r="UQA228" s="4"/>
      <c r="UQB228" s="9"/>
      <c r="UQC228" s="4"/>
      <c r="UQD228" s="9"/>
      <c r="UQE228" s="4"/>
      <c r="UQF228" s="9"/>
      <c r="UQG228" s="4"/>
      <c r="UQH228" s="9"/>
      <c r="UQI228" s="4"/>
      <c r="UQJ228" s="9"/>
      <c r="UQK228" s="4"/>
      <c r="UQL228" s="9"/>
      <c r="UQM228" s="4"/>
      <c r="UQN228" s="9"/>
      <c r="UQO228" s="4"/>
      <c r="UQP228" s="9"/>
      <c r="UQQ228" s="4"/>
      <c r="UQR228" s="9"/>
      <c r="UQS228" s="4"/>
      <c r="UQT228" s="9"/>
      <c r="UQU228" s="4"/>
      <c r="UQV228" s="9"/>
      <c r="UQW228" s="4"/>
      <c r="UQX228" s="9"/>
      <c r="UQY228" s="4"/>
      <c r="UQZ228" s="9"/>
      <c r="URA228" s="4"/>
      <c r="URB228" s="9"/>
      <c r="URC228" s="4"/>
      <c r="URD228" s="9"/>
      <c r="URE228" s="4"/>
      <c r="URF228" s="9"/>
      <c r="URG228" s="4"/>
      <c r="URH228" s="9"/>
      <c r="URI228" s="4"/>
      <c r="URJ228" s="9"/>
      <c r="URK228" s="4"/>
      <c r="URL228" s="9"/>
      <c r="URM228" s="4"/>
      <c r="URN228" s="9"/>
      <c r="URO228" s="4"/>
      <c r="URP228" s="9"/>
      <c r="URQ228" s="4"/>
      <c r="URR228" s="9"/>
      <c r="URS228" s="4"/>
      <c r="URT228" s="9"/>
      <c r="URU228" s="4"/>
      <c r="URV228" s="9"/>
      <c r="URW228" s="4"/>
      <c r="URX228" s="9"/>
      <c r="URY228" s="4"/>
      <c r="URZ228" s="9"/>
      <c r="USA228" s="4"/>
      <c r="USB228" s="9"/>
      <c r="USC228" s="4"/>
      <c r="USD228" s="9"/>
      <c r="USE228" s="4"/>
      <c r="USF228" s="9"/>
      <c r="USG228" s="4"/>
      <c r="USH228" s="9"/>
      <c r="USI228" s="4"/>
      <c r="USJ228" s="9"/>
      <c r="USK228" s="4"/>
      <c r="USL228" s="9"/>
      <c r="USM228" s="4"/>
      <c r="USN228" s="9"/>
      <c r="USO228" s="4"/>
      <c r="USP228" s="9"/>
      <c r="USQ228" s="4"/>
      <c r="USR228" s="9"/>
      <c r="USS228" s="4"/>
      <c r="UST228" s="9"/>
      <c r="USU228" s="4"/>
      <c r="USV228" s="9"/>
      <c r="USW228" s="4"/>
      <c r="USX228" s="9"/>
      <c r="USY228" s="4"/>
      <c r="USZ228" s="9"/>
      <c r="UTA228" s="4"/>
      <c r="UTB228" s="9"/>
      <c r="UTC228" s="4"/>
      <c r="UTD228" s="9"/>
      <c r="UTE228" s="4"/>
      <c r="UTF228" s="9"/>
      <c r="UTG228" s="4"/>
      <c r="UTH228" s="9"/>
      <c r="UTI228" s="4"/>
      <c r="UTJ228" s="9"/>
      <c r="UTK228" s="4"/>
      <c r="UTL228" s="9"/>
      <c r="UTM228" s="4"/>
      <c r="UTN228" s="9"/>
      <c r="UTO228" s="4"/>
      <c r="UTP228" s="9"/>
      <c r="UTQ228" s="4"/>
      <c r="UTR228" s="9"/>
      <c r="UTS228" s="4"/>
      <c r="UTT228" s="9"/>
      <c r="UTU228" s="4"/>
      <c r="UTV228" s="9"/>
      <c r="UTW228" s="4"/>
      <c r="UTX228" s="9"/>
      <c r="UTY228" s="4"/>
      <c r="UTZ228" s="9"/>
      <c r="UUA228" s="4"/>
      <c r="UUB228" s="9"/>
      <c r="UUC228" s="4"/>
      <c r="UUD228" s="9"/>
      <c r="UUE228" s="4"/>
      <c r="UUF228" s="9"/>
      <c r="UUG228" s="4"/>
      <c r="UUH228" s="9"/>
      <c r="UUI228" s="4"/>
      <c r="UUJ228" s="9"/>
      <c r="UUK228" s="4"/>
      <c r="UUL228" s="9"/>
      <c r="UUM228" s="4"/>
      <c r="UUN228" s="9"/>
      <c r="UUO228" s="4"/>
      <c r="UUP228" s="9"/>
      <c r="UUQ228" s="4"/>
      <c r="UUR228" s="9"/>
      <c r="UUS228" s="4"/>
      <c r="UUT228" s="9"/>
      <c r="UUU228" s="4"/>
      <c r="UUV228" s="9"/>
      <c r="UUW228" s="4"/>
      <c r="UUX228" s="9"/>
      <c r="UUY228" s="4"/>
      <c r="UUZ228" s="9"/>
      <c r="UVA228" s="4"/>
      <c r="UVB228" s="9"/>
      <c r="UVC228" s="4"/>
      <c r="UVD228" s="9"/>
      <c r="UVE228" s="4"/>
      <c r="UVF228" s="9"/>
      <c r="UVG228" s="4"/>
      <c r="UVH228" s="9"/>
      <c r="UVI228" s="4"/>
      <c r="UVJ228" s="9"/>
      <c r="UVK228" s="4"/>
      <c r="UVL228" s="9"/>
      <c r="UVM228" s="4"/>
      <c r="UVN228" s="9"/>
      <c r="UVO228" s="4"/>
      <c r="UVP228" s="9"/>
      <c r="UVQ228" s="4"/>
      <c r="UVR228" s="9"/>
      <c r="UVS228" s="4"/>
      <c r="UVT228" s="9"/>
      <c r="UVU228" s="4"/>
      <c r="UVV228" s="9"/>
      <c r="UVW228" s="4"/>
      <c r="UVX228" s="9"/>
      <c r="UVY228" s="4"/>
      <c r="UVZ228" s="9"/>
      <c r="UWA228" s="4"/>
      <c r="UWB228" s="9"/>
      <c r="UWC228" s="4"/>
      <c r="UWD228" s="9"/>
      <c r="UWE228" s="4"/>
      <c r="UWF228" s="9"/>
      <c r="UWG228" s="4"/>
      <c r="UWH228" s="9"/>
      <c r="UWI228" s="4"/>
      <c r="UWJ228" s="9"/>
      <c r="UWK228" s="4"/>
      <c r="UWL228" s="9"/>
      <c r="UWM228" s="4"/>
      <c r="UWN228" s="9"/>
      <c r="UWO228" s="4"/>
      <c r="UWP228" s="9"/>
      <c r="UWQ228" s="4"/>
      <c r="UWR228" s="9"/>
      <c r="UWS228" s="4"/>
      <c r="UWT228" s="9"/>
      <c r="UWU228" s="4"/>
      <c r="UWV228" s="9"/>
      <c r="UWW228" s="4"/>
      <c r="UWX228" s="9"/>
      <c r="UWY228" s="4"/>
      <c r="UWZ228" s="9"/>
      <c r="UXA228" s="4"/>
      <c r="UXB228" s="9"/>
      <c r="UXC228" s="4"/>
      <c r="UXD228" s="9"/>
      <c r="UXE228" s="4"/>
      <c r="UXF228" s="9"/>
      <c r="UXG228" s="4"/>
      <c r="UXH228" s="9"/>
      <c r="UXI228" s="4"/>
      <c r="UXJ228" s="9"/>
      <c r="UXK228" s="4"/>
      <c r="UXL228" s="9"/>
      <c r="UXM228" s="4"/>
      <c r="UXN228" s="9"/>
      <c r="UXO228" s="4"/>
      <c r="UXP228" s="9"/>
      <c r="UXQ228" s="4"/>
      <c r="UXR228" s="9"/>
      <c r="UXS228" s="4"/>
      <c r="UXT228" s="9"/>
      <c r="UXU228" s="4"/>
      <c r="UXV228" s="9"/>
      <c r="UXW228" s="4"/>
      <c r="UXX228" s="9"/>
      <c r="UXY228" s="4"/>
      <c r="UXZ228" s="9"/>
      <c r="UYA228" s="4"/>
      <c r="UYB228" s="9"/>
      <c r="UYC228" s="4"/>
      <c r="UYD228" s="9"/>
      <c r="UYE228" s="4"/>
      <c r="UYF228" s="9"/>
      <c r="UYG228" s="4"/>
      <c r="UYH228" s="9"/>
      <c r="UYI228" s="4"/>
      <c r="UYJ228" s="9"/>
      <c r="UYK228" s="4"/>
      <c r="UYL228" s="9"/>
      <c r="UYM228" s="4"/>
      <c r="UYN228" s="9"/>
      <c r="UYO228" s="4"/>
      <c r="UYP228" s="9"/>
      <c r="UYQ228" s="4"/>
      <c r="UYR228" s="9"/>
      <c r="UYS228" s="4"/>
      <c r="UYT228" s="9"/>
      <c r="UYU228" s="4"/>
      <c r="UYV228" s="9"/>
      <c r="UYW228" s="4"/>
      <c r="UYX228" s="9"/>
      <c r="UYY228" s="4"/>
      <c r="UYZ228" s="9"/>
      <c r="UZA228" s="4"/>
      <c r="UZB228" s="9"/>
      <c r="UZC228" s="4"/>
      <c r="UZD228" s="9"/>
      <c r="UZE228" s="4"/>
      <c r="UZF228" s="9"/>
      <c r="UZG228" s="4"/>
      <c r="UZH228" s="9"/>
      <c r="UZI228" s="4"/>
      <c r="UZJ228" s="9"/>
      <c r="UZK228" s="4"/>
      <c r="UZL228" s="9"/>
      <c r="UZM228" s="4"/>
      <c r="UZN228" s="9"/>
      <c r="UZO228" s="4"/>
      <c r="UZP228" s="9"/>
      <c r="UZQ228" s="4"/>
      <c r="UZR228" s="9"/>
      <c r="UZS228" s="4"/>
      <c r="UZT228" s="9"/>
      <c r="UZU228" s="4"/>
      <c r="UZV228" s="9"/>
      <c r="UZW228" s="4"/>
      <c r="UZX228" s="9"/>
      <c r="UZY228" s="4"/>
      <c r="UZZ228" s="9"/>
      <c r="VAA228" s="4"/>
      <c r="VAB228" s="9"/>
      <c r="VAC228" s="4"/>
      <c r="VAD228" s="9"/>
      <c r="VAE228" s="4"/>
      <c r="VAF228" s="9"/>
      <c r="VAG228" s="4"/>
      <c r="VAH228" s="9"/>
      <c r="VAI228" s="4"/>
      <c r="VAJ228" s="9"/>
      <c r="VAK228" s="4"/>
      <c r="VAL228" s="9"/>
      <c r="VAM228" s="4"/>
      <c r="VAN228" s="9"/>
      <c r="VAO228" s="4"/>
      <c r="VAP228" s="9"/>
      <c r="VAQ228" s="4"/>
      <c r="VAR228" s="9"/>
      <c r="VAS228" s="4"/>
      <c r="VAT228" s="9"/>
      <c r="VAU228" s="4"/>
      <c r="VAV228" s="9"/>
      <c r="VAW228" s="4"/>
      <c r="VAX228" s="9"/>
      <c r="VAY228" s="4"/>
      <c r="VAZ228" s="9"/>
      <c r="VBA228" s="4"/>
      <c r="VBB228" s="9"/>
      <c r="VBC228" s="4"/>
      <c r="VBD228" s="9"/>
      <c r="VBE228" s="4"/>
      <c r="VBF228" s="9"/>
      <c r="VBG228" s="4"/>
      <c r="VBH228" s="9"/>
      <c r="VBI228" s="4"/>
      <c r="VBJ228" s="9"/>
      <c r="VBK228" s="4"/>
      <c r="VBL228" s="9"/>
      <c r="VBM228" s="4"/>
      <c r="VBN228" s="9"/>
      <c r="VBO228" s="4"/>
      <c r="VBP228" s="9"/>
      <c r="VBQ228" s="4"/>
      <c r="VBR228" s="9"/>
      <c r="VBS228" s="4"/>
      <c r="VBT228" s="9"/>
      <c r="VBU228" s="4"/>
      <c r="VBV228" s="9"/>
      <c r="VBW228" s="4"/>
      <c r="VBX228" s="9"/>
      <c r="VBY228" s="4"/>
      <c r="VBZ228" s="9"/>
      <c r="VCA228" s="4"/>
      <c r="VCB228" s="9"/>
      <c r="VCC228" s="4"/>
      <c r="VCD228" s="9"/>
      <c r="VCE228" s="4"/>
      <c r="VCF228" s="9"/>
      <c r="VCG228" s="4"/>
      <c r="VCH228" s="9"/>
      <c r="VCI228" s="4"/>
      <c r="VCJ228" s="9"/>
      <c r="VCK228" s="4"/>
      <c r="VCL228" s="9"/>
      <c r="VCM228" s="4"/>
      <c r="VCN228" s="9"/>
      <c r="VCO228" s="4"/>
      <c r="VCP228" s="9"/>
      <c r="VCQ228" s="4"/>
      <c r="VCR228" s="9"/>
      <c r="VCS228" s="4"/>
      <c r="VCT228" s="9"/>
      <c r="VCU228" s="4"/>
      <c r="VCV228" s="9"/>
      <c r="VCW228" s="4"/>
      <c r="VCX228" s="9"/>
      <c r="VCY228" s="4"/>
      <c r="VCZ228" s="9"/>
      <c r="VDA228" s="4"/>
      <c r="VDB228" s="9"/>
      <c r="VDC228" s="4"/>
      <c r="VDD228" s="9"/>
      <c r="VDE228" s="4"/>
      <c r="VDF228" s="9"/>
      <c r="VDG228" s="4"/>
      <c r="VDH228" s="9"/>
      <c r="VDI228" s="4"/>
      <c r="VDJ228" s="9"/>
      <c r="VDK228" s="4"/>
      <c r="VDL228" s="9"/>
      <c r="VDM228" s="4"/>
      <c r="VDN228" s="9"/>
      <c r="VDO228" s="4"/>
      <c r="VDP228" s="9"/>
      <c r="VDQ228" s="4"/>
      <c r="VDR228" s="9"/>
      <c r="VDS228" s="4"/>
      <c r="VDT228" s="9"/>
      <c r="VDU228" s="4"/>
      <c r="VDV228" s="9"/>
      <c r="VDW228" s="4"/>
      <c r="VDX228" s="9"/>
      <c r="VDY228" s="4"/>
      <c r="VDZ228" s="9"/>
      <c r="VEA228" s="4"/>
      <c r="VEB228" s="9"/>
      <c r="VEC228" s="4"/>
      <c r="VED228" s="9"/>
      <c r="VEE228" s="4"/>
      <c r="VEF228" s="9"/>
      <c r="VEG228" s="4"/>
      <c r="VEH228" s="9"/>
      <c r="VEI228" s="4"/>
      <c r="VEJ228" s="9"/>
      <c r="VEK228" s="4"/>
      <c r="VEL228" s="9"/>
      <c r="VEM228" s="4"/>
      <c r="VEN228" s="9"/>
      <c r="VEO228" s="4"/>
      <c r="VEP228" s="9"/>
      <c r="VEQ228" s="4"/>
      <c r="VER228" s="9"/>
      <c r="VES228" s="4"/>
      <c r="VET228" s="9"/>
      <c r="VEU228" s="4"/>
      <c r="VEV228" s="9"/>
      <c r="VEW228" s="4"/>
      <c r="VEX228" s="9"/>
      <c r="VEY228" s="4"/>
      <c r="VEZ228" s="9"/>
      <c r="VFA228" s="4"/>
      <c r="VFB228" s="9"/>
      <c r="VFC228" s="4"/>
      <c r="VFD228" s="9"/>
      <c r="VFE228" s="4"/>
      <c r="VFF228" s="9"/>
      <c r="VFG228" s="4"/>
      <c r="VFH228" s="9"/>
      <c r="VFI228" s="4"/>
      <c r="VFJ228" s="9"/>
      <c r="VFK228" s="4"/>
      <c r="VFL228" s="9"/>
      <c r="VFM228" s="4"/>
      <c r="VFN228" s="9"/>
      <c r="VFO228" s="4"/>
      <c r="VFP228" s="9"/>
      <c r="VFQ228" s="4"/>
      <c r="VFR228" s="9"/>
      <c r="VFS228" s="4"/>
      <c r="VFT228" s="9"/>
      <c r="VFU228" s="4"/>
      <c r="VFV228" s="9"/>
      <c r="VFW228" s="4"/>
      <c r="VFX228" s="9"/>
      <c r="VFY228" s="4"/>
      <c r="VFZ228" s="9"/>
      <c r="VGA228" s="4"/>
      <c r="VGB228" s="9"/>
      <c r="VGC228" s="4"/>
      <c r="VGD228" s="9"/>
      <c r="VGE228" s="4"/>
      <c r="VGF228" s="9"/>
      <c r="VGG228" s="4"/>
      <c r="VGH228" s="9"/>
      <c r="VGI228" s="4"/>
      <c r="VGJ228" s="9"/>
      <c r="VGK228" s="4"/>
      <c r="VGL228" s="9"/>
      <c r="VGM228" s="4"/>
      <c r="VGN228" s="9"/>
      <c r="VGO228" s="4"/>
      <c r="VGP228" s="9"/>
      <c r="VGQ228" s="4"/>
      <c r="VGR228" s="9"/>
      <c r="VGS228" s="4"/>
      <c r="VGT228" s="9"/>
      <c r="VGU228" s="4"/>
      <c r="VGV228" s="9"/>
      <c r="VGW228" s="4"/>
      <c r="VGX228" s="9"/>
      <c r="VGY228" s="4"/>
      <c r="VGZ228" s="9"/>
      <c r="VHA228" s="4"/>
      <c r="VHB228" s="9"/>
      <c r="VHC228" s="4"/>
      <c r="VHD228" s="9"/>
      <c r="VHE228" s="4"/>
      <c r="VHF228" s="9"/>
      <c r="VHG228" s="4"/>
      <c r="VHH228" s="9"/>
      <c r="VHI228" s="4"/>
      <c r="VHJ228" s="9"/>
      <c r="VHK228" s="4"/>
      <c r="VHL228" s="9"/>
      <c r="VHM228" s="4"/>
      <c r="VHN228" s="9"/>
      <c r="VHO228" s="4"/>
      <c r="VHP228" s="9"/>
      <c r="VHQ228" s="4"/>
      <c r="VHR228" s="9"/>
      <c r="VHS228" s="4"/>
      <c r="VHT228" s="9"/>
      <c r="VHU228" s="4"/>
      <c r="VHV228" s="9"/>
      <c r="VHW228" s="4"/>
      <c r="VHX228" s="9"/>
      <c r="VHY228" s="4"/>
      <c r="VHZ228" s="9"/>
      <c r="VIA228" s="4"/>
      <c r="VIB228" s="9"/>
      <c r="VIC228" s="4"/>
      <c r="VID228" s="9"/>
      <c r="VIE228" s="4"/>
      <c r="VIF228" s="9"/>
      <c r="VIG228" s="4"/>
      <c r="VIH228" s="9"/>
      <c r="VII228" s="4"/>
      <c r="VIJ228" s="9"/>
      <c r="VIK228" s="4"/>
      <c r="VIL228" s="9"/>
      <c r="VIM228" s="4"/>
      <c r="VIN228" s="9"/>
      <c r="VIO228" s="4"/>
      <c r="VIP228" s="9"/>
      <c r="VIQ228" s="4"/>
      <c r="VIR228" s="9"/>
      <c r="VIS228" s="4"/>
      <c r="VIT228" s="9"/>
      <c r="VIU228" s="4"/>
      <c r="VIV228" s="9"/>
      <c r="VIW228" s="4"/>
      <c r="VIX228" s="9"/>
      <c r="VIY228" s="4"/>
      <c r="VIZ228" s="9"/>
      <c r="VJA228" s="4"/>
      <c r="VJB228" s="9"/>
      <c r="VJC228" s="4"/>
      <c r="VJD228" s="9"/>
      <c r="VJE228" s="4"/>
      <c r="VJF228" s="9"/>
      <c r="VJG228" s="4"/>
      <c r="VJH228" s="9"/>
      <c r="VJI228" s="4"/>
      <c r="VJJ228" s="9"/>
      <c r="VJK228" s="4"/>
      <c r="VJL228" s="9"/>
      <c r="VJM228" s="4"/>
      <c r="VJN228" s="9"/>
      <c r="VJO228" s="4"/>
      <c r="VJP228" s="9"/>
      <c r="VJQ228" s="4"/>
      <c r="VJR228" s="9"/>
      <c r="VJS228" s="4"/>
      <c r="VJT228" s="9"/>
      <c r="VJU228" s="4"/>
      <c r="VJV228" s="9"/>
      <c r="VJW228" s="4"/>
      <c r="VJX228" s="9"/>
      <c r="VJY228" s="4"/>
      <c r="VJZ228" s="9"/>
      <c r="VKA228" s="4"/>
      <c r="VKB228" s="9"/>
      <c r="VKC228" s="4"/>
      <c r="VKD228" s="9"/>
      <c r="VKE228" s="4"/>
      <c r="VKF228" s="9"/>
      <c r="VKG228" s="4"/>
      <c r="VKH228" s="9"/>
      <c r="VKI228" s="4"/>
      <c r="VKJ228" s="9"/>
      <c r="VKK228" s="4"/>
      <c r="VKL228" s="9"/>
      <c r="VKM228" s="4"/>
      <c r="VKN228" s="9"/>
      <c r="VKO228" s="4"/>
      <c r="VKP228" s="9"/>
      <c r="VKQ228" s="4"/>
      <c r="VKR228" s="9"/>
      <c r="VKS228" s="4"/>
      <c r="VKT228" s="9"/>
      <c r="VKU228" s="4"/>
      <c r="VKV228" s="9"/>
      <c r="VKW228" s="4"/>
      <c r="VKX228" s="9"/>
      <c r="VKY228" s="4"/>
      <c r="VKZ228" s="9"/>
      <c r="VLA228" s="4"/>
      <c r="VLB228" s="9"/>
      <c r="VLC228" s="4"/>
      <c r="VLD228" s="9"/>
      <c r="VLE228" s="4"/>
      <c r="VLF228" s="9"/>
      <c r="VLG228" s="4"/>
      <c r="VLH228" s="9"/>
      <c r="VLI228" s="4"/>
      <c r="VLJ228" s="9"/>
      <c r="VLK228" s="4"/>
      <c r="VLL228" s="9"/>
      <c r="VLM228" s="4"/>
      <c r="VLN228" s="9"/>
      <c r="VLO228" s="4"/>
      <c r="VLP228" s="9"/>
      <c r="VLQ228" s="4"/>
      <c r="VLR228" s="9"/>
      <c r="VLS228" s="4"/>
      <c r="VLT228" s="9"/>
      <c r="VLU228" s="4"/>
      <c r="VLV228" s="9"/>
      <c r="VLW228" s="4"/>
      <c r="VLX228" s="9"/>
      <c r="VLY228" s="4"/>
      <c r="VLZ228" s="9"/>
      <c r="VMA228" s="4"/>
      <c r="VMB228" s="9"/>
      <c r="VMC228" s="4"/>
      <c r="VMD228" s="9"/>
      <c r="VME228" s="4"/>
      <c r="VMF228" s="9"/>
      <c r="VMG228" s="4"/>
      <c r="VMH228" s="9"/>
      <c r="VMI228" s="4"/>
      <c r="VMJ228" s="9"/>
      <c r="VMK228" s="4"/>
      <c r="VML228" s="9"/>
      <c r="VMM228" s="4"/>
      <c r="VMN228" s="9"/>
      <c r="VMO228" s="4"/>
      <c r="VMP228" s="9"/>
      <c r="VMQ228" s="4"/>
      <c r="VMR228" s="9"/>
      <c r="VMS228" s="4"/>
      <c r="VMT228" s="9"/>
      <c r="VMU228" s="4"/>
      <c r="VMV228" s="9"/>
      <c r="VMW228" s="4"/>
      <c r="VMX228" s="9"/>
      <c r="VMY228" s="4"/>
      <c r="VMZ228" s="9"/>
      <c r="VNA228" s="4"/>
      <c r="VNB228" s="9"/>
      <c r="VNC228" s="4"/>
      <c r="VND228" s="9"/>
      <c r="VNE228" s="4"/>
      <c r="VNF228" s="9"/>
      <c r="VNG228" s="4"/>
      <c r="VNH228" s="9"/>
      <c r="VNI228" s="4"/>
      <c r="VNJ228" s="9"/>
      <c r="VNK228" s="4"/>
      <c r="VNL228" s="9"/>
      <c r="VNM228" s="4"/>
      <c r="VNN228" s="9"/>
      <c r="VNO228" s="4"/>
      <c r="VNP228" s="9"/>
      <c r="VNQ228" s="4"/>
      <c r="VNR228" s="9"/>
      <c r="VNS228" s="4"/>
      <c r="VNT228" s="9"/>
      <c r="VNU228" s="4"/>
      <c r="VNV228" s="9"/>
      <c r="VNW228" s="4"/>
      <c r="VNX228" s="9"/>
      <c r="VNY228" s="4"/>
      <c r="VNZ228" s="9"/>
      <c r="VOA228" s="4"/>
      <c r="VOB228" s="9"/>
      <c r="VOC228" s="4"/>
      <c r="VOD228" s="9"/>
      <c r="VOE228" s="4"/>
      <c r="VOF228" s="9"/>
      <c r="VOG228" s="4"/>
      <c r="VOH228" s="9"/>
      <c r="VOI228" s="4"/>
      <c r="VOJ228" s="9"/>
      <c r="VOK228" s="4"/>
      <c r="VOL228" s="9"/>
      <c r="VOM228" s="4"/>
      <c r="VON228" s="9"/>
      <c r="VOO228" s="4"/>
      <c r="VOP228" s="9"/>
      <c r="VOQ228" s="4"/>
      <c r="VOR228" s="9"/>
      <c r="VOS228" s="4"/>
      <c r="VOT228" s="9"/>
      <c r="VOU228" s="4"/>
      <c r="VOV228" s="9"/>
      <c r="VOW228" s="4"/>
      <c r="VOX228" s="9"/>
      <c r="VOY228" s="4"/>
      <c r="VOZ228" s="9"/>
      <c r="VPA228" s="4"/>
      <c r="VPB228" s="9"/>
      <c r="VPC228" s="4"/>
      <c r="VPD228" s="9"/>
      <c r="VPE228" s="4"/>
      <c r="VPF228" s="9"/>
      <c r="VPG228" s="4"/>
      <c r="VPH228" s="9"/>
      <c r="VPI228" s="4"/>
      <c r="VPJ228" s="9"/>
      <c r="VPK228" s="4"/>
      <c r="VPL228" s="9"/>
      <c r="VPM228" s="4"/>
      <c r="VPN228" s="9"/>
      <c r="VPO228" s="4"/>
      <c r="VPP228" s="9"/>
      <c r="VPQ228" s="4"/>
      <c r="VPR228" s="9"/>
      <c r="VPS228" s="4"/>
      <c r="VPT228" s="9"/>
      <c r="VPU228" s="4"/>
      <c r="VPV228" s="9"/>
      <c r="VPW228" s="4"/>
      <c r="VPX228" s="9"/>
      <c r="VPY228" s="4"/>
      <c r="VPZ228" s="9"/>
      <c r="VQA228" s="4"/>
      <c r="VQB228" s="9"/>
      <c r="VQC228" s="4"/>
      <c r="VQD228" s="9"/>
      <c r="VQE228" s="4"/>
      <c r="VQF228" s="9"/>
      <c r="VQG228" s="4"/>
      <c r="VQH228" s="9"/>
      <c r="VQI228" s="4"/>
      <c r="VQJ228" s="9"/>
      <c r="VQK228" s="4"/>
      <c r="VQL228" s="9"/>
      <c r="VQM228" s="4"/>
      <c r="VQN228" s="9"/>
      <c r="VQO228" s="4"/>
      <c r="VQP228" s="9"/>
      <c r="VQQ228" s="4"/>
      <c r="VQR228" s="9"/>
      <c r="VQS228" s="4"/>
      <c r="VQT228" s="9"/>
      <c r="VQU228" s="4"/>
      <c r="VQV228" s="9"/>
      <c r="VQW228" s="4"/>
      <c r="VQX228" s="9"/>
      <c r="VQY228" s="4"/>
      <c r="VQZ228" s="9"/>
      <c r="VRA228" s="4"/>
      <c r="VRB228" s="9"/>
      <c r="VRC228" s="4"/>
      <c r="VRD228" s="9"/>
      <c r="VRE228" s="4"/>
      <c r="VRF228" s="9"/>
      <c r="VRG228" s="4"/>
      <c r="VRH228" s="9"/>
      <c r="VRI228" s="4"/>
      <c r="VRJ228" s="9"/>
      <c r="VRK228" s="4"/>
      <c r="VRL228" s="9"/>
      <c r="VRM228" s="4"/>
      <c r="VRN228" s="9"/>
      <c r="VRO228" s="4"/>
      <c r="VRP228" s="9"/>
      <c r="VRQ228" s="4"/>
      <c r="VRR228" s="9"/>
      <c r="VRS228" s="4"/>
      <c r="VRT228" s="9"/>
      <c r="VRU228" s="4"/>
      <c r="VRV228" s="9"/>
      <c r="VRW228" s="4"/>
      <c r="VRX228" s="9"/>
      <c r="VRY228" s="4"/>
      <c r="VRZ228" s="9"/>
      <c r="VSA228" s="4"/>
      <c r="VSB228" s="9"/>
      <c r="VSC228" s="4"/>
      <c r="VSD228" s="9"/>
      <c r="VSE228" s="4"/>
      <c r="VSF228" s="9"/>
      <c r="VSG228" s="4"/>
      <c r="VSH228" s="9"/>
      <c r="VSI228" s="4"/>
      <c r="VSJ228" s="9"/>
      <c r="VSK228" s="4"/>
      <c r="VSL228" s="9"/>
      <c r="VSM228" s="4"/>
      <c r="VSN228" s="9"/>
      <c r="VSO228" s="4"/>
      <c r="VSP228" s="9"/>
      <c r="VSQ228" s="4"/>
      <c r="VSR228" s="9"/>
      <c r="VSS228" s="4"/>
      <c r="VST228" s="9"/>
      <c r="VSU228" s="4"/>
      <c r="VSV228" s="9"/>
      <c r="VSW228" s="4"/>
      <c r="VSX228" s="9"/>
      <c r="VSY228" s="4"/>
      <c r="VSZ228" s="9"/>
      <c r="VTA228" s="4"/>
      <c r="VTB228" s="9"/>
      <c r="VTC228" s="4"/>
      <c r="VTD228" s="9"/>
      <c r="VTE228" s="4"/>
      <c r="VTF228" s="9"/>
      <c r="VTG228" s="4"/>
      <c r="VTH228" s="9"/>
      <c r="VTI228" s="4"/>
      <c r="VTJ228" s="9"/>
      <c r="VTK228" s="4"/>
      <c r="VTL228" s="9"/>
      <c r="VTM228" s="4"/>
      <c r="VTN228" s="9"/>
      <c r="VTO228" s="4"/>
      <c r="VTP228" s="9"/>
      <c r="VTQ228" s="4"/>
      <c r="VTR228" s="9"/>
      <c r="VTS228" s="4"/>
      <c r="VTT228" s="9"/>
      <c r="VTU228" s="4"/>
      <c r="VTV228" s="9"/>
      <c r="VTW228" s="4"/>
      <c r="VTX228" s="9"/>
      <c r="VTY228" s="4"/>
      <c r="VTZ228" s="9"/>
      <c r="VUA228" s="4"/>
      <c r="VUB228" s="9"/>
      <c r="VUC228" s="4"/>
      <c r="VUD228" s="9"/>
      <c r="VUE228" s="4"/>
      <c r="VUF228" s="9"/>
      <c r="VUG228" s="4"/>
      <c r="VUH228" s="9"/>
      <c r="VUI228" s="4"/>
      <c r="VUJ228" s="9"/>
      <c r="VUK228" s="4"/>
      <c r="VUL228" s="9"/>
      <c r="VUM228" s="4"/>
      <c r="VUN228" s="9"/>
      <c r="VUO228" s="4"/>
      <c r="VUP228" s="9"/>
      <c r="VUQ228" s="4"/>
      <c r="VUR228" s="9"/>
      <c r="VUS228" s="4"/>
      <c r="VUT228" s="9"/>
      <c r="VUU228" s="4"/>
      <c r="VUV228" s="9"/>
      <c r="VUW228" s="4"/>
      <c r="VUX228" s="9"/>
      <c r="VUY228" s="4"/>
      <c r="VUZ228" s="9"/>
      <c r="VVA228" s="4"/>
      <c r="VVB228" s="9"/>
      <c r="VVC228" s="4"/>
      <c r="VVD228" s="9"/>
      <c r="VVE228" s="4"/>
      <c r="VVF228" s="9"/>
      <c r="VVG228" s="4"/>
      <c r="VVH228" s="9"/>
      <c r="VVI228" s="4"/>
      <c r="VVJ228" s="9"/>
      <c r="VVK228" s="4"/>
      <c r="VVL228" s="9"/>
      <c r="VVM228" s="4"/>
      <c r="VVN228" s="9"/>
      <c r="VVO228" s="4"/>
      <c r="VVP228" s="9"/>
      <c r="VVQ228" s="4"/>
      <c r="VVR228" s="9"/>
      <c r="VVS228" s="4"/>
      <c r="VVT228" s="9"/>
      <c r="VVU228" s="4"/>
      <c r="VVV228" s="9"/>
      <c r="VVW228" s="4"/>
      <c r="VVX228" s="9"/>
      <c r="VVY228" s="4"/>
      <c r="VVZ228" s="9"/>
      <c r="VWA228" s="4"/>
      <c r="VWB228" s="9"/>
      <c r="VWC228" s="4"/>
      <c r="VWD228" s="9"/>
      <c r="VWE228" s="4"/>
      <c r="VWF228" s="9"/>
      <c r="VWG228" s="4"/>
      <c r="VWH228" s="9"/>
      <c r="VWI228" s="4"/>
      <c r="VWJ228" s="9"/>
      <c r="VWK228" s="4"/>
      <c r="VWL228" s="9"/>
      <c r="VWM228" s="4"/>
      <c r="VWN228" s="9"/>
      <c r="VWO228" s="4"/>
      <c r="VWP228" s="9"/>
      <c r="VWQ228" s="4"/>
      <c r="VWR228" s="9"/>
      <c r="VWS228" s="4"/>
      <c r="VWT228" s="9"/>
      <c r="VWU228" s="4"/>
      <c r="VWV228" s="9"/>
      <c r="VWW228" s="4"/>
      <c r="VWX228" s="9"/>
      <c r="VWY228" s="4"/>
      <c r="VWZ228" s="9"/>
      <c r="VXA228" s="4"/>
      <c r="VXB228" s="9"/>
      <c r="VXC228" s="4"/>
      <c r="VXD228" s="9"/>
      <c r="VXE228" s="4"/>
      <c r="VXF228" s="9"/>
      <c r="VXG228" s="4"/>
      <c r="VXH228" s="9"/>
      <c r="VXI228" s="4"/>
      <c r="VXJ228" s="9"/>
      <c r="VXK228" s="4"/>
      <c r="VXL228" s="9"/>
      <c r="VXM228" s="4"/>
      <c r="VXN228" s="9"/>
      <c r="VXO228" s="4"/>
      <c r="VXP228" s="9"/>
      <c r="VXQ228" s="4"/>
      <c r="VXR228" s="9"/>
      <c r="VXS228" s="4"/>
      <c r="VXT228" s="9"/>
      <c r="VXU228" s="4"/>
      <c r="VXV228" s="9"/>
      <c r="VXW228" s="4"/>
      <c r="VXX228" s="9"/>
      <c r="VXY228" s="4"/>
      <c r="VXZ228" s="9"/>
      <c r="VYA228" s="4"/>
      <c r="VYB228" s="9"/>
      <c r="VYC228" s="4"/>
      <c r="VYD228" s="9"/>
      <c r="VYE228" s="4"/>
      <c r="VYF228" s="9"/>
      <c r="VYG228" s="4"/>
      <c r="VYH228" s="9"/>
      <c r="VYI228" s="4"/>
      <c r="VYJ228" s="9"/>
      <c r="VYK228" s="4"/>
      <c r="VYL228" s="9"/>
      <c r="VYM228" s="4"/>
      <c r="VYN228" s="9"/>
      <c r="VYO228" s="4"/>
      <c r="VYP228" s="9"/>
      <c r="VYQ228" s="4"/>
      <c r="VYR228" s="9"/>
      <c r="VYS228" s="4"/>
      <c r="VYT228" s="9"/>
      <c r="VYU228" s="4"/>
      <c r="VYV228" s="9"/>
      <c r="VYW228" s="4"/>
      <c r="VYX228" s="9"/>
      <c r="VYY228" s="4"/>
      <c r="VYZ228" s="9"/>
      <c r="VZA228" s="4"/>
      <c r="VZB228" s="9"/>
      <c r="VZC228" s="4"/>
      <c r="VZD228" s="9"/>
      <c r="VZE228" s="4"/>
      <c r="VZF228" s="9"/>
      <c r="VZG228" s="4"/>
      <c r="VZH228" s="9"/>
      <c r="VZI228" s="4"/>
      <c r="VZJ228" s="9"/>
      <c r="VZK228" s="4"/>
      <c r="VZL228" s="9"/>
      <c r="VZM228" s="4"/>
      <c r="VZN228" s="9"/>
      <c r="VZO228" s="4"/>
      <c r="VZP228" s="9"/>
      <c r="VZQ228" s="4"/>
      <c r="VZR228" s="9"/>
      <c r="VZS228" s="4"/>
      <c r="VZT228" s="9"/>
      <c r="VZU228" s="4"/>
      <c r="VZV228" s="9"/>
      <c r="VZW228" s="4"/>
      <c r="VZX228" s="9"/>
      <c r="VZY228" s="4"/>
      <c r="VZZ228" s="9"/>
      <c r="WAA228" s="4"/>
      <c r="WAB228" s="9"/>
      <c r="WAC228" s="4"/>
      <c r="WAD228" s="9"/>
      <c r="WAE228" s="4"/>
      <c r="WAF228" s="9"/>
      <c r="WAG228" s="4"/>
      <c r="WAH228" s="9"/>
      <c r="WAI228" s="4"/>
      <c r="WAJ228" s="9"/>
      <c r="WAK228" s="4"/>
      <c r="WAL228" s="9"/>
      <c r="WAM228" s="4"/>
      <c r="WAN228" s="9"/>
      <c r="WAO228" s="4"/>
      <c r="WAP228" s="9"/>
      <c r="WAQ228" s="4"/>
      <c r="WAR228" s="9"/>
      <c r="WAS228" s="4"/>
      <c r="WAT228" s="9"/>
      <c r="WAU228" s="4"/>
      <c r="WAV228" s="9"/>
      <c r="WAW228" s="4"/>
      <c r="WAX228" s="9"/>
      <c r="WAY228" s="4"/>
      <c r="WAZ228" s="9"/>
      <c r="WBA228" s="4"/>
      <c r="WBB228" s="9"/>
      <c r="WBC228" s="4"/>
      <c r="WBD228" s="9"/>
      <c r="WBE228" s="4"/>
      <c r="WBF228" s="9"/>
      <c r="WBG228" s="4"/>
      <c r="WBH228" s="9"/>
      <c r="WBI228" s="4"/>
      <c r="WBJ228" s="9"/>
      <c r="WBK228" s="4"/>
      <c r="WBL228" s="9"/>
      <c r="WBM228" s="4"/>
      <c r="WBN228" s="9"/>
      <c r="WBO228" s="4"/>
      <c r="WBP228" s="9"/>
      <c r="WBQ228" s="4"/>
      <c r="WBR228" s="9"/>
      <c r="WBS228" s="4"/>
      <c r="WBT228" s="9"/>
      <c r="WBU228" s="4"/>
      <c r="WBV228" s="9"/>
      <c r="WBW228" s="4"/>
      <c r="WBX228" s="9"/>
      <c r="WBY228" s="4"/>
      <c r="WBZ228" s="9"/>
      <c r="WCA228" s="4"/>
      <c r="WCB228" s="9"/>
      <c r="WCC228" s="4"/>
      <c r="WCD228" s="9"/>
      <c r="WCE228" s="4"/>
      <c r="WCF228" s="9"/>
      <c r="WCG228" s="4"/>
      <c r="WCH228" s="9"/>
      <c r="WCI228" s="4"/>
      <c r="WCJ228" s="9"/>
      <c r="WCK228" s="4"/>
      <c r="WCL228" s="9"/>
      <c r="WCM228" s="4"/>
      <c r="WCN228" s="9"/>
      <c r="WCO228" s="4"/>
      <c r="WCP228" s="9"/>
      <c r="WCQ228" s="4"/>
      <c r="WCR228" s="9"/>
      <c r="WCS228" s="4"/>
      <c r="WCT228" s="9"/>
      <c r="WCU228" s="4"/>
      <c r="WCV228" s="9"/>
      <c r="WCW228" s="4"/>
      <c r="WCX228" s="9"/>
      <c r="WCY228" s="4"/>
      <c r="WCZ228" s="9"/>
      <c r="WDA228" s="4"/>
      <c r="WDB228" s="9"/>
      <c r="WDC228" s="4"/>
      <c r="WDD228" s="9"/>
      <c r="WDE228" s="4"/>
      <c r="WDF228" s="9"/>
      <c r="WDG228" s="4"/>
      <c r="WDH228" s="9"/>
      <c r="WDI228" s="4"/>
      <c r="WDJ228" s="9"/>
      <c r="WDK228" s="4"/>
      <c r="WDL228" s="9"/>
      <c r="WDM228" s="4"/>
      <c r="WDN228" s="9"/>
      <c r="WDO228" s="4"/>
      <c r="WDP228" s="9"/>
      <c r="WDQ228" s="4"/>
      <c r="WDR228" s="9"/>
      <c r="WDS228" s="4"/>
      <c r="WDT228" s="9"/>
      <c r="WDU228" s="4"/>
      <c r="WDV228" s="9"/>
      <c r="WDW228" s="4"/>
      <c r="WDX228" s="9"/>
      <c r="WDY228" s="4"/>
      <c r="WDZ228" s="9"/>
      <c r="WEA228" s="4"/>
      <c r="WEB228" s="9"/>
      <c r="WEC228" s="4"/>
      <c r="WED228" s="9"/>
      <c r="WEE228" s="4"/>
      <c r="WEF228" s="9"/>
      <c r="WEG228" s="4"/>
      <c r="WEH228" s="9"/>
      <c r="WEI228" s="4"/>
      <c r="WEJ228" s="9"/>
      <c r="WEK228" s="4"/>
      <c r="WEL228" s="9"/>
      <c r="WEM228" s="4"/>
      <c r="WEN228" s="9"/>
      <c r="WEO228" s="4"/>
      <c r="WEP228" s="9"/>
      <c r="WEQ228" s="4"/>
      <c r="WER228" s="9"/>
      <c r="WES228" s="4"/>
      <c r="WET228" s="9"/>
      <c r="WEU228" s="4"/>
      <c r="WEV228" s="9"/>
      <c r="WEW228" s="4"/>
      <c r="WEX228" s="9"/>
      <c r="WEY228" s="4"/>
      <c r="WEZ228" s="9"/>
      <c r="WFA228" s="4"/>
      <c r="WFB228" s="9"/>
      <c r="WFC228" s="4"/>
      <c r="WFD228" s="9"/>
      <c r="WFE228" s="4"/>
      <c r="WFF228" s="9"/>
      <c r="WFG228" s="4"/>
      <c r="WFH228" s="9"/>
      <c r="WFI228" s="4"/>
      <c r="WFJ228" s="9"/>
      <c r="WFK228" s="4"/>
      <c r="WFL228" s="9"/>
      <c r="WFM228" s="4"/>
      <c r="WFN228" s="9"/>
      <c r="WFO228" s="4"/>
      <c r="WFP228" s="9"/>
      <c r="WFQ228" s="4"/>
      <c r="WFR228" s="9"/>
      <c r="WFS228" s="4"/>
      <c r="WFT228" s="9"/>
      <c r="WFU228" s="4"/>
      <c r="WFV228" s="9"/>
      <c r="WFW228" s="4"/>
      <c r="WFX228" s="9"/>
      <c r="WFY228" s="4"/>
      <c r="WFZ228" s="9"/>
      <c r="WGA228" s="4"/>
      <c r="WGB228" s="9"/>
      <c r="WGC228" s="4"/>
      <c r="WGD228" s="9"/>
      <c r="WGE228" s="4"/>
      <c r="WGF228" s="9"/>
      <c r="WGG228" s="4"/>
      <c r="WGH228" s="9"/>
      <c r="WGI228" s="4"/>
      <c r="WGJ228" s="9"/>
      <c r="WGK228" s="4"/>
      <c r="WGL228" s="9"/>
      <c r="WGM228" s="4"/>
      <c r="WGN228" s="9"/>
      <c r="WGO228" s="4"/>
      <c r="WGP228" s="9"/>
      <c r="WGQ228" s="4"/>
      <c r="WGR228" s="9"/>
      <c r="WGS228" s="4"/>
      <c r="WGT228" s="9"/>
      <c r="WGU228" s="4"/>
      <c r="WGV228" s="9"/>
      <c r="WGW228" s="4"/>
      <c r="WGX228" s="9"/>
      <c r="WGY228" s="4"/>
      <c r="WGZ228" s="9"/>
      <c r="WHA228" s="4"/>
      <c r="WHB228" s="9"/>
      <c r="WHC228" s="4"/>
      <c r="WHD228" s="9"/>
      <c r="WHE228" s="4"/>
      <c r="WHF228" s="9"/>
      <c r="WHG228" s="4"/>
      <c r="WHH228" s="9"/>
      <c r="WHI228" s="4"/>
      <c r="WHJ228" s="9"/>
      <c r="WHK228" s="4"/>
      <c r="WHL228" s="9"/>
      <c r="WHM228" s="4"/>
      <c r="WHN228" s="9"/>
      <c r="WHO228" s="4"/>
      <c r="WHP228" s="9"/>
      <c r="WHQ228" s="4"/>
      <c r="WHR228" s="9"/>
      <c r="WHS228" s="4"/>
      <c r="WHT228" s="9"/>
      <c r="WHU228" s="4"/>
      <c r="WHV228" s="9"/>
      <c r="WHW228" s="4"/>
      <c r="WHX228" s="9"/>
      <c r="WHY228" s="4"/>
      <c r="WHZ228" s="9"/>
      <c r="WIA228" s="4"/>
      <c r="WIB228" s="9"/>
      <c r="WIC228" s="4"/>
      <c r="WID228" s="9"/>
      <c r="WIE228" s="4"/>
      <c r="WIF228" s="9"/>
      <c r="WIG228" s="4"/>
      <c r="WIH228" s="9"/>
      <c r="WII228" s="4"/>
      <c r="WIJ228" s="9"/>
      <c r="WIK228" s="4"/>
      <c r="WIL228" s="9"/>
      <c r="WIM228" s="4"/>
      <c r="WIN228" s="9"/>
      <c r="WIO228" s="4"/>
      <c r="WIP228" s="9"/>
      <c r="WIQ228" s="4"/>
      <c r="WIR228" s="9"/>
      <c r="WIS228" s="4"/>
      <c r="WIT228" s="9"/>
      <c r="WIU228" s="4"/>
      <c r="WIV228" s="9"/>
      <c r="WIW228" s="4"/>
      <c r="WIX228" s="9"/>
      <c r="WIY228" s="4"/>
      <c r="WIZ228" s="9"/>
      <c r="WJA228" s="4"/>
      <c r="WJB228" s="9"/>
      <c r="WJC228" s="4"/>
      <c r="WJD228" s="9"/>
      <c r="WJE228" s="4"/>
      <c r="WJF228" s="9"/>
      <c r="WJG228" s="4"/>
      <c r="WJH228" s="9"/>
      <c r="WJI228" s="4"/>
      <c r="WJJ228" s="9"/>
      <c r="WJK228" s="4"/>
      <c r="WJL228" s="9"/>
      <c r="WJM228" s="4"/>
      <c r="WJN228" s="9"/>
      <c r="WJO228" s="4"/>
      <c r="WJP228" s="9"/>
      <c r="WJQ228" s="4"/>
      <c r="WJR228" s="9"/>
      <c r="WJS228" s="4"/>
      <c r="WJT228" s="9"/>
      <c r="WJU228" s="4"/>
      <c r="WJV228" s="9"/>
      <c r="WJW228" s="4"/>
      <c r="WJX228" s="9"/>
      <c r="WJY228" s="4"/>
      <c r="WJZ228" s="9"/>
      <c r="WKA228" s="4"/>
      <c r="WKB228" s="9"/>
      <c r="WKC228" s="4"/>
      <c r="WKD228" s="9"/>
      <c r="WKE228" s="4"/>
      <c r="WKF228" s="9"/>
      <c r="WKG228" s="4"/>
      <c r="WKH228" s="9"/>
      <c r="WKI228" s="4"/>
      <c r="WKJ228" s="9"/>
      <c r="WKK228" s="4"/>
      <c r="WKL228" s="9"/>
      <c r="WKM228" s="4"/>
      <c r="WKN228" s="9"/>
      <c r="WKO228" s="4"/>
      <c r="WKP228" s="9"/>
      <c r="WKQ228" s="4"/>
      <c r="WKR228" s="9"/>
      <c r="WKS228" s="4"/>
      <c r="WKT228" s="9"/>
      <c r="WKU228" s="4"/>
      <c r="WKV228" s="9"/>
      <c r="WKW228" s="4"/>
      <c r="WKX228" s="9"/>
      <c r="WKY228" s="4"/>
      <c r="WKZ228" s="9"/>
      <c r="WLA228" s="4"/>
      <c r="WLB228" s="9"/>
      <c r="WLC228" s="4"/>
      <c r="WLD228" s="9"/>
      <c r="WLE228" s="4"/>
      <c r="WLF228" s="9"/>
      <c r="WLG228" s="4"/>
      <c r="WLH228" s="9"/>
      <c r="WLI228" s="4"/>
      <c r="WLJ228" s="9"/>
      <c r="WLK228" s="4"/>
      <c r="WLL228" s="9"/>
      <c r="WLM228" s="4"/>
      <c r="WLN228" s="9"/>
      <c r="WLO228" s="4"/>
      <c r="WLP228" s="9"/>
      <c r="WLQ228" s="4"/>
      <c r="WLR228" s="9"/>
      <c r="WLS228" s="4"/>
      <c r="WLT228" s="9"/>
      <c r="WLU228" s="4"/>
      <c r="WLV228" s="9"/>
      <c r="WLW228" s="4"/>
      <c r="WLX228" s="9"/>
      <c r="WLY228" s="4"/>
      <c r="WLZ228" s="9"/>
      <c r="WMA228" s="4"/>
      <c r="WMB228" s="9"/>
      <c r="WMC228" s="4"/>
      <c r="WMD228" s="9"/>
      <c r="WME228" s="4"/>
      <c r="WMF228" s="9"/>
      <c r="WMG228" s="4"/>
      <c r="WMH228" s="9"/>
      <c r="WMI228" s="4"/>
      <c r="WMJ228" s="9"/>
      <c r="WMK228" s="4"/>
      <c r="WML228" s="9"/>
      <c r="WMM228" s="4"/>
      <c r="WMN228" s="9"/>
      <c r="WMO228" s="4"/>
      <c r="WMP228" s="9"/>
      <c r="WMQ228" s="4"/>
      <c r="WMR228" s="9"/>
      <c r="WMS228" s="4"/>
      <c r="WMT228" s="9"/>
      <c r="WMU228" s="4"/>
      <c r="WMV228" s="9"/>
      <c r="WMW228" s="4"/>
      <c r="WMX228" s="9"/>
      <c r="WMY228" s="4"/>
      <c r="WMZ228" s="9"/>
      <c r="WNA228" s="4"/>
      <c r="WNB228" s="9"/>
      <c r="WNC228" s="4"/>
      <c r="WND228" s="9"/>
      <c r="WNE228" s="4"/>
      <c r="WNF228" s="9"/>
      <c r="WNG228" s="4"/>
      <c r="WNH228" s="9"/>
      <c r="WNI228" s="4"/>
      <c r="WNJ228" s="9"/>
      <c r="WNK228" s="4"/>
      <c r="WNL228" s="9"/>
      <c r="WNM228" s="4"/>
      <c r="WNN228" s="9"/>
      <c r="WNO228" s="4"/>
      <c r="WNP228" s="9"/>
      <c r="WNQ228" s="4"/>
      <c r="WNR228" s="9"/>
      <c r="WNS228" s="4"/>
      <c r="WNT228" s="9"/>
      <c r="WNU228" s="4"/>
      <c r="WNV228" s="9"/>
      <c r="WNW228" s="4"/>
      <c r="WNX228" s="9"/>
      <c r="WNY228" s="4"/>
      <c r="WNZ228" s="9"/>
      <c r="WOA228" s="4"/>
      <c r="WOB228" s="9"/>
      <c r="WOC228" s="4"/>
      <c r="WOD228" s="9"/>
      <c r="WOE228" s="4"/>
      <c r="WOF228" s="9"/>
      <c r="WOG228" s="4"/>
      <c r="WOH228" s="9"/>
      <c r="WOI228" s="4"/>
      <c r="WOJ228" s="9"/>
      <c r="WOK228" s="4"/>
      <c r="WOL228" s="9"/>
      <c r="WOM228" s="4"/>
      <c r="WON228" s="9"/>
      <c r="WOO228" s="4"/>
      <c r="WOP228" s="9"/>
      <c r="WOQ228" s="4"/>
      <c r="WOR228" s="9"/>
      <c r="WOS228" s="4"/>
      <c r="WOT228" s="9"/>
      <c r="WOU228" s="4"/>
      <c r="WOV228" s="9"/>
      <c r="WOW228" s="4"/>
      <c r="WOX228" s="9"/>
      <c r="WOY228" s="4"/>
      <c r="WOZ228" s="9"/>
      <c r="WPA228" s="4"/>
      <c r="WPB228" s="9"/>
      <c r="WPC228" s="4"/>
      <c r="WPD228" s="9"/>
      <c r="WPE228" s="4"/>
      <c r="WPF228" s="9"/>
      <c r="WPG228" s="4"/>
      <c r="WPH228" s="9"/>
      <c r="WPI228" s="4"/>
      <c r="WPJ228" s="9"/>
      <c r="WPK228" s="4"/>
      <c r="WPL228" s="9"/>
      <c r="WPM228" s="4"/>
      <c r="WPN228" s="9"/>
      <c r="WPO228" s="4"/>
      <c r="WPP228" s="9"/>
      <c r="WPQ228" s="4"/>
      <c r="WPR228" s="9"/>
      <c r="WPS228" s="4"/>
      <c r="WPT228" s="9"/>
      <c r="WPU228" s="4"/>
      <c r="WPV228" s="9"/>
      <c r="WPW228" s="4"/>
      <c r="WPX228" s="9"/>
      <c r="WPY228" s="4"/>
      <c r="WPZ228" s="9"/>
      <c r="WQA228" s="4"/>
      <c r="WQB228" s="9"/>
      <c r="WQC228" s="4"/>
      <c r="WQD228" s="9"/>
      <c r="WQE228" s="4"/>
      <c r="WQF228" s="9"/>
      <c r="WQG228" s="4"/>
      <c r="WQH228" s="9"/>
      <c r="WQI228" s="4"/>
      <c r="WQJ228" s="9"/>
      <c r="WQK228" s="4"/>
      <c r="WQL228" s="9"/>
      <c r="WQM228" s="4"/>
      <c r="WQN228" s="9"/>
      <c r="WQO228" s="4"/>
      <c r="WQP228" s="9"/>
      <c r="WQQ228" s="4"/>
      <c r="WQR228" s="9"/>
      <c r="WQS228" s="4"/>
      <c r="WQT228" s="9"/>
      <c r="WQU228" s="4"/>
      <c r="WQV228" s="9"/>
      <c r="WQW228" s="4"/>
      <c r="WQX228" s="9"/>
      <c r="WQY228" s="4"/>
      <c r="WQZ228" s="9"/>
      <c r="WRA228" s="4"/>
      <c r="WRB228" s="9"/>
      <c r="WRC228" s="4"/>
      <c r="WRD228" s="9"/>
      <c r="WRE228" s="4"/>
      <c r="WRF228" s="9"/>
      <c r="WRG228" s="4"/>
      <c r="WRH228" s="9"/>
      <c r="WRI228" s="4"/>
      <c r="WRJ228" s="9"/>
      <c r="WRK228" s="4"/>
      <c r="WRL228" s="9"/>
      <c r="WRM228" s="4"/>
      <c r="WRN228" s="9"/>
      <c r="WRO228" s="4"/>
      <c r="WRP228" s="9"/>
      <c r="WRQ228" s="4"/>
      <c r="WRR228" s="9"/>
      <c r="WRS228" s="4"/>
      <c r="WRT228" s="9"/>
      <c r="WRU228" s="4"/>
      <c r="WRV228" s="9"/>
      <c r="WRW228" s="4"/>
      <c r="WRX228" s="9"/>
      <c r="WRY228" s="4"/>
      <c r="WRZ228" s="9"/>
      <c r="WSA228" s="4"/>
      <c r="WSB228" s="9"/>
      <c r="WSC228" s="4"/>
      <c r="WSD228" s="9"/>
      <c r="WSE228" s="4"/>
      <c r="WSF228" s="9"/>
      <c r="WSG228" s="4"/>
      <c r="WSH228" s="9"/>
      <c r="WSI228" s="4"/>
      <c r="WSJ228" s="9"/>
      <c r="WSK228" s="4"/>
      <c r="WSL228" s="9"/>
      <c r="WSM228" s="4"/>
      <c r="WSN228" s="9"/>
      <c r="WSO228" s="4"/>
      <c r="WSP228" s="9"/>
      <c r="WSQ228" s="4"/>
      <c r="WSR228" s="9"/>
      <c r="WSS228" s="4"/>
      <c r="WST228" s="9"/>
      <c r="WSU228" s="4"/>
      <c r="WSV228" s="9"/>
      <c r="WSW228" s="4"/>
      <c r="WSX228" s="9"/>
      <c r="WSY228" s="4"/>
      <c r="WSZ228" s="9"/>
      <c r="WTA228" s="4"/>
      <c r="WTB228" s="9"/>
      <c r="WTC228" s="4"/>
      <c r="WTD228" s="9"/>
      <c r="WTE228" s="4"/>
      <c r="WTF228" s="9"/>
      <c r="WTG228" s="4"/>
      <c r="WTH228" s="9"/>
      <c r="WTI228" s="4"/>
      <c r="WTJ228" s="9"/>
      <c r="WTK228" s="4"/>
      <c r="WTL228" s="9"/>
      <c r="WTM228" s="4"/>
      <c r="WTN228" s="9"/>
      <c r="WTO228" s="4"/>
      <c r="WTP228" s="9"/>
      <c r="WTQ228" s="4"/>
      <c r="WTR228" s="9"/>
      <c r="WTS228" s="4"/>
      <c r="WTT228" s="9"/>
      <c r="WTU228" s="4"/>
      <c r="WTV228" s="9"/>
      <c r="WTW228" s="4"/>
      <c r="WTX228" s="9"/>
      <c r="WTY228" s="4"/>
      <c r="WTZ228" s="9"/>
      <c r="WUA228" s="4"/>
      <c r="WUB228" s="9"/>
      <c r="WUC228" s="4"/>
      <c r="WUD228" s="9"/>
      <c r="WUE228" s="4"/>
      <c r="WUF228" s="9"/>
      <c r="WUG228" s="4"/>
      <c r="WUH228" s="9"/>
      <c r="WUI228" s="4"/>
      <c r="WUJ228" s="9"/>
      <c r="WUK228" s="4"/>
      <c r="WUL228" s="9"/>
      <c r="WUM228" s="4"/>
      <c r="WUN228" s="9"/>
      <c r="WUO228" s="4"/>
      <c r="WUP228" s="9"/>
      <c r="WUQ228" s="4"/>
      <c r="WUR228" s="9"/>
      <c r="WUS228" s="4"/>
      <c r="WUT228" s="9"/>
      <c r="WUU228" s="4"/>
      <c r="WUV228" s="9"/>
      <c r="WUW228" s="4"/>
      <c r="WUX228" s="9"/>
      <c r="WUY228" s="4"/>
      <c r="WUZ228" s="9"/>
      <c r="WVA228" s="4"/>
      <c r="WVB228" s="9"/>
      <c r="WVC228" s="4"/>
      <c r="WVD228" s="9"/>
      <c r="WVE228" s="4"/>
      <c r="WVF228" s="9"/>
      <c r="WVG228" s="4"/>
      <c r="WVH228" s="9"/>
      <c r="WVI228" s="4"/>
      <c r="WVJ228" s="9"/>
      <c r="WVK228" s="4"/>
      <c r="WVL228" s="9"/>
      <c r="WVM228" s="4"/>
      <c r="WVN228" s="9"/>
      <c r="WVO228" s="4"/>
      <c r="WVP228" s="9"/>
      <c r="WVQ228" s="4"/>
      <c r="WVR228" s="9"/>
      <c r="WVS228" s="4"/>
      <c r="WVT228" s="9"/>
      <c r="WVU228" s="4"/>
      <c r="WVV228" s="9"/>
      <c r="WVW228" s="4"/>
      <c r="WVX228" s="9"/>
      <c r="WVY228" s="4"/>
      <c r="WVZ228" s="9"/>
      <c r="WWA228" s="4"/>
      <c r="WWB228" s="9"/>
      <c r="WWC228" s="4"/>
      <c r="WWD228" s="9"/>
      <c r="WWE228" s="4"/>
      <c r="WWF228" s="9"/>
      <c r="WWG228" s="4"/>
      <c r="WWH228" s="9"/>
      <c r="WWI228" s="4"/>
      <c r="WWJ228" s="9"/>
      <c r="WWK228" s="4"/>
      <c r="WWL228" s="9"/>
      <c r="WWM228" s="4"/>
      <c r="WWN228" s="9"/>
      <c r="WWO228" s="4"/>
      <c r="WWP228" s="9"/>
      <c r="WWQ228" s="4"/>
      <c r="WWR228" s="9"/>
      <c r="WWS228" s="4"/>
      <c r="WWT228" s="9"/>
      <c r="WWU228" s="4"/>
      <c r="WWV228" s="9"/>
      <c r="WWW228" s="4"/>
      <c r="WWX228" s="9"/>
      <c r="WWY228" s="4"/>
      <c r="WWZ228" s="9"/>
      <c r="WXA228" s="4"/>
      <c r="WXB228" s="9"/>
      <c r="WXC228" s="4"/>
      <c r="WXD228" s="9"/>
      <c r="WXE228" s="4"/>
      <c r="WXF228" s="9"/>
      <c r="WXG228" s="4"/>
      <c r="WXH228" s="9"/>
      <c r="WXI228" s="4"/>
      <c r="WXJ228" s="9"/>
      <c r="WXK228" s="4"/>
      <c r="WXL228" s="9"/>
      <c r="WXM228" s="4"/>
      <c r="WXN228" s="9"/>
      <c r="WXO228" s="4"/>
      <c r="WXP228" s="9"/>
      <c r="WXQ228" s="4"/>
      <c r="WXR228" s="9"/>
      <c r="WXS228" s="4"/>
      <c r="WXT228" s="9"/>
      <c r="WXU228" s="4"/>
      <c r="WXV228" s="9"/>
      <c r="WXW228" s="4"/>
      <c r="WXX228" s="9"/>
      <c r="WXY228" s="4"/>
      <c r="WXZ228" s="9"/>
      <c r="WYA228" s="4"/>
      <c r="WYB228" s="9"/>
      <c r="WYC228" s="4"/>
      <c r="WYD228" s="9"/>
      <c r="WYE228" s="4"/>
      <c r="WYF228" s="9"/>
      <c r="WYG228" s="4"/>
      <c r="WYH228" s="9"/>
      <c r="WYI228" s="4"/>
      <c r="WYJ228" s="9"/>
      <c r="WYK228" s="4"/>
      <c r="WYL228" s="9"/>
      <c r="WYM228" s="4"/>
      <c r="WYN228" s="9"/>
      <c r="WYO228" s="4"/>
      <c r="WYP228" s="9"/>
      <c r="WYQ228" s="4"/>
      <c r="WYR228" s="9"/>
      <c r="WYS228" s="4"/>
      <c r="WYT228" s="9"/>
      <c r="WYU228" s="4"/>
      <c r="WYV228" s="9"/>
      <c r="WYW228" s="4"/>
      <c r="WYX228" s="9"/>
      <c r="WYY228" s="4"/>
      <c r="WYZ228" s="9"/>
      <c r="WZA228" s="4"/>
      <c r="WZB228" s="9"/>
      <c r="WZC228" s="4"/>
      <c r="WZD228" s="9"/>
      <c r="WZE228" s="4"/>
      <c r="WZF228" s="9"/>
      <c r="WZG228" s="4"/>
      <c r="WZH228" s="9"/>
      <c r="WZI228" s="4"/>
      <c r="WZJ228" s="9"/>
      <c r="WZK228" s="4"/>
      <c r="WZL228" s="9"/>
      <c r="WZM228" s="4"/>
      <c r="WZN228" s="9"/>
      <c r="WZO228" s="4"/>
      <c r="WZP228" s="9"/>
      <c r="WZQ228" s="4"/>
      <c r="WZR228" s="9"/>
      <c r="WZS228" s="4"/>
      <c r="WZT228" s="9"/>
      <c r="WZU228" s="4"/>
      <c r="WZV228" s="9"/>
      <c r="WZW228" s="4"/>
      <c r="WZX228" s="9"/>
      <c r="WZY228" s="4"/>
      <c r="WZZ228" s="9"/>
      <c r="XAA228" s="4"/>
      <c r="XAB228" s="9"/>
      <c r="XAC228" s="4"/>
      <c r="XAD228" s="9"/>
      <c r="XAE228" s="4"/>
      <c r="XAF228" s="9"/>
      <c r="XAG228" s="4"/>
      <c r="XAH228" s="9"/>
      <c r="XAI228" s="4"/>
      <c r="XAJ228" s="9"/>
      <c r="XAK228" s="4"/>
      <c r="XAL228" s="9"/>
      <c r="XAM228" s="4"/>
      <c r="XAN228" s="9"/>
      <c r="XAO228" s="4"/>
      <c r="XAP228" s="9"/>
      <c r="XAQ228" s="4"/>
      <c r="XAR228" s="9"/>
      <c r="XAS228" s="4"/>
      <c r="XAT228" s="9"/>
      <c r="XAU228" s="4"/>
      <c r="XAV228" s="9"/>
      <c r="XAW228" s="4"/>
      <c r="XAX228" s="9"/>
      <c r="XAY228" s="4"/>
      <c r="XAZ228" s="9"/>
      <c r="XBA228" s="4"/>
      <c r="XBB228" s="9"/>
      <c r="XBC228" s="4"/>
      <c r="XBD228" s="9"/>
      <c r="XBE228" s="4"/>
      <c r="XBF228" s="9"/>
      <c r="XBG228" s="4"/>
      <c r="XBH228" s="9"/>
      <c r="XBI228" s="4"/>
      <c r="XBJ228" s="9"/>
      <c r="XBK228" s="4"/>
      <c r="XBL228" s="9"/>
      <c r="XBM228" s="4"/>
      <c r="XBN228" s="9"/>
      <c r="XBO228" s="4"/>
      <c r="XBP228" s="9"/>
      <c r="XBQ228" s="4"/>
      <c r="XBR228" s="9"/>
      <c r="XBS228" s="4"/>
      <c r="XBT228" s="9"/>
      <c r="XBU228" s="4"/>
      <c r="XBV228" s="9"/>
      <c r="XBW228" s="4"/>
      <c r="XBX228" s="9"/>
      <c r="XBY228" s="4"/>
      <c r="XBZ228" s="9"/>
      <c r="XCA228" s="4"/>
      <c r="XCB228" s="9"/>
      <c r="XCC228" s="4"/>
      <c r="XCD228" s="9"/>
      <c r="XCE228" s="4"/>
      <c r="XCF228" s="9"/>
      <c r="XCG228" s="4"/>
      <c r="XCH228" s="9"/>
      <c r="XCI228" s="4"/>
      <c r="XCJ228" s="9"/>
      <c r="XCK228" s="4"/>
      <c r="XCL228" s="9"/>
      <c r="XCM228" s="4"/>
      <c r="XCN228" s="9"/>
      <c r="XCO228" s="4"/>
      <c r="XCP228" s="9"/>
      <c r="XCQ228" s="4"/>
      <c r="XCR228" s="9"/>
      <c r="XCS228" s="4"/>
      <c r="XCT228" s="9"/>
      <c r="XCU228" s="4"/>
      <c r="XCV228" s="9"/>
      <c r="XCW228" s="4"/>
      <c r="XCX228" s="9"/>
      <c r="XCY228" s="4"/>
      <c r="XCZ228" s="9"/>
      <c r="XDA228" s="4"/>
      <c r="XDB228" s="9"/>
      <c r="XDC228" s="4"/>
      <c r="XDD228" s="9"/>
      <c r="XDE228" s="4"/>
      <c r="XDF228" s="9"/>
      <c r="XDG228" s="4"/>
      <c r="XDH228" s="9"/>
      <c r="XDI228" s="4"/>
      <c r="XDJ228" s="9"/>
      <c r="XDK228" s="4"/>
      <c r="XDL228" s="9"/>
      <c r="XDM228" s="4"/>
      <c r="XDN228" s="9"/>
      <c r="XDO228" s="4"/>
      <c r="XDP228" s="9"/>
      <c r="XDQ228" s="4"/>
      <c r="XDR228" s="9"/>
      <c r="XDS228" s="4"/>
      <c r="XDT228" s="9"/>
      <c r="XDU228" s="4"/>
      <c r="XDV228" s="9"/>
      <c r="XDW228" s="4"/>
      <c r="XDX228" s="9"/>
      <c r="XDY228" s="4"/>
      <c r="XDZ228" s="9"/>
      <c r="XEA228" s="4"/>
      <c r="XEB228" s="9"/>
      <c r="XEC228" s="4"/>
      <c r="XED228" s="9"/>
      <c r="XEE228" s="4"/>
      <c r="XEF228" s="9"/>
      <c r="XEG228" s="4"/>
      <c r="XEH228" s="9"/>
      <c r="XEI228" s="4"/>
      <c r="XEJ228" s="9"/>
      <c r="XEK228" s="4"/>
      <c r="XEL228" s="9"/>
      <c r="XEM228" s="4"/>
      <c r="XEN228" s="9"/>
      <c r="XEO228" s="4"/>
      <c r="XEP228" s="9"/>
      <c r="XEQ228" s="4"/>
      <c r="XER228" s="9"/>
      <c r="XES228" s="4"/>
      <c r="XET228" s="9"/>
      <c r="XEU228" s="4"/>
      <c r="XEV228" s="9"/>
      <c r="XEW228" s="4"/>
      <c r="XEX228" s="9"/>
      <c r="XEY228" s="4"/>
      <c r="XEZ228" s="9"/>
      <c r="XFA228" s="4"/>
      <c r="XFB228" s="9"/>
      <c r="XFC228" s="4"/>
    </row>
    <row r="229" spans="1:16383">
      <c r="B229" s="75" t="str">
        <f>B43</f>
        <v>Secured Term Loan - EUR Tranche</v>
      </c>
    </row>
    <row r="230" spans="1:16383">
      <c r="B230" s="9" t="s">
        <v>125</v>
      </c>
      <c r="G230" s="51">
        <f>F233</f>
        <v>334.2</v>
      </c>
      <c r="H230" s="51">
        <f t="shared" ref="H230:K230" ca="1" si="126">G233</f>
        <v>334.2</v>
      </c>
      <c r="I230" s="51">
        <f t="shared" ca="1" si="126"/>
        <v>334.20000000000022</v>
      </c>
      <c r="J230" s="51">
        <f t="shared" ca="1" si="126"/>
        <v>334.2000000001542</v>
      </c>
      <c r="K230" s="51">
        <f t="shared" ca="1" si="126"/>
        <v>334.20000004764051</v>
      </c>
    </row>
    <row r="231" spans="1:16383">
      <c r="B231" s="9" t="s">
        <v>160</v>
      </c>
      <c r="G231" s="152">
        <f ca="1">MIN(G230*G235,G230,G211+G215-G222)</f>
        <v>0</v>
      </c>
      <c r="H231" s="152">
        <f t="shared" ref="H231:K231" ca="1" si="127">MIN(H230*H235,H230,H211+H215-H222)</f>
        <v>0</v>
      </c>
      <c r="I231" s="152">
        <f t="shared" ca="1" si="127"/>
        <v>0</v>
      </c>
      <c r="J231" s="152">
        <f t="shared" ca="1" si="127"/>
        <v>0</v>
      </c>
      <c r="K231" s="152">
        <f t="shared" ca="1" si="127"/>
        <v>0</v>
      </c>
    </row>
    <row r="232" spans="1:16383">
      <c r="B232" s="9" t="s">
        <v>161</v>
      </c>
      <c r="G232" s="22">
        <f ca="1">MIN(G236,G230-G231)</f>
        <v>0</v>
      </c>
      <c r="H232" s="22">
        <f t="shared" ref="H232:K232" ca="1" si="128">MIN(H236,H230-H231)</f>
        <v>5.6843418860808015E-14</v>
      </c>
      <c r="I232" s="22">
        <f t="shared" ca="1" si="128"/>
        <v>5.9657168094418012E-11</v>
      </c>
      <c r="J232" s="22">
        <f t="shared" ca="1" si="128"/>
        <v>1.9299875475553563E-8</v>
      </c>
      <c r="K232" s="22">
        <f t="shared" ca="1" si="128"/>
        <v>3.9456126614823006E-6</v>
      </c>
    </row>
    <row r="233" spans="1:16383">
      <c r="B233" s="92" t="s">
        <v>128</v>
      </c>
      <c r="F233" s="85">
        <f>D43</f>
        <v>334.2</v>
      </c>
      <c r="G233" s="49">
        <f ca="1">G230-G231-G232</f>
        <v>334.2</v>
      </c>
      <c r="H233" s="49">
        <f t="shared" ref="H233:K233" ca="1" si="129">H230-H231-H232</f>
        <v>334.19999999999993</v>
      </c>
      <c r="I233" s="49">
        <f t="shared" ca="1" si="129"/>
        <v>334.19999999994059</v>
      </c>
      <c r="J233" s="49">
        <f t="shared" ca="1" si="129"/>
        <v>334.19999998085433</v>
      </c>
      <c r="K233" s="49">
        <f t="shared" ca="1" si="129"/>
        <v>334.19999610202785</v>
      </c>
    </row>
    <row r="234" spans="1:16383">
      <c r="B234" s="92"/>
      <c r="F234" s="85"/>
      <c r="G234" s="49"/>
      <c r="H234" s="49"/>
      <c r="I234" s="49"/>
      <c r="J234" s="49"/>
      <c r="K234" s="49"/>
    </row>
    <row r="235" spans="1:16383">
      <c r="B235" s="135" t="s">
        <v>162</v>
      </c>
      <c r="C235" s="4"/>
      <c r="D235" s="9"/>
      <c r="E235" s="4"/>
      <c r="F235" s="9"/>
      <c r="G235" s="159">
        <v>0</v>
      </c>
      <c r="H235" s="159">
        <v>0</v>
      </c>
      <c r="I235" s="159">
        <v>0</v>
      </c>
      <c r="J235" s="159">
        <v>0</v>
      </c>
      <c r="K235" s="159">
        <v>0</v>
      </c>
    </row>
    <row r="236" spans="1:16383">
      <c r="B236" s="135" t="s">
        <v>163</v>
      </c>
      <c r="C236" s="4"/>
      <c r="D236" s="9"/>
      <c r="E236" s="63" t="s">
        <v>164</v>
      </c>
      <c r="F236" s="159">
        <v>1</v>
      </c>
      <c r="G236" s="160">
        <f ca="1">$F$236*(G212+G215-G223)</f>
        <v>0</v>
      </c>
      <c r="H236" s="160">
        <f t="shared" ref="H236:K236" ca="1" si="130">$F$236*(H212+H215-H223)</f>
        <v>0</v>
      </c>
      <c r="I236" s="160">
        <f t="shared" ca="1" si="130"/>
        <v>-2.2964741219766438E-11</v>
      </c>
      <c r="J236" s="160">
        <f t="shared" ca="1" si="130"/>
        <v>-7.7334334491752088E-9</v>
      </c>
      <c r="K236" s="160">
        <f t="shared" ca="1" si="130"/>
        <v>-1.6461410154988698E-6</v>
      </c>
    </row>
    <row r="238" spans="1:16383">
      <c r="B238" s="75" t="str">
        <f>B44</f>
        <v>Senior Notes</v>
      </c>
    </row>
    <row r="239" spans="1:16383">
      <c r="B239" s="9" t="s">
        <v>125</v>
      </c>
      <c r="G239" s="51">
        <f>F242</f>
        <v>800</v>
      </c>
      <c r="H239" s="51">
        <f t="shared" ref="H239:K239" ca="1" si="131">G242</f>
        <v>800</v>
      </c>
      <c r="I239" s="51">
        <f t="shared" ca="1" si="131"/>
        <v>800</v>
      </c>
      <c r="J239" s="51">
        <f t="shared" ca="1" si="131"/>
        <v>800</v>
      </c>
      <c r="K239" s="51">
        <f t="shared" ca="1" si="131"/>
        <v>800</v>
      </c>
    </row>
    <row r="240" spans="1:16383">
      <c r="B240" s="9" t="s">
        <v>160</v>
      </c>
      <c r="G240" s="152">
        <f>MIN(G239*G244,G239)</f>
        <v>0</v>
      </c>
      <c r="H240" s="152">
        <f t="shared" ref="H240:K240" ca="1" si="132">MIN(H239*H244,H239)</f>
        <v>0</v>
      </c>
      <c r="I240" s="152">
        <f t="shared" ca="1" si="132"/>
        <v>0</v>
      </c>
      <c r="J240" s="152">
        <f t="shared" ca="1" si="132"/>
        <v>0</v>
      </c>
      <c r="K240" s="152">
        <f t="shared" ca="1" si="132"/>
        <v>0</v>
      </c>
    </row>
    <row r="241" spans="2:16383">
      <c r="B241" s="9" t="s">
        <v>161</v>
      </c>
      <c r="G241" s="22">
        <f ca="1">MIN(G245,G239-G240)</f>
        <v>0</v>
      </c>
      <c r="H241" s="22">
        <f t="shared" ref="H241:K241" ca="1" si="133">MIN(H245,H239-H240)</f>
        <v>0</v>
      </c>
      <c r="I241" s="22">
        <f t="shared" ca="1" si="133"/>
        <v>0</v>
      </c>
      <c r="J241" s="22">
        <f t="shared" ca="1" si="133"/>
        <v>0</v>
      </c>
      <c r="K241" s="22">
        <f t="shared" ca="1" si="133"/>
        <v>0</v>
      </c>
    </row>
    <row r="242" spans="2:16383">
      <c r="B242" s="92" t="s">
        <v>128</v>
      </c>
      <c r="F242" s="85">
        <f>D44</f>
        <v>800</v>
      </c>
      <c r="G242" s="49">
        <f ca="1">G239-G240-G241</f>
        <v>800</v>
      </c>
      <c r="H242" s="49">
        <f t="shared" ref="H242:K242" ca="1" si="134">H239-H240-H241</f>
        <v>800</v>
      </c>
      <c r="I242" s="49">
        <f t="shared" ca="1" si="134"/>
        <v>800</v>
      </c>
      <c r="J242" s="49">
        <f t="shared" ca="1" si="134"/>
        <v>800</v>
      </c>
      <c r="K242" s="49">
        <f t="shared" ca="1" si="134"/>
        <v>800</v>
      </c>
    </row>
    <row r="243" spans="2:16383">
      <c r="B243" s="92"/>
      <c r="F243" s="85"/>
      <c r="G243" s="49"/>
      <c r="H243" s="49"/>
      <c r="I243" s="49"/>
      <c r="J243" s="49"/>
      <c r="K243" s="49"/>
    </row>
    <row r="244" spans="2:16383">
      <c r="B244" s="135" t="s">
        <v>162</v>
      </c>
      <c r="C244" s="4"/>
      <c r="D244" s="9"/>
      <c r="E244" s="4"/>
      <c r="F244" s="9"/>
      <c r="G244" s="159">
        <v>0</v>
      </c>
      <c r="H244" s="159">
        <v>0</v>
      </c>
      <c r="I244" s="159">
        <v>0</v>
      </c>
      <c r="J244" s="159">
        <v>0</v>
      </c>
      <c r="K244" s="159">
        <v>0</v>
      </c>
    </row>
    <row r="245" spans="2:16383">
      <c r="B245" s="135" t="s">
        <v>163</v>
      </c>
      <c r="C245" s="4"/>
      <c r="D245" s="9"/>
      <c r="E245" s="63" t="s">
        <v>164</v>
      </c>
      <c r="F245" s="159">
        <v>0</v>
      </c>
      <c r="G245" s="160">
        <f ca="1">$F$245*(G212+G215-G223-G232)</f>
        <v>0</v>
      </c>
      <c r="H245" s="160">
        <f t="shared" ref="H245:K245" ca="1" si="135">$F$245*(H212+H215-H223-H232)</f>
        <v>0</v>
      </c>
      <c r="I245" s="160">
        <f t="shared" ca="1" si="135"/>
        <v>0</v>
      </c>
      <c r="J245" s="160">
        <f t="shared" ca="1" si="135"/>
        <v>0</v>
      </c>
      <c r="K245" s="160">
        <f t="shared" ca="1" si="135"/>
        <v>0</v>
      </c>
    </row>
    <row r="246" spans="2:16383">
      <c r="B246" s="92"/>
      <c r="F246" s="85"/>
      <c r="G246" s="49"/>
      <c r="H246" s="49"/>
      <c r="I246" s="49"/>
      <c r="J246" s="49"/>
      <c r="K246" s="49"/>
    </row>
    <row r="247" spans="2:16383">
      <c r="B247" s="75" t="s">
        <v>64</v>
      </c>
      <c r="F247" s="85"/>
      <c r="G247" s="49"/>
      <c r="H247" s="49"/>
      <c r="I247" s="49"/>
      <c r="J247" s="49"/>
      <c r="K247" s="49"/>
    </row>
    <row r="248" spans="2:16383">
      <c r="B248" s="9" t="s">
        <v>125</v>
      </c>
      <c r="F248" s="85"/>
      <c r="G248" s="51">
        <f>F251</f>
        <v>0</v>
      </c>
      <c r="H248" s="51">
        <f t="shared" ref="H248:K248" si="136">G251</f>
        <v>0</v>
      </c>
      <c r="I248" s="51">
        <f t="shared" si="136"/>
        <v>0</v>
      </c>
      <c r="J248" s="51">
        <f t="shared" si="136"/>
        <v>0</v>
      </c>
      <c r="K248" s="51">
        <f t="shared" si="136"/>
        <v>0</v>
      </c>
    </row>
    <row r="249" spans="2:16383">
      <c r="B249" s="9" t="s">
        <v>160</v>
      </c>
      <c r="F249" s="85"/>
      <c r="G249" s="22">
        <f>MIN(G253*G248,G248)</f>
        <v>0</v>
      </c>
      <c r="H249" s="22">
        <f t="shared" ref="H249:K249" si="137">MIN(H253*H248,H248)</f>
        <v>0</v>
      </c>
      <c r="I249" s="22">
        <f t="shared" si="137"/>
        <v>0</v>
      </c>
      <c r="J249" s="22">
        <f t="shared" si="137"/>
        <v>0</v>
      </c>
      <c r="K249" s="22">
        <f t="shared" si="137"/>
        <v>0</v>
      </c>
    </row>
    <row r="250" spans="2:16383">
      <c r="B250" s="9" t="s">
        <v>138</v>
      </c>
      <c r="F250" s="85"/>
      <c r="G250" s="22" cm="1">
        <f t="array" ref="G250">IF(PIK=2,$L$32*(G248-G249),0)</f>
        <v>0</v>
      </c>
      <c r="H250" s="22" cm="1">
        <f t="array" ref="H250">IF(PIK=2,$L$32*(H248-H249),0)</f>
        <v>0</v>
      </c>
      <c r="I250" s="22" cm="1">
        <f t="array" ref="I250">IF(PIK=2,$L$32*(I248-I249),0)</f>
        <v>0</v>
      </c>
      <c r="J250" s="22" cm="1">
        <f t="array" ref="J250">IF(PIK=2,$L$32*(J248-J249),0)</f>
        <v>0</v>
      </c>
      <c r="K250" s="22" cm="1">
        <f t="array" ref="K250">IF(PIK=2,$L$32*(K248-K249),0)</f>
        <v>0</v>
      </c>
    </row>
    <row r="251" spans="2:16383">
      <c r="B251" s="92" t="s">
        <v>128</v>
      </c>
      <c r="C251" s="4"/>
      <c r="D251" s="9"/>
      <c r="E251" s="4"/>
      <c r="F251" s="176">
        <f>D45</f>
        <v>0</v>
      </c>
      <c r="G251" s="160">
        <f>G248-G249+G250</f>
        <v>0</v>
      </c>
      <c r="H251" s="160">
        <f t="shared" ref="H251:K251" si="138">H248-H249+H250</f>
        <v>0</v>
      </c>
      <c r="I251" s="160">
        <f t="shared" si="138"/>
        <v>0</v>
      </c>
      <c r="J251" s="160">
        <f t="shared" si="138"/>
        <v>0</v>
      </c>
      <c r="K251" s="160">
        <f t="shared" si="138"/>
        <v>0</v>
      </c>
      <c r="L251" s="9"/>
      <c r="M251" s="4"/>
      <c r="N251" s="9"/>
      <c r="O251" s="4"/>
      <c r="P251" s="9"/>
      <c r="Q251" s="4"/>
      <c r="R251" s="9"/>
      <c r="S251" s="4"/>
      <c r="T251" s="9"/>
      <c r="U251" s="4"/>
      <c r="V251" s="9"/>
      <c r="W251" s="4"/>
      <c r="X251" s="9"/>
      <c r="Y251" s="4"/>
      <c r="Z251" s="9"/>
      <c r="AA251" s="4"/>
      <c r="AB251" s="9"/>
      <c r="AC251" s="4"/>
      <c r="AD251" s="9"/>
      <c r="AE251" s="4"/>
      <c r="AF251" s="9"/>
      <c r="AG251" s="4"/>
      <c r="AH251" s="9"/>
      <c r="AI251" s="4"/>
      <c r="AJ251" s="9"/>
      <c r="AK251" s="4"/>
      <c r="AL251" s="9"/>
      <c r="AM251" s="4"/>
      <c r="AN251" s="9"/>
      <c r="AO251" s="4"/>
      <c r="AP251" s="9"/>
      <c r="AQ251" s="4"/>
      <c r="AR251" s="9"/>
      <c r="AS251" s="4"/>
      <c r="AT251" s="9"/>
      <c r="AU251" s="4"/>
      <c r="AV251" s="9"/>
      <c r="AW251" s="4"/>
      <c r="AX251" s="9"/>
      <c r="AY251" s="4"/>
      <c r="AZ251" s="9"/>
      <c r="BA251" s="4"/>
      <c r="BB251" s="9"/>
      <c r="BC251" s="4"/>
      <c r="BD251" s="9"/>
      <c r="BE251" s="4"/>
      <c r="BF251" s="9"/>
      <c r="BG251" s="4"/>
      <c r="BH251" s="9"/>
      <c r="BI251" s="4"/>
      <c r="BJ251" s="9"/>
      <c r="BK251" s="4"/>
      <c r="BL251" s="9"/>
      <c r="BM251" s="4"/>
      <c r="BN251" s="9"/>
      <c r="BO251" s="4"/>
      <c r="BP251" s="9"/>
      <c r="BQ251" s="4"/>
      <c r="BR251" s="9"/>
      <c r="BS251" s="4"/>
      <c r="BT251" s="9"/>
      <c r="BU251" s="4"/>
      <c r="BV251" s="9"/>
      <c r="BW251" s="4"/>
      <c r="BX251" s="9"/>
      <c r="BY251" s="4"/>
      <c r="BZ251" s="9"/>
      <c r="CA251" s="4"/>
      <c r="CB251" s="9"/>
      <c r="CC251" s="4"/>
      <c r="CD251" s="9"/>
      <c r="CE251" s="4"/>
      <c r="CF251" s="9"/>
      <c r="CG251" s="4"/>
      <c r="CH251" s="9"/>
      <c r="CI251" s="4"/>
      <c r="CJ251" s="9"/>
      <c r="CK251" s="4"/>
      <c r="CL251" s="9"/>
      <c r="CM251" s="4"/>
      <c r="CN251" s="9"/>
      <c r="CO251" s="4"/>
      <c r="CP251" s="9"/>
      <c r="CQ251" s="4"/>
      <c r="CR251" s="9"/>
      <c r="CS251" s="4"/>
      <c r="CT251" s="9"/>
      <c r="CU251" s="4"/>
      <c r="CV251" s="9"/>
      <c r="CW251" s="4"/>
      <c r="CX251" s="9"/>
      <c r="CY251" s="4"/>
      <c r="CZ251" s="9"/>
      <c r="DA251" s="4"/>
      <c r="DB251" s="9"/>
      <c r="DC251" s="4"/>
      <c r="DD251" s="9"/>
      <c r="DE251" s="4"/>
      <c r="DF251" s="9"/>
      <c r="DG251" s="4"/>
      <c r="DH251" s="9"/>
      <c r="DI251" s="4"/>
      <c r="DJ251" s="9"/>
      <c r="DK251" s="4"/>
      <c r="DL251" s="9"/>
      <c r="DM251" s="4"/>
      <c r="DN251" s="9"/>
      <c r="DO251" s="4"/>
      <c r="DP251" s="9"/>
      <c r="DQ251" s="4"/>
      <c r="DR251" s="9"/>
      <c r="DS251" s="4"/>
      <c r="DT251" s="9"/>
      <c r="DU251" s="4"/>
      <c r="DV251" s="9"/>
      <c r="DW251" s="4"/>
      <c r="DX251" s="9"/>
      <c r="DY251" s="4"/>
      <c r="DZ251" s="9"/>
      <c r="EA251" s="4"/>
      <c r="EB251" s="9"/>
      <c r="EC251" s="4"/>
      <c r="ED251" s="9"/>
      <c r="EE251" s="4"/>
      <c r="EF251" s="9"/>
      <c r="EG251" s="4"/>
      <c r="EH251" s="9"/>
      <c r="EI251" s="4"/>
      <c r="EJ251" s="9"/>
      <c r="EK251" s="4"/>
      <c r="EL251" s="9"/>
      <c r="EM251" s="4"/>
      <c r="EN251" s="9"/>
      <c r="EO251" s="4"/>
      <c r="EP251" s="9"/>
      <c r="EQ251" s="4"/>
      <c r="ER251" s="9"/>
      <c r="ES251" s="4"/>
      <c r="ET251" s="9"/>
      <c r="EU251" s="4"/>
      <c r="EV251" s="9"/>
      <c r="EW251" s="4"/>
      <c r="EX251" s="9"/>
      <c r="EY251" s="4"/>
      <c r="EZ251" s="9"/>
      <c r="FA251" s="4"/>
      <c r="FB251" s="9"/>
      <c r="FC251" s="4"/>
      <c r="FD251" s="9"/>
      <c r="FE251" s="4"/>
      <c r="FF251" s="9"/>
      <c r="FG251" s="4"/>
      <c r="FH251" s="9"/>
      <c r="FI251" s="4"/>
      <c r="FJ251" s="9"/>
      <c r="FK251" s="4"/>
      <c r="FL251" s="9"/>
      <c r="FM251" s="4"/>
      <c r="FN251" s="9"/>
      <c r="FO251" s="4"/>
      <c r="FP251" s="9"/>
      <c r="FQ251" s="4"/>
      <c r="FR251" s="9"/>
      <c r="FS251" s="4"/>
      <c r="FT251" s="9"/>
      <c r="FU251" s="4"/>
      <c r="FV251" s="9"/>
      <c r="FW251" s="4"/>
      <c r="FX251" s="9"/>
      <c r="FY251" s="4"/>
      <c r="FZ251" s="9"/>
      <c r="GA251" s="4"/>
      <c r="GB251" s="9"/>
      <c r="GC251" s="4"/>
      <c r="GD251" s="9"/>
      <c r="GE251" s="4"/>
      <c r="GF251" s="9"/>
      <c r="GG251" s="4"/>
      <c r="GH251" s="9"/>
      <c r="GI251" s="4"/>
      <c r="GJ251" s="9"/>
      <c r="GK251" s="4"/>
      <c r="GL251" s="9"/>
      <c r="GM251" s="4"/>
      <c r="GN251" s="9"/>
      <c r="GO251" s="4"/>
      <c r="GP251" s="9"/>
      <c r="GQ251" s="4"/>
      <c r="GR251" s="9"/>
      <c r="GS251" s="4"/>
      <c r="GT251" s="9"/>
      <c r="GU251" s="4"/>
      <c r="GV251" s="9"/>
      <c r="GW251" s="4"/>
      <c r="GX251" s="9"/>
      <c r="GY251" s="4"/>
      <c r="GZ251" s="9"/>
      <c r="HA251" s="4"/>
      <c r="HB251" s="9"/>
      <c r="HC251" s="4"/>
      <c r="HD251" s="9"/>
      <c r="HE251" s="4"/>
      <c r="HF251" s="9"/>
      <c r="HG251" s="4"/>
      <c r="HH251" s="9"/>
      <c r="HI251" s="4"/>
      <c r="HJ251" s="9"/>
      <c r="HK251" s="4"/>
      <c r="HL251" s="9"/>
      <c r="HM251" s="4"/>
      <c r="HN251" s="9"/>
      <c r="HO251" s="4"/>
      <c r="HP251" s="9"/>
      <c r="HQ251" s="4"/>
      <c r="HR251" s="9"/>
      <c r="HS251" s="4"/>
      <c r="HT251" s="9"/>
      <c r="HU251" s="4"/>
      <c r="HV251" s="9"/>
      <c r="HW251" s="4"/>
      <c r="HX251" s="9"/>
      <c r="HY251" s="4"/>
      <c r="HZ251" s="9"/>
      <c r="IA251" s="4"/>
      <c r="IB251" s="9"/>
      <c r="IC251" s="4"/>
      <c r="ID251" s="9"/>
      <c r="IE251" s="4"/>
      <c r="IF251" s="9"/>
      <c r="IG251" s="4"/>
      <c r="IH251" s="9"/>
      <c r="II251" s="4"/>
      <c r="IJ251" s="9"/>
      <c r="IK251" s="4"/>
      <c r="IL251" s="9"/>
      <c r="IM251" s="4"/>
      <c r="IN251" s="9"/>
      <c r="IO251" s="4"/>
      <c r="IP251" s="9"/>
      <c r="IQ251" s="4"/>
      <c r="IR251" s="9"/>
      <c r="IS251" s="4"/>
      <c r="IT251" s="9"/>
      <c r="IU251" s="4"/>
      <c r="IV251" s="9"/>
      <c r="IW251" s="4"/>
      <c r="IX251" s="9"/>
      <c r="IY251" s="4"/>
      <c r="IZ251" s="9"/>
      <c r="JA251" s="4"/>
      <c r="JB251" s="9"/>
      <c r="JC251" s="4"/>
      <c r="JD251" s="9"/>
      <c r="JE251" s="4"/>
      <c r="JF251" s="9"/>
      <c r="JG251" s="4"/>
      <c r="JH251" s="9"/>
      <c r="JI251" s="4"/>
      <c r="JJ251" s="9"/>
      <c r="JK251" s="4"/>
      <c r="JL251" s="9"/>
      <c r="JM251" s="4"/>
      <c r="JN251" s="9"/>
      <c r="JO251" s="4"/>
      <c r="JP251" s="9"/>
      <c r="JQ251" s="4"/>
      <c r="JR251" s="9"/>
      <c r="JS251" s="4"/>
      <c r="JT251" s="9"/>
      <c r="JU251" s="4"/>
      <c r="JV251" s="9"/>
      <c r="JW251" s="4"/>
      <c r="JX251" s="9"/>
      <c r="JY251" s="4"/>
      <c r="JZ251" s="9"/>
      <c r="KA251" s="4"/>
      <c r="KB251" s="9"/>
      <c r="KC251" s="4"/>
      <c r="KD251" s="9"/>
      <c r="KE251" s="4"/>
      <c r="KF251" s="9"/>
      <c r="KG251" s="4"/>
      <c r="KH251" s="9"/>
      <c r="KI251" s="4"/>
      <c r="KJ251" s="9"/>
      <c r="KK251" s="4"/>
      <c r="KL251" s="9"/>
      <c r="KM251" s="4"/>
      <c r="KN251" s="9"/>
      <c r="KO251" s="4"/>
      <c r="KP251" s="9"/>
      <c r="KQ251" s="4"/>
      <c r="KR251" s="9"/>
      <c r="KS251" s="4"/>
      <c r="KT251" s="9"/>
      <c r="KU251" s="4"/>
      <c r="KV251" s="9"/>
      <c r="KW251" s="4"/>
      <c r="KX251" s="9"/>
      <c r="KY251" s="4"/>
      <c r="KZ251" s="9"/>
      <c r="LA251" s="4"/>
      <c r="LB251" s="9"/>
      <c r="LC251" s="4"/>
      <c r="LD251" s="9"/>
      <c r="LE251" s="4"/>
      <c r="LF251" s="9"/>
      <c r="LG251" s="4"/>
      <c r="LH251" s="9"/>
      <c r="LI251" s="4"/>
      <c r="LJ251" s="9"/>
      <c r="LK251" s="4"/>
      <c r="LL251" s="9"/>
      <c r="LM251" s="4"/>
      <c r="LN251" s="9"/>
      <c r="LO251" s="4"/>
      <c r="LP251" s="9"/>
      <c r="LQ251" s="4"/>
      <c r="LR251" s="9"/>
      <c r="LS251" s="4"/>
      <c r="LT251" s="9"/>
      <c r="LU251" s="4"/>
      <c r="LV251" s="9"/>
      <c r="LW251" s="4"/>
      <c r="LX251" s="9"/>
      <c r="LY251" s="4"/>
      <c r="LZ251" s="9"/>
      <c r="MA251" s="4"/>
      <c r="MB251" s="9"/>
      <c r="MC251" s="4"/>
      <c r="MD251" s="9"/>
      <c r="ME251" s="4"/>
      <c r="MF251" s="9"/>
      <c r="MG251" s="4"/>
      <c r="MH251" s="9"/>
      <c r="MI251" s="4"/>
      <c r="MJ251" s="9"/>
      <c r="MK251" s="4"/>
      <c r="ML251" s="9"/>
      <c r="MM251" s="4"/>
      <c r="MN251" s="9"/>
      <c r="MO251" s="4"/>
      <c r="MP251" s="9"/>
      <c r="MQ251" s="4"/>
      <c r="MR251" s="9"/>
      <c r="MS251" s="4"/>
      <c r="MT251" s="9"/>
      <c r="MU251" s="4"/>
      <c r="MV251" s="9"/>
      <c r="MW251" s="4"/>
      <c r="MX251" s="9"/>
      <c r="MY251" s="4"/>
      <c r="MZ251" s="9"/>
      <c r="NA251" s="4"/>
      <c r="NB251" s="9"/>
      <c r="NC251" s="4"/>
      <c r="ND251" s="9"/>
      <c r="NE251" s="4"/>
      <c r="NF251" s="9"/>
      <c r="NG251" s="4"/>
      <c r="NH251" s="9"/>
      <c r="NI251" s="4"/>
      <c r="NJ251" s="9"/>
      <c r="NK251" s="4"/>
      <c r="NL251" s="9"/>
      <c r="NM251" s="4"/>
      <c r="NN251" s="9"/>
      <c r="NO251" s="4"/>
      <c r="NP251" s="9"/>
      <c r="NQ251" s="4"/>
      <c r="NR251" s="9"/>
      <c r="NS251" s="4"/>
      <c r="NT251" s="9"/>
      <c r="NU251" s="4"/>
      <c r="NV251" s="9"/>
      <c r="NW251" s="4"/>
      <c r="NX251" s="9"/>
      <c r="NY251" s="4"/>
      <c r="NZ251" s="9"/>
      <c r="OA251" s="4"/>
      <c r="OB251" s="9"/>
      <c r="OC251" s="4"/>
      <c r="OD251" s="9"/>
      <c r="OE251" s="4"/>
      <c r="OF251" s="9"/>
      <c r="OG251" s="4"/>
      <c r="OH251" s="9"/>
      <c r="OI251" s="4"/>
      <c r="OJ251" s="9"/>
      <c r="OK251" s="4"/>
      <c r="OL251" s="9"/>
      <c r="OM251" s="4"/>
      <c r="ON251" s="9"/>
      <c r="OO251" s="4"/>
      <c r="OP251" s="9"/>
      <c r="OQ251" s="4"/>
      <c r="OR251" s="9"/>
      <c r="OS251" s="4"/>
      <c r="OT251" s="9"/>
      <c r="OU251" s="4"/>
      <c r="OV251" s="9"/>
      <c r="OW251" s="4"/>
      <c r="OX251" s="9"/>
      <c r="OY251" s="4"/>
      <c r="OZ251" s="9"/>
      <c r="PA251" s="4"/>
      <c r="PB251" s="9"/>
      <c r="PC251" s="4"/>
      <c r="PD251" s="9"/>
      <c r="PE251" s="4"/>
      <c r="PF251" s="9"/>
      <c r="PG251" s="4"/>
      <c r="PH251" s="9"/>
      <c r="PI251" s="4"/>
      <c r="PJ251" s="9"/>
      <c r="PK251" s="4"/>
      <c r="PL251" s="9"/>
      <c r="PM251" s="4"/>
      <c r="PN251" s="9"/>
      <c r="PO251" s="4"/>
      <c r="PP251" s="9"/>
      <c r="PQ251" s="4"/>
      <c r="PR251" s="9"/>
      <c r="PS251" s="4"/>
      <c r="PT251" s="9"/>
      <c r="PU251" s="4"/>
      <c r="PV251" s="9"/>
      <c r="PW251" s="4"/>
      <c r="PX251" s="9"/>
      <c r="PY251" s="4"/>
      <c r="PZ251" s="9"/>
      <c r="QA251" s="4"/>
      <c r="QB251" s="9"/>
      <c r="QC251" s="4"/>
      <c r="QD251" s="9"/>
      <c r="QE251" s="4"/>
      <c r="QF251" s="9"/>
      <c r="QG251" s="4"/>
      <c r="QH251" s="9"/>
      <c r="QI251" s="4"/>
      <c r="QJ251" s="9"/>
      <c r="QK251" s="4"/>
      <c r="QL251" s="9"/>
      <c r="QM251" s="4"/>
      <c r="QN251" s="9"/>
      <c r="QO251" s="4"/>
      <c r="QP251" s="9"/>
      <c r="QQ251" s="4"/>
      <c r="QR251" s="9"/>
      <c r="QS251" s="4"/>
      <c r="QT251" s="9"/>
      <c r="QU251" s="4"/>
      <c r="QV251" s="9"/>
      <c r="QW251" s="4"/>
      <c r="QX251" s="9"/>
      <c r="QY251" s="4"/>
      <c r="QZ251" s="9"/>
      <c r="RA251" s="4"/>
      <c r="RB251" s="9"/>
      <c r="RC251" s="4"/>
      <c r="RD251" s="9"/>
      <c r="RE251" s="4"/>
      <c r="RF251" s="9"/>
      <c r="RG251" s="4"/>
      <c r="RH251" s="9"/>
      <c r="RI251" s="4"/>
      <c r="RJ251" s="9"/>
      <c r="RK251" s="4"/>
      <c r="RL251" s="9"/>
      <c r="RM251" s="4"/>
      <c r="RN251" s="9"/>
      <c r="RO251" s="4"/>
      <c r="RP251" s="9"/>
      <c r="RQ251" s="4"/>
      <c r="RR251" s="9"/>
      <c r="RS251" s="4"/>
      <c r="RT251" s="9"/>
      <c r="RU251" s="4"/>
      <c r="RV251" s="9"/>
      <c r="RW251" s="4"/>
      <c r="RX251" s="9"/>
      <c r="RY251" s="4"/>
      <c r="RZ251" s="9"/>
      <c r="SA251" s="4"/>
      <c r="SB251" s="9"/>
      <c r="SC251" s="4"/>
      <c r="SD251" s="9"/>
      <c r="SE251" s="4"/>
      <c r="SF251" s="9"/>
      <c r="SG251" s="4"/>
      <c r="SH251" s="9"/>
      <c r="SI251" s="4"/>
      <c r="SJ251" s="9"/>
      <c r="SK251" s="4"/>
      <c r="SL251" s="9"/>
      <c r="SM251" s="4"/>
      <c r="SN251" s="9"/>
      <c r="SO251" s="4"/>
      <c r="SP251" s="9"/>
      <c r="SQ251" s="4"/>
      <c r="SR251" s="9"/>
      <c r="SS251" s="4"/>
      <c r="ST251" s="9"/>
      <c r="SU251" s="4"/>
      <c r="SV251" s="9"/>
      <c r="SW251" s="4"/>
      <c r="SX251" s="9"/>
      <c r="SY251" s="4"/>
      <c r="SZ251" s="9"/>
      <c r="TA251" s="4"/>
      <c r="TB251" s="9"/>
      <c r="TC251" s="4"/>
      <c r="TD251" s="9"/>
      <c r="TE251" s="4"/>
      <c r="TF251" s="9"/>
      <c r="TG251" s="4"/>
      <c r="TH251" s="9"/>
      <c r="TI251" s="4"/>
      <c r="TJ251" s="9"/>
      <c r="TK251" s="4"/>
      <c r="TL251" s="9"/>
      <c r="TM251" s="4"/>
      <c r="TN251" s="9"/>
      <c r="TO251" s="4"/>
      <c r="TP251" s="9"/>
      <c r="TQ251" s="4"/>
      <c r="TR251" s="9"/>
      <c r="TS251" s="4"/>
      <c r="TT251" s="9"/>
      <c r="TU251" s="4"/>
      <c r="TV251" s="9"/>
      <c r="TW251" s="4"/>
      <c r="TX251" s="9"/>
      <c r="TY251" s="4"/>
      <c r="TZ251" s="9"/>
      <c r="UA251" s="4"/>
      <c r="UB251" s="9"/>
      <c r="UC251" s="4"/>
      <c r="UD251" s="9"/>
      <c r="UE251" s="4"/>
      <c r="UF251" s="9"/>
      <c r="UG251" s="4"/>
      <c r="UH251" s="9"/>
      <c r="UI251" s="4"/>
      <c r="UJ251" s="9"/>
      <c r="UK251" s="4"/>
      <c r="UL251" s="9"/>
      <c r="UM251" s="4"/>
      <c r="UN251" s="9"/>
      <c r="UO251" s="4"/>
      <c r="UP251" s="9"/>
      <c r="UQ251" s="4"/>
      <c r="UR251" s="9"/>
      <c r="US251" s="4"/>
      <c r="UT251" s="9"/>
      <c r="UU251" s="4"/>
      <c r="UV251" s="9"/>
      <c r="UW251" s="4"/>
      <c r="UX251" s="9"/>
      <c r="UY251" s="4"/>
      <c r="UZ251" s="9"/>
      <c r="VA251" s="4"/>
      <c r="VB251" s="9"/>
      <c r="VC251" s="4"/>
      <c r="VD251" s="9"/>
      <c r="VE251" s="4"/>
      <c r="VF251" s="9"/>
      <c r="VG251" s="4"/>
      <c r="VH251" s="9"/>
      <c r="VI251" s="4"/>
      <c r="VJ251" s="9"/>
      <c r="VK251" s="4"/>
      <c r="VL251" s="9"/>
      <c r="VM251" s="4"/>
      <c r="VN251" s="9"/>
      <c r="VO251" s="4"/>
      <c r="VP251" s="9"/>
      <c r="VQ251" s="4"/>
      <c r="VR251" s="9"/>
      <c r="VS251" s="4"/>
      <c r="VT251" s="9"/>
      <c r="VU251" s="4"/>
      <c r="VV251" s="9"/>
      <c r="VW251" s="4"/>
      <c r="VX251" s="9"/>
      <c r="VY251" s="4"/>
      <c r="VZ251" s="9"/>
      <c r="WA251" s="4"/>
      <c r="WB251" s="9"/>
      <c r="WC251" s="4"/>
      <c r="WD251" s="9"/>
      <c r="WE251" s="4"/>
      <c r="WF251" s="9"/>
      <c r="WG251" s="4"/>
      <c r="WH251" s="9"/>
      <c r="WI251" s="4"/>
      <c r="WJ251" s="9"/>
      <c r="WK251" s="4"/>
      <c r="WL251" s="9"/>
      <c r="WM251" s="4"/>
      <c r="WN251" s="9"/>
      <c r="WO251" s="4"/>
      <c r="WP251" s="9"/>
      <c r="WQ251" s="4"/>
      <c r="WR251" s="9"/>
      <c r="WS251" s="4"/>
      <c r="WT251" s="9"/>
      <c r="WU251" s="4"/>
      <c r="WV251" s="9"/>
      <c r="WW251" s="4"/>
      <c r="WX251" s="9"/>
      <c r="WY251" s="4"/>
      <c r="WZ251" s="9"/>
      <c r="XA251" s="4"/>
      <c r="XB251" s="9"/>
      <c r="XC251" s="4"/>
      <c r="XD251" s="9"/>
      <c r="XE251" s="4"/>
      <c r="XF251" s="9"/>
      <c r="XG251" s="4"/>
      <c r="XH251" s="9"/>
      <c r="XI251" s="4"/>
      <c r="XJ251" s="9"/>
      <c r="XK251" s="4"/>
      <c r="XL251" s="9"/>
      <c r="XM251" s="4"/>
      <c r="XN251" s="9"/>
      <c r="XO251" s="4"/>
      <c r="XP251" s="9"/>
      <c r="XQ251" s="4"/>
      <c r="XR251" s="9"/>
      <c r="XS251" s="4"/>
      <c r="XT251" s="9"/>
      <c r="XU251" s="4"/>
      <c r="XV251" s="9"/>
      <c r="XW251" s="4"/>
      <c r="XX251" s="9"/>
      <c r="XY251" s="4"/>
      <c r="XZ251" s="9"/>
      <c r="YA251" s="4"/>
      <c r="YB251" s="9"/>
      <c r="YC251" s="4"/>
      <c r="YD251" s="9"/>
      <c r="YE251" s="4"/>
      <c r="YF251" s="9"/>
      <c r="YG251" s="4"/>
      <c r="YH251" s="9"/>
      <c r="YI251" s="4"/>
      <c r="YJ251" s="9"/>
      <c r="YK251" s="4"/>
      <c r="YL251" s="9"/>
      <c r="YM251" s="4"/>
      <c r="YN251" s="9"/>
      <c r="YO251" s="4"/>
      <c r="YP251" s="9"/>
      <c r="YQ251" s="4"/>
      <c r="YR251" s="9"/>
      <c r="YS251" s="4"/>
      <c r="YT251" s="9"/>
      <c r="YU251" s="4"/>
      <c r="YV251" s="9"/>
      <c r="YW251" s="4"/>
      <c r="YX251" s="9"/>
      <c r="YY251" s="4"/>
      <c r="YZ251" s="9"/>
      <c r="ZA251" s="4"/>
      <c r="ZB251" s="9"/>
      <c r="ZC251" s="4"/>
      <c r="ZD251" s="9"/>
      <c r="ZE251" s="4"/>
      <c r="ZF251" s="9"/>
      <c r="ZG251" s="4"/>
      <c r="ZH251" s="9"/>
      <c r="ZI251" s="4"/>
      <c r="ZJ251" s="9"/>
      <c r="ZK251" s="4"/>
      <c r="ZL251" s="9"/>
      <c r="ZM251" s="4"/>
      <c r="ZN251" s="9"/>
      <c r="ZO251" s="4"/>
      <c r="ZP251" s="9"/>
      <c r="ZQ251" s="4"/>
      <c r="ZR251" s="9"/>
      <c r="ZS251" s="4"/>
      <c r="ZT251" s="9"/>
      <c r="ZU251" s="4"/>
      <c r="ZV251" s="9"/>
      <c r="ZW251" s="4"/>
      <c r="ZX251" s="9"/>
      <c r="ZY251" s="4"/>
      <c r="ZZ251" s="9"/>
      <c r="AAA251" s="4"/>
      <c r="AAB251" s="9"/>
      <c r="AAC251" s="4"/>
      <c r="AAD251" s="9"/>
      <c r="AAE251" s="4"/>
      <c r="AAF251" s="9"/>
      <c r="AAG251" s="4"/>
      <c r="AAH251" s="9"/>
      <c r="AAI251" s="4"/>
      <c r="AAJ251" s="9"/>
      <c r="AAK251" s="4"/>
      <c r="AAL251" s="9"/>
      <c r="AAM251" s="4"/>
      <c r="AAN251" s="9"/>
      <c r="AAO251" s="4"/>
      <c r="AAP251" s="9"/>
      <c r="AAQ251" s="4"/>
      <c r="AAR251" s="9"/>
      <c r="AAS251" s="4"/>
      <c r="AAT251" s="9"/>
      <c r="AAU251" s="4"/>
      <c r="AAV251" s="9"/>
      <c r="AAW251" s="4"/>
      <c r="AAX251" s="9"/>
      <c r="AAY251" s="4"/>
      <c r="AAZ251" s="9"/>
      <c r="ABA251" s="4"/>
      <c r="ABB251" s="9"/>
      <c r="ABC251" s="4"/>
      <c r="ABD251" s="9"/>
      <c r="ABE251" s="4"/>
      <c r="ABF251" s="9"/>
      <c r="ABG251" s="4"/>
      <c r="ABH251" s="9"/>
      <c r="ABI251" s="4"/>
      <c r="ABJ251" s="9"/>
      <c r="ABK251" s="4"/>
      <c r="ABL251" s="9"/>
      <c r="ABM251" s="4"/>
      <c r="ABN251" s="9"/>
      <c r="ABO251" s="4"/>
      <c r="ABP251" s="9"/>
      <c r="ABQ251" s="4"/>
      <c r="ABR251" s="9"/>
      <c r="ABS251" s="4"/>
      <c r="ABT251" s="9"/>
      <c r="ABU251" s="4"/>
      <c r="ABV251" s="9"/>
      <c r="ABW251" s="4"/>
      <c r="ABX251" s="9"/>
      <c r="ABY251" s="4"/>
      <c r="ABZ251" s="9"/>
      <c r="ACA251" s="4"/>
      <c r="ACB251" s="9"/>
      <c r="ACC251" s="4"/>
      <c r="ACD251" s="9"/>
      <c r="ACE251" s="4"/>
      <c r="ACF251" s="9"/>
      <c r="ACG251" s="4"/>
      <c r="ACH251" s="9"/>
      <c r="ACI251" s="4"/>
      <c r="ACJ251" s="9"/>
      <c r="ACK251" s="4"/>
      <c r="ACL251" s="9"/>
      <c r="ACM251" s="4"/>
      <c r="ACN251" s="9"/>
      <c r="ACO251" s="4"/>
      <c r="ACP251" s="9"/>
      <c r="ACQ251" s="4"/>
      <c r="ACR251" s="9"/>
      <c r="ACS251" s="4"/>
      <c r="ACT251" s="9"/>
      <c r="ACU251" s="4"/>
      <c r="ACV251" s="9"/>
      <c r="ACW251" s="4"/>
      <c r="ACX251" s="9"/>
      <c r="ACY251" s="4"/>
      <c r="ACZ251" s="9"/>
      <c r="ADA251" s="4"/>
      <c r="ADB251" s="9"/>
      <c r="ADC251" s="4"/>
      <c r="ADD251" s="9"/>
      <c r="ADE251" s="4"/>
      <c r="ADF251" s="9"/>
      <c r="ADG251" s="4"/>
      <c r="ADH251" s="9"/>
      <c r="ADI251" s="4"/>
      <c r="ADJ251" s="9"/>
      <c r="ADK251" s="4"/>
      <c r="ADL251" s="9"/>
      <c r="ADM251" s="4"/>
      <c r="ADN251" s="9"/>
      <c r="ADO251" s="4"/>
      <c r="ADP251" s="9"/>
      <c r="ADQ251" s="4"/>
      <c r="ADR251" s="9"/>
      <c r="ADS251" s="4"/>
      <c r="ADT251" s="9"/>
      <c r="ADU251" s="4"/>
      <c r="ADV251" s="9"/>
      <c r="ADW251" s="4"/>
      <c r="ADX251" s="9"/>
      <c r="ADY251" s="4"/>
      <c r="ADZ251" s="9"/>
      <c r="AEA251" s="4"/>
      <c r="AEB251" s="9"/>
      <c r="AEC251" s="4"/>
      <c r="AED251" s="9"/>
      <c r="AEE251" s="4"/>
      <c r="AEF251" s="9"/>
      <c r="AEG251" s="4"/>
      <c r="AEH251" s="9"/>
      <c r="AEI251" s="4"/>
      <c r="AEJ251" s="9"/>
      <c r="AEK251" s="4"/>
      <c r="AEL251" s="9"/>
      <c r="AEM251" s="4"/>
      <c r="AEN251" s="9"/>
      <c r="AEO251" s="4"/>
      <c r="AEP251" s="9"/>
      <c r="AEQ251" s="4"/>
      <c r="AER251" s="9"/>
      <c r="AES251" s="4"/>
      <c r="AET251" s="9"/>
      <c r="AEU251" s="4"/>
      <c r="AEV251" s="9"/>
      <c r="AEW251" s="4"/>
      <c r="AEX251" s="9"/>
      <c r="AEY251" s="4"/>
      <c r="AEZ251" s="9"/>
      <c r="AFA251" s="4"/>
      <c r="AFB251" s="9"/>
      <c r="AFC251" s="4"/>
      <c r="AFD251" s="9"/>
      <c r="AFE251" s="4"/>
      <c r="AFF251" s="9"/>
      <c r="AFG251" s="4"/>
      <c r="AFH251" s="9"/>
      <c r="AFI251" s="4"/>
      <c r="AFJ251" s="9"/>
      <c r="AFK251" s="4"/>
      <c r="AFL251" s="9"/>
      <c r="AFM251" s="4"/>
      <c r="AFN251" s="9"/>
      <c r="AFO251" s="4"/>
      <c r="AFP251" s="9"/>
      <c r="AFQ251" s="4"/>
      <c r="AFR251" s="9"/>
      <c r="AFS251" s="4"/>
      <c r="AFT251" s="9"/>
      <c r="AFU251" s="4"/>
      <c r="AFV251" s="9"/>
      <c r="AFW251" s="4"/>
      <c r="AFX251" s="9"/>
      <c r="AFY251" s="4"/>
      <c r="AFZ251" s="9"/>
      <c r="AGA251" s="4"/>
      <c r="AGB251" s="9"/>
      <c r="AGC251" s="4"/>
      <c r="AGD251" s="9"/>
      <c r="AGE251" s="4"/>
      <c r="AGF251" s="9"/>
      <c r="AGG251" s="4"/>
      <c r="AGH251" s="9"/>
      <c r="AGI251" s="4"/>
      <c r="AGJ251" s="9"/>
      <c r="AGK251" s="4"/>
      <c r="AGL251" s="9"/>
      <c r="AGM251" s="4"/>
      <c r="AGN251" s="9"/>
      <c r="AGO251" s="4"/>
      <c r="AGP251" s="9"/>
      <c r="AGQ251" s="4"/>
      <c r="AGR251" s="9"/>
      <c r="AGS251" s="4"/>
      <c r="AGT251" s="9"/>
      <c r="AGU251" s="4"/>
      <c r="AGV251" s="9"/>
      <c r="AGW251" s="4"/>
      <c r="AGX251" s="9"/>
      <c r="AGY251" s="4"/>
      <c r="AGZ251" s="9"/>
      <c r="AHA251" s="4"/>
      <c r="AHB251" s="9"/>
      <c r="AHC251" s="4"/>
      <c r="AHD251" s="9"/>
      <c r="AHE251" s="4"/>
      <c r="AHF251" s="9"/>
      <c r="AHG251" s="4"/>
      <c r="AHH251" s="9"/>
      <c r="AHI251" s="4"/>
      <c r="AHJ251" s="9"/>
      <c r="AHK251" s="4"/>
      <c r="AHL251" s="9"/>
      <c r="AHM251" s="4"/>
      <c r="AHN251" s="9"/>
      <c r="AHO251" s="4"/>
      <c r="AHP251" s="9"/>
      <c r="AHQ251" s="4"/>
      <c r="AHR251" s="9"/>
      <c r="AHS251" s="4"/>
      <c r="AHT251" s="9"/>
      <c r="AHU251" s="4"/>
      <c r="AHV251" s="9"/>
      <c r="AHW251" s="4"/>
      <c r="AHX251" s="9"/>
      <c r="AHY251" s="4"/>
      <c r="AHZ251" s="9"/>
      <c r="AIA251" s="4"/>
      <c r="AIB251" s="9"/>
      <c r="AIC251" s="4"/>
      <c r="AID251" s="9"/>
      <c r="AIE251" s="4"/>
      <c r="AIF251" s="9"/>
      <c r="AIG251" s="4"/>
      <c r="AIH251" s="9"/>
      <c r="AII251" s="4"/>
      <c r="AIJ251" s="9"/>
      <c r="AIK251" s="4"/>
      <c r="AIL251" s="9"/>
      <c r="AIM251" s="4"/>
      <c r="AIN251" s="9"/>
      <c r="AIO251" s="4"/>
      <c r="AIP251" s="9"/>
      <c r="AIQ251" s="4"/>
      <c r="AIR251" s="9"/>
      <c r="AIS251" s="4"/>
      <c r="AIT251" s="9"/>
      <c r="AIU251" s="4"/>
      <c r="AIV251" s="9"/>
      <c r="AIW251" s="4"/>
      <c r="AIX251" s="9"/>
      <c r="AIY251" s="4"/>
      <c r="AIZ251" s="9"/>
      <c r="AJA251" s="4"/>
      <c r="AJB251" s="9"/>
      <c r="AJC251" s="4"/>
      <c r="AJD251" s="9"/>
      <c r="AJE251" s="4"/>
      <c r="AJF251" s="9"/>
      <c r="AJG251" s="4"/>
      <c r="AJH251" s="9"/>
      <c r="AJI251" s="4"/>
      <c r="AJJ251" s="9"/>
      <c r="AJK251" s="4"/>
      <c r="AJL251" s="9"/>
      <c r="AJM251" s="4"/>
      <c r="AJN251" s="9"/>
      <c r="AJO251" s="4"/>
      <c r="AJP251" s="9"/>
      <c r="AJQ251" s="4"/>
      <c r="AJR251" s="9"/>
      <c r="AJS251" s="4"/>
      <c r="AJT251" s="9"/>
      <c r="AJU251" s="4"/>
      <c r="AJV251" s="9"/>
      <c r="AJW251" s="4"/>
      <c r="AJX251" s="9"/>
      <c r="AJY251" s="4"/>
      <c r="AJZ251" s="9"/>
      <c r="AKA251" s="4"/>
      <c r="AKB251" s="9"/>
      <c r="AKC251" s="4"/>
      <c r="AKD251" s="9"/>
      <c r="AKE251" s="4"/>
      <c r="AKF251" s="9"/>
      <c r="AKG251" s="4"/>
      <c r="AKH251" s="9"/>
      <c r="AKI251" s="4"/>
      <c r="AKJ251" s="9"/>
      <c r="AKK251" s="4"/>
      <c r="AKL251" s="9"/>
      <c r="AKM251" s="4"/>
      <c r="AKN251" s="9"/>
      <c r="AKO251" s="4"/>
      <c r="AKP251" s="9"/>
      <c r="AKQ251" s="4"/>
      <c r="AKR251" s="9"/>
      <c r="AKS251" s="4"/>
      <c r="AKT251" s="9"/>
      <c r="AKU251" s="4"/>
      <c r="AKV251" s="9"/>
      <c r="AKW251" s="4"/>
      <c r="AKX251" s="9"/>
      <c r="AKY251" s="4"/>
      <c r="AKZ251" s="9"/>
      <c r="ALA251" s="4"/>
      <c r="ALB251" s="9"/>
      <c r="ALC251" s="4"/>
      <c r="ALD251" s="9"/>
      <c r="ALE251" s="4"/>
      <c r="ALF251" s="9"/>
      <c r="ALG251" s="4"/>
      <c r="ALH251" s="9"/>
      <c r="ALI251" s="4"/>
      <c r="ALJ251" s="9"/>
      <c r="ALK251" s="4"/>
      <c r="ALL251" s="9"/>
      <c r="ALM251" s="4"/>
      <c r="ALN251" s="9"/>
      <c r="ALO251" s="4"/>
      <c r="ALP251" s="9"/>
      <c r="ALQ251" s="4"/>
      <c r="ALR251" s="9"/>
      <c r="ALS251" s="4"/>
      <c r="ALT251" s="9"/>
      <c r="ALU251" s="4"/>
      <c r="ALV251" s="9"/>
      <c r="ALW251" s="4"/>
      <c r="ALX251" s="9"/>
      <c r="ALY251" s="4"/>
      <c r="ALZ251" s="9"/>
      <c r="AMA251" s="4"/>
      <c r="AMB251" s="9"/>
      <c r="AMC251" s="4"/>
      <c r="AMD251" s="9"/>
      <c r="AME251" s="4"/>
      <c r="AMF251" s="9"/>
      <c r="AMG251" s="4"/>
      <c r="AMH251" s="9"/>
      <c r="AMI251" s="4"/>
      <c r="AMJ251" s="9"/>
      <c r="AMK251" s="4"/>
      <c r="AML251" s="9"/>
      <c r="AMM251" s="4"/>
      <c r="AMN251" s="9"/>
      <c r="AMO251" s="4"/>
      <c r="AMP251" s="9"/>
      <c r="AMQ251" s="4"/>
      <c r="AMR251" s="9"/>
      <c r="AMS251" s="4"/>
      <c r="AMT251" s="9"/>
      <c r="AMU251" s="4"/>
      <c r="AMV251" s="9"/>
      <c r="AMW251" s="4"/>
      <c r="AMX251" s="9"/>
      <c r="AMY251" s="4"/>
      <c r="AMZ251" s="9"/>
      <c r="ANA251" s="4"/>
      <c r="ANB251" s="9"/>
      <c r="ANC251" s="4"/>
      <c r="AND251" s="9"/>
      <c r="ANE251" s="4"/>
      <c r="ANF251" s="9"/>
      <c r="ANG251" s="4"/>
      <c r="ANH251" s="9"/>
      <c r="ANI251" s="4"/>
      <c r="ANJ251" s="9"/>
      <c r="ANK251" s="4"/>
      <c r="ANL251" s="9"/>
      <c r="ANM251" s="4"/>
      <c r="ANN251" s="9"/>
      <c r="ANO251" s="4"/>
      <c r="ANP251" s="9"/>
      <c r="ANQ251" s="4"/>
      <c r="ANR251" s="9"/>
      <c r="ANS251" s="4"/>
      <c r="ANT251" s="9"/>
      <c r="ANU251" s="4"/>
      <c r="ANV251" s="9"/>
      <c r="ANW251" s="4"/>
      <c r="ANX251" s="9"/>
      <c r="ANY251" s="4"/>
      <c r="ANZ251" s="9"/>
      <c r="AOA251" s="4"/>
      <c r="AOB251" s="9"/>
      <c r="AOC251" s="4"/>
      <c r="AOD251" s="9"/>
      <c r="AOE251" s="4"/>
      <c r="AOF251" s="9"/>
      <c r="AOG251" s="4"/>
      <c r="AOH251" s="9"/>
      <c r="AOI251" s="4"/>
      <c r="AOJ251" s="9"/>
      <c r="AOK251" s="4"/>
      <c r="AOL251" s="9"/>
      <c r="AOM251" s="4"/>
      <c r="AON251" s="9"/>
      <c r="AOO251" s="4"/>
      <c r="AOP251" s="9"/>
      <c r="AOQ251" s="4"/>
      <c r="AOR251" s="9"/>
      <c r="AOS251" s="4"/>
      <c r="AOT251" s="9"/>
      <c r="AOU251" s="4"/>
      <c r="AOV251" s="9"/>
      <c r="AOW251" s="4"/>
      <c r="AOX251" s="9"/>
      <c r="AOY251" s="4"/>
      <c r="AOZ251" s="9"/>
      <c r="APA251" s="4"/>
      <c r="APB251" s="9"/>
      <c r="APC251" s="4"/>
      <c r="APD251" s="9"/>
      <c r="APE251" s="4"/>
      <c r="APF251" s="9"/>
      <c r="APG251" s="4"/>
      <c r="APH251" s="9"/>
      <c r="API251" s="4"/>
      <c r="APJ251" s="9"/>
      <c r="APK251" s="4"/>
      <c r="APL251" s="9"/>
      <c r="APM251" s="4"/>
      <c r="APN251" s="9"/>
      <c r="APO251" s="4"/>
      <c r="APP251" s="9"/>
      <c r="APQ251" s="4"/>
      <c r="APR251" s="9"/>
      <c r="APS251" s="4"/>
      <c r="APT251" s="9"/>
      <c r="APU251" s="4"/>
      <c r="APV251" s="9"/>
      <c r="APW251" s="4"/>
      <c r="APX251" s="9"/>
      <c r="APY251" s="4"/>
      <c r="APZ251" s="9"/>
      <c r="AQA251" s="4"/>
      <c r="AQB251" s="9"/>
      <c r="AQC251" s="4"/>
      <c r="AQD251" s="9"/>
      <c r="AQE251" s="4"/>
      <c r="AQF251" s="9"/>
      <c r="AQG251" s="4"/>
      <c r="AQH251" s="9"/>
      <c r="AQI251" s="4"/>
      <c r="AQJ251" s="9"/>
      <c r="AQK251" s="4"/>
      <c r="AQL251" s="9"/>
      <c r="AQM251" s="4"/>
      <c r="AQN251" s="9"/>
      <c r="AQO251" s="4"/>
      <c r="AQP251" s="9"/>
      <c r="AQQ251" s="4"/>
      <c r="AQR251" s="9"/>
      <c r="AQS251" s="4"/>
      <c r="AQT251" s="9"/>
      <c r="AQU251" s="4"/>
      <c r="AQV251" s="9"/>
      <c r="AQW251" s="4"/>
      <c r="AQX251" s="9"/>
      <c r="AQY251" s="4"/>
      <c r="AQZ251" s="9"/>
      <c r="ARA251" s="4"/>
      <c r="ARB251" s="9"/>
      <c r="ARC251" s="4"/>
      <c r="ARD251" s="9"/>
      <c r="ARE251" s="4"/>
      <c r="ARF251" s="9"/>
      <c r="ARG251" s="4"/>
      <c r="ARH251" s="9"/>
      <c r="ARI251" s="4"/>
      <c r="ARJ251" s="9"/>
      <c r="ARK251" s="4"/>
      <c r="ARL251" s="9"/>
      <c r="ARM251" s="4"/>
      <c r="ARN251" s="9"/>
      <c r="ARO251" s="4"/>
      <c r="ARP251" s="9"/>
      <c r="ARQ251" s="4"/>
      <c r="ARR251" s="9"/>
      <c r="ARS251" s="4"/>
      <c r="ART251" s="9"/>
      <c r="ARU251" s="4"/>
      <c r="ARV251" s="9"/>
      <c r="ARW251" s="4"/>
      <c r="ARX251" s="9"/>
      <c r="ARY251" s="4"/>
      <c r="ARZ251" s="9"/>
      <c r="ASA251" s="4"/>
      <c r="ASB251" s="9"/>
      <c r="ASC251" s="4"/>
      <c r="ASD251" s="9"/>
      <c r="ASE251" s="4"/>
      <c r="ASF251" s="9"/>
      <c r="ASG251" s="4"/>
      <c r="ASH251" s="9"/>
      <c r="ASI251" s="4"/>
      <c r="ASJ251" s="9"/>
      <c r="ASK251" s="4"/>
      <c r="ASL251" s="9"/>
      <c r="ASM251" s="4"/>
      <c r="ASN251" s="9"/>
      <c r="ASO251" s="4"/>
      <c r="ASP251" s="9"/>
      <c r="ASQ251" s="4"/>
      <c r="ASR251" s="9"/>
      <c r="ASS251" s="4"/>
      <c r="AST251" s="9"/>
      <c r="ASU251" s="4"/>
      <c r="ASV251" s="9"/>
      <c r="ASW251" s="4"/>
      <c r="ASX251" s="9"/>
      <c r="ASY251" s="4"/>
      <c r="ASZ251" s="9"/>
      <c r="ATA251" s="4"/>
      <c r="ATB251" s="9"/>
      <c r="ATC251" s="4"/>
      <c r="ATD251" s="9"/>
      <c r="ATE251" s="4"/>
      <c r="ATF251" s="9"/>
      <c r="ATG251" s="4"/>
      <c r="ATH251" s="9"/>
      <c r="ATI251" s="4"/>
      <c r="ATJ251" s="9"/>
      <c r="ATK251" s="4"/>
      <c r="ATL251" s="9"/>
      <c r="ATM251" s="4"/>
      <c r="ATN251" s="9"/>
      <c r="ATO251" s="4"/>
      <c r="ATP251" s="9"/>
      <c r="ATQ251" s="4"/>
      <c r="ATR251" s="9"/>
      <c r="ATS251" s="4"/>
      <c r="ATT251" s="9"/>
      <c r="ATU251" s="4"/>
      <c r="ATV251" s="9"/>
      <c r="ATW251" s="4"/>
      <c r="ATX251" s="9"/>
      <c r="ATY251" s="4"/>
      <c r="ATZ251" s="9"/>
      <c r="AUA251" s="4"/>
      <c r="AUB251" s="9"/>
      <c r="AUC251" s="4"/>
      <c r="AUD251" s="9"/>
      <c r="AUE251" s="4"/>
      <c r="AUF251" s="9"/>
      <c r="AUG251" s="4"/>
      <c r="AUH251" s="9"/>
      <c r="AUI251" s="4"/>
      <c r="AUJ251" s="9"/>
      <c r="AUK251" s="4"/>
      <c r="AUL251" s="9"/>
      <c r="AUM251" s="4"/>
      <c r="AUN251" s="9"/>
      <c r="AUO251" s="4"/>
      <c r="AUP251" s="9"/>
      <c r="AUQ251" s="4"/>
      <c r="AUR251" s="9"/>
      <c r="AUS251" s="4"/>
      <c r="AUT251" s="9"/>
      <c r="AUU251" s="4"/>
      <c r="AUV251" s="9"/>
      <c r="AUW251" s="4"/>
      <c r="AUX251" s="9"/>
      <c r="AUY251" s="4"/>
      <c r="AUZ251" s="9"/>
      <c r="AVA251" s="4"/>
      <c r="AVB251" s="9"/>
      <c r="AVC251" s="4"/>
      <c r="AVD251" s="9"/>
      <c r="AVE251" s="4"/>
      <c r="AVF251" s="9"/>
      <c r="AVG251" s="4"/>
      <c r="AVH251" s="9"/>
      <c r="AVI251" s="4"/>
      <c r="AVJ251" s="9"/>
      <c r="AVK251" s="4"/>
      <c r="AVL251" s="9"/>
      <c r="AVM251" s="4"/>
      <c r="AVN251" s="9"/>
      <c r="AVO251" s="4"/>
      <c r="AVP251" s="9"/>
      <c r="AVQ251" s="4"/>
      <c r="AVR251" s="9"/>
      <c r="AVS251" s="4"/>
      <c r="AVT251" s="9"/>
      <c r="AVU251" s="4"/>
      <c r="AVV251" s="9"/>
      <c r="AVW251" s="4"/>
      <c r="AVX251" s="9"/>
      <c r="AVY251" s="4"/>
      <c r="AVZ251" s="9"/>
      <c r="AWA251" s="4"/>
      <c r="AWB251" s="9"/>
      <c r="AWC251" s="4"/>
      <c r="AWD251" s="9"/>
      <c r="AWE251" s="4"/>
      <c r="AWF251" s="9"/>
      <c r="AWG251" s="4"/>
      <c r="AWH251" s="9"/>
      <c r="AWI251" s="4"/>
      <c r="AWJ251" s="9"/>
      <c r="AWK251" s="4"/>
      <c r="AWL251" s="9"/>
      <c r="AWM251" s="4"/>
      <c r="AWN251" s="9"/>
      <c r="AWO251" s="4"/>
      <c r="AWP251" s="9"/>
      <c r="AWQ251" s="4"/>
      <c r="AWR251" s="9"/>
      <c r="AWS251" s="4"/>
      <c r="AWT251" s="9"/>
      <c r="AWU251" s="4"/>
      <c r="AWV251" s="9"/>
      <c r="AWW251" s="4"/>
      <c r="AWX251" s="9"/>
      <c r="AWY251" s="4"/>
      <c r="AWZ251" s="9"/>
      <c r="AXA251" s="4"/>
      <c r="AXB251" s="9"/>
      <c r="AXC251" s="4"/>
      <c r="AXD251" s="9"/>
      <c r="AXE251" s="4"/>
      <c r="AXF251" s="9"/>
      <c r="AXG251" s="4"/>
      <c r="AXH251" s="9"/>
      <c r="AXI251" s="4"/>
      <c r="AXJ251" s="9"/>
      <c r="AXK251" s="4"/>
      <c r="AXL251" s="9"/>
      <c r="AXM251" s="4"/>
      <c r="AXN251" s="9"/>
      <c r="AXO251" s="4"/>
      <c r="AXP251" s="9"/>
      <c r="AXQ251" s="4"/>
      <c r="AXR251" s="9"/>
      <c r="AXS251" s="4"/>
      <c r="AXT251" s="9"/>
      <c r="AXU251" s="4"/>
      <c r="AXV251" s="9"/>
      <c r="AXW251" s="4"/>
      <c r="AXX251" s="9"/>
      <c r="AXY251" s="4"/>
      <c r="AXZ251" s="9"/>
      <c r="AYA251" s="4"/>
      <c r="AYB251" s="9"/>
      <c r="AYC251" s="4"/>
      <c r="AYD251" s="9"/>
      <c r="AYE251" s="4"/>
      <c r="AYF251" s="9"/>
      <c r="AYG251" s="4"/>
      <c r="AYH251" s="9"/>
      <c r="AYI251" s="4"/>
      <c r="AYJ251" s="9"/>
      <c r="AYK251" s="4"/>
      <c r="AYL251" s="9"/>
      <c r="AYM251" s="4"/>
      <c r="AYN251" s="9"/>
      <c r="AYO251" s="4"/>
      <c r="AYP251" s="9"/>
      <c r="AYQ251" s="4"/>
      <c r="AYR251" s="9"/>
      <c r="AYS251" s="4"/>
      <c r="AYT251" s="9"/>
      <c r="AYU251" s="4"/>
      <c r="AYV251" s="9"/>
      <c r="AYW251" s="4"/>
      <c r="AYX251" s="9"/>
      <c r="AYY251" s="4"/>
      <c r="AYZ251" s="9"/>
      <c r="AZA251" s="4"/>
      <c r="AZB251" s="9"/>
      <c r="AZC251" s="4"/>
      <c r="AZD251" s="9"/>
      <c r="AZE251" s="4"/>
      <c r="AZF251" s="9"/>
      <c r="AZG251" s="4"/>
      <c r="AZH251" s="9"/>
      <c r="AZI251" s="4"/>
      <c r="AZJ251" s="9"/>
      <c r="AZK251" s="4"/>
      <c r="AZL251" s="9"/>
      <c r="AZM251" s="4"/>
      <c r="AZN251" s="9"/>
      <c r="AZO251" s="4"/>
      <c r="AZP251" s="9"/>
      <c r="AZQ251" s="4"/>
      <c r="AZR251" s="9"/>
      <c r="AZS251" s="4"/>
      <c r="AZT251" s="9"/>
      <c r="AZU251" s="4"/>
      <c r="AZV251" s="9"/>
      <c r="AZW251" s="4"/>
      <c r="AZX251" s="9"/>
      <c r="AZY251" s="4"/>
      <c r="AZZ251" s="9"/>
      <c r="BAA251" s="4"/>
      <c r="BAB251" s="9"/>
      <c r="BAC251" s="4"/>
      <c r="BAD251" s="9"/>
      <c r="BAE251" s="4"/>
      <c r="BAF251" s="9"/>
      <c r="BAG251" s="4"/>
      <c r="BAH251" s="9"/>
      <c r="BAI251" s="4"/>
      <c r="BAJ251" s="9"/>
      <c r="BAK251" s="4"/>
      <c r="BAL251" s="9"/>
      <c r="BAM251" s="4"/>
      <c r="BAN251" s="9"/>
      <c r="BAO251" s="4"/>
      <c r="BAP251" s="9"/>
      <c r="BAQ251" s="4"/>
      <c r="BAR251" s="9"/>
      <c r="BAS251" s="4"/>
      <c r="BAT251" s="9"/>
      <c r="BAU251" s="4"/>
      <c r="BAV251" s="9"/>
      <c r="BAW251" s="4"/>
      <c r="BAX251" s="9"/>
      <c r="BAY251" s="4"/>
      <c r="BAZ251" s="9"/>
      <c r="BBA251" s="4"/>
      <c r="BBB251" s="9"/>
      <c r="BBC251" s="4"/>
      <c r="BBD251" s="9"/>
      <c r="BBE251" s="4"/>
      <c r="BBF251" s="9"/>
      <c r="BBG251" s="4"/>
      <c r="BBH251" s="9"/>
      <c r="BBI251" s="4"/>
      <c r="BBJ251" s="9"/>
      <c r="BBK251" s="4"/>
      <c r="BBL251" s="9"/>
      <c r="BBM251" s="4"/>
      <c r="BBN251" s="9"/>
      <c r="BBO251" s="4"/>
      <c r="BBP251" s="9"/>
      <c r="BBQ251" s="4"/>
      <c r="BBR251" s="9"/>
      <c r="BBS251" s="4"/>
      <c r="BBT251" s="9"/>
      <c r="BBU251" s="4"/>
      <c r="BBV251" s="9"/>
      <c r="BBW251" s="4"/>
      <c r="BBX251" s="9"/>
      <c r="BBY251" s="4"/>
      <c r="BBZ251" s="9"/>
      <c r="BCA251" s="4"/>
      <c r="BCB251" s="9"/>
      <c r="BCC251" s="4"/>
      <c r="BCD251" s="9"/>
      <c r="BCE251" s="4"/>
      <c r="BCF251" s="9"/>
      <c r="BCG251" s="4"/>
      <c r="BCH251" s="9"/>
      <c r="BCI251" s="4"/>
      <c r="BCJ251" s="9"/>
      <c r="BCK251" s="4"/>
      <c r="BCL251" s="9"/>
      <c r="BCM251" s="4"/>
      <c r="BCN251" s="9"/>
      <c r="BCO251" s="4"/>
      <c r="BCP251" s="9"/>
      <c r="BCQ251" s="4"/>
      <c r="BCR251" s="9"/>
      <c r="BCS251" s="4"/>
      <c r="BCT251" s="9"/>
      <c r="BCU251" s="4"/>
      <c r="BCV251" s="9"/>
      <c r="BCW251" s="4"/>
      <c r="BCX251" s="9"/>
      <c r="BCY251" s="4"/>
      <c r="BCZ251" s="9"/>
      <c r="BDA251" s="4"/>
      <c r="BDB251" s="9"/>
      <c r="BDC251" s="4"/>
      <c r="BDD251" s="9"/>
      <c r="BDE251" s="4"/>
      <c r="BDF251" s="9"/>
      <c r="BDG251" s="4"/>
      <c r="BDH251" s="9"/>
      <c r="BDI251" s="4"/>
      <c r="BDJ251" s="9"/>
      <c r="BDK251" s="4"/>
      <c r="BDL251" s="9"/>
      <c r="BDM251" s="4"/>
      <c r="BDN251" s="9"/>
      <c r="BDO251" s="4"/>
      <c r="BDP251" s="9"/>
      <c r="BDQ251" s="4"/>
      <c r="BDR251" s="9"/>
      <c r="BDS251" s="4"/>
      <c r="BDT251" s="9"/>
      <c r="BDU251" s="4"/>
      <c r="BDV251" s="9"/>
      <c r="BDW251" s="4"/>
      <c r="BDX251" s="9"/>
      <c r="BDY251" s="4"/>
      <c r="BDZ251" s="9"/>
      <c r="BEA251" s="4"/>
      <c r="BEB251" s="9"/>
      <c r="BEC251" s="4"/>
      <c r="BED251" s="9"/>
      <c r="BEE251" s="4"/>
      <c r="BEF251" s="9"/>
      <c r="BEG251" s="4"/>
      <c r="BEH251" s="9"/>
      <c r="BEI251" s="4"/>
      <c r="BEJ251" s="9"/>
      <c r="BEK251" s="4"/>
      <c r="BEL251" s="9"/>
      <c r="BEM251" s="4"/>
      <c r="BEN251" s="9"/>
      <c r="BEO251" s="4"/>
      <c r="BEP251" s="9"/>
      <c r="BEQ251" s="4"/>
      <c r="BER251" s="9"/>
      <c r="BES251" s="4"/>
      <c r="BET251" s="9"/>
      <c r="BEU251" s="4"/>
      <c r="BEV251" s="9"/>
      <c r="BEW251" s="4"/>
      <c r="BEX251" s="9"/>
      <c r="BEY251" s="4"/>
      <c r="BEZ251" s="9"/>
      <c r="BFA251" s="4"/>
      <c r="BFB251" s="9"/>
      <c r="BFC251" s="4"/>
      <c r="BFD251" s="9"/>
      <c r="BFE251" s="4"/>
      <c r="BFF251" s="9"/>
      <c r="BFG251" s="4"/>
      <c r="BFH251" s="9"/>
      <c r="BFI251" s="4"/>
      <c r="BFJ251" s="9"/>
      <c r="BFK251" s="4"/>
      <c r="BFL251" s="9"/>
      <c r="BFM251" s="4"/>
      <c r="BFN251" s="9"/>
      <c r="BFO251" s="4"/>
      <c r="BFP251" s="9"/>
      <c r="BFQ251" s="4"/>
      <c r="BFR251" s="9"/>
      <c r="BFS251" s="4"/>
      <c r="BFT251" s="9"/>
      <c r="BFU251" s="4"/>
      <c r="BFV251" s="9"/>
      <c r="BFW251" s="4"/>
      <c r="BFX251" s="9"/>
      <c r="BFY251" s="4"/>
      <c r="BFZ251" s="9"/>
      <c r="BGA251" s="4"/>
      <c r="BGB251" s="9"/>
      <c r="BGC251" s="4"/>
      <c r="BGD251" s="9"/>
      <c r="BGE251" s="4"/>
      <c r="BGF251" s="9"/>
      <c r="BGG251" s="4"/>
      <c r="BGH251" s="9"/>
      <c r="BGI251" s="4"/>
      <c r="BGJ251" s="9"/>
      <c r="BGK251" s="4"/>
      <c r="BGL251" s="9"/>
      <c r="BGM251" s="4"/>
      <c r="BGN251" s="9"/>
      <c r="BGO251" s="4"/>
      <c r="BGP251" s="9"/>
      <c r="BGQ251" s="4"/>
      <c r="BGR251" s="9"/>
      <c r="BGS251" s="4"/>
      <c r="BGT251" s="9"/>
      <c r="BGU251" s="4"/>
      <c r="BGV251" s="9"/>
      <c r="BGW251" s="4"/>
      <c r="BGX251" s="9"/>
      <c r="BGY251" s="4"/>
      <c r="BGZ251" s="9"/>
      <c r="BHA251" s="4"/>
      <c r="BHB251" s="9"/>
      <c r="BHC251" s="4"/>
      <c r="BHD251" s="9"/>
      <c r="BHE251" s="4"/>
      <c r="BHF251" s="9"/>
      <c r="BHG251" s="4"/>
      <c r="BHH251" s="9"/>
      <c r="BHI251" s="4"/>
      <c r="BHJ251" s="9"/>
      <c r="BHK251" s="4"/>
      <c r="BHL251" s="9"/>
      <c r="BHM251" s="4"/>
      <c r="BHN251" s="9"/>
      <c r="BHO251" s="4"/>
      <c r="BHP251" s="9"/>
      <c r="BHQ251" s="4"/>
      <c r="BHR251" s="9"/>
      <c r="BHS251" s="4"/>
      <c r="BHT251" s="9"/>
      <c r="BHU251" s="4"/>
      <c r="BHV251" s="9"/>
      <c r="BHW251" s="4"/>
      <c r="BHX251" s="9"/>
      <c r="BHY251" s="4"/>
      <c r="BHZ251" s="9"/>
      <c r="BIA251" s="4"/>
      <c r="BIB251" s="9"/>
      <c r="BIC251" s="4"/>
      <c r="BID251" s="9"/>
      <c r="BIE251" s="4"/>
      <c r="BIF251" s="9"/>
      <c r="BIG251" s="4"/>
      <c r="BIH251" s="9"/>
      <c r="BII251" s="4"/>
      <c r="BIJ251" s="9"/>
      <c r="BIK251" s="4"/>
      <c r="BIL251" s="9"/>
      <c r="BIM251" s="4"/>
      <c r="BIN251" s="9"/>
      <c r="BIO251" s="4"/>
      <c r="BIP251" s="9"/>
      <c r="BIQ251" s="4"/>
      <c r="BIR251" s="9"/>
      <c r="BIS251" s="4"/>
      <c r="BIT251" s="9"/>
      <c r="BIU251" s="4"/>
      <c r="BIV251" s="9"/>
      <c r="BIW251" s="4"/>
      <c r="BIX251" s="9"/>
      <c r="BIY251" s="4"/>
      <c r="BIZ251" s="9"/>
      <c r="BJA251" s="4"/>
      <c r="BJB251" s="9"/>
      <c r="BJC251" s="4"/>
      <c r="BJD251" s="9"/>
      <c r="BJE251" s="4"/>
      <c r="BJF251" s="9"/>
      <c r="BJG251" s="4"/>
      <c r="BJH251" s="9"/>
      <c r="BJI251" s="4"/>
      <c r="BJJ251" s="9"/>
      <c r="BJK251" s="4"/>
      <c r="BJL251" s="9"/>
      <c r="BJM251" s="4"/>
      <c r="BJN251" s="9"/>
      <c r="BJO251" s="4"/>
      <c r="BJP251" s="9"/>
      <c r="BJQ251" s="4"/>
      <c r="BJR251" s="9"/>
      <c r="BJS251" s="4"/>
      <c r="BJT251" s="9"/>
      <c r="BJU251" s="4"/>
      <c r="BJV251" s="9"/>
      <c r="BJW251" s="4"/>
      <c r="BJX251" s="9"/>
      <c r="BJY251" s="4"/>
      <c r="BJZ251" s="9"/>
      <c r="BKA251" s="4"/>
      <c r="BKB251" s="9"/>
      <c r="BKC251" s="4"/>
      <c r="BKD251" s="9"/>
      <c r="BKE251" s="4"/>
      <c r="BKF251" s="9"/>
      <c r="BKG251" s="4"/>
      <c r="BKH251" s="9"/>
      <c r="BKI251" s="4"/>
      <c r="BKJ251" s="9"/>
      <c r="BKK251" s="4"/>
      <c r="BKL251" s="9"/>
      <c r="BKM251" s="4"/>
      <c r="BKN251" s="9"/>
      <c r="BKO251" s="4"/>
      <c r="BKP251" s="9"/>
      <c r="BKQ251" s="4"/>
      <c r="BKR251" s="9"/>
      <c r="BKS251" s="4"/>
      <c r="BKT251" s="9"/>
      <c r="BKU251" s="4"/>
      <c r="BKV251" s="9"/>
      <c r="BKW251" s="4"/>
      <c r="BKX251" s="9"/>
      <c r="BKY251" s="4"/>
      <c r="BKZ251" s="9"/>
      <c r="BLA251" s="4"/>
      <c r="BLB251" s="9"/>
      <c r="BLC251" s="4"/>
      <c r="BLD251" s="9"/>
      <c r="BLE251" s="4"/>
      <c r="BLF251" s="9"/>
      <c r="BLG251" s="4"/>
      <c r="BLH251" s="9"/>
      <c r="BLI251" s="4"/>
      <c r="BLJ251" s="9"/>
      <c r="BLK251" s="4"/>
      <c r="BLL251" s="9"/>
      <c r="BLM251" s="4"/>
      <c r="BLN251" s="9"/>
      <c r="BLO251" s="4"/>
      <c r="BLP251" s="9"/>
      <c r="BLQ251" s="4"/>
      <c r="BLR251" s="9"/>
      <c r="BLS251" s="4"/>
      <c r="BLT251" s="9"/>
      <c r="BLU251" s="4"/>
      <c r="BLV251" s="9"/>
      <c r="BLW251" s="4"/>
      <c r="BLX251" s="9"/>
      <c r="BLY251" s="4"/>
      <c r="BLZ251" s="9"/>
      <c r="BMA251" s="4"/>
      <c r="BMB251" s="9"/>
      <c r="BMC251" s="4"/>
      <c r="BMD251" s="9"/>
      <c r="BME251" s="4"/>
      <c r="BMF251" s="9"/>
      <c r="BMG251" s="4"/>
      <c r="BMH251" s="9"/>
      <c r="BMI251" s="4"/>
      <c r="BMJ251" s="9"/>
      <c r="BMK251" s="4"/>
      <c r="BML251" s="9"/>
      <c r="BMM251" s="4"/>
      <c r="BMN251" s="9"/>
      <c r="BMO251" s="4"/>
      <c r="BMP251" s="9"/>
      <c r="BMQ251" s="4"/>
      <c r="BMR251" s="9"/>
      <c r="BMS251" s="4"/>
      <c r="BMT251" s="9"/>
      <c r="BMU251" s="4"/>
      <c r="BMV251" s="9"/>
      <c r="BMW251" s="4"/>
      <c r="BMX251" s="9"/>
      <c r="BMY251" s="4"/>
      <c r="BMZ251" s="9"/>
      <c r="BNA251" s="4"/>
      <c r="BNB251" s="9"/>
      <c r="BNC251" s="4"/>
      <c r="BND251" s="9"/>
      <c r="BNE251" s="4"/>
      <c r="BNF251" s="9"/>
      <c r="BNG251" s="4"/>
      <c r="BNH251" s="9"/>
      <c r="BNI251" s="4"/>
      <c r="BNJ251" s="9"/>
      <c r="BNK251" s="4"/>
      <c r="BNL251" s="9"/>
      <c r="BNM251" s="4"/>
      <c r="BNN251" s="9"/>
      <c r="BNO251" s="4"/>
      <c r="BNP251" s="9"/>
      <c r="BNQ251" s="4"/>
      <c r="BNR251" s="9"/>
      <c r="BNS251" s="4"/>
      <c r="BNT251" s="9"/>
      <c r="BNU251" s="4"/>
      <c r="BNV251" s="9"/>
      <c r="BNW251" s="4"/>
      <c r="BNX251" s="9"/>
      <c r="BNY251" s="4"/>
      <c r="BNZ251" s="9"/>
      <c r="BOA251" s="4"/>
      <c r="BOB251" s="9"/>
      <c r="BOC251" s="4"/>
      <c r="BOD251" s="9"/>
      <c r="BOE251" s="4"/>
      <c r="BOF251" s="9"/>
      <c r="BOG251" s="4"/>
      <c r="BOH251" s="9"/>
      <c r="BOI251" s="4"/>
      <c r="BOJ251" s="9"/>
      <c r="BOK251" s="4"/>
      <c r="BOL251" s="9"/>
      <c r="BOM251" s="4"/>
      <c r="BON251" s="9"/>
      <c r="BOO251" s="4"/>
      <c r="BOP251" s="9"/>
      <c r="BOQ251" s="4"/>
      <c r="BOR251" s="9"/>
      <c r="BOS251" s="4"/>
      <c r="BOT251" s="9"/>
      <c r="BOU251" s="4"/>
      <c r="BOV251" s="9"/>
      <c r="BOW251" s="4"/>
      <c r="BOX251" s="9"/>
      <c r="BOY251" s="4"/>
      <c r="BOZ251" s="9"/>
      <c r="BPA251" s="4"/>
      <c r="BPB251" s="9"/>
      <c r="BPC251" s="4"/>
      <c r="BPD251" s="9"/>
      <c r="BPE251" s="4"/>
      <c r="BPF251" s="9"/>
      <c r="BPG251" s="4"/>
      <c r="BPH251" s="9"/>
      <c r="BPI251" s="4"/>
      <c r="BPJ251" s="9"/>
      <c r="BPK251" s="4"/>
      <c r="BPL251" s="9"/>
      <c r="BPM251" s="4"/>
      <c r="BPN251" s="9"/>
      <c r="BPO251" s="4"/>
      <c r="BPP251" s="9"/>
      <c r="BPQ251" s="4"/>
      <c r="BPR251" s="9"/>
      <c r="BPS251" s="4"/>
      <c r="BPT251" s="9"/>
      <c r="BPU251" s="4"/>
      <c r="BPV251" s="9"/>
      <c r="BPW251" s="4"/>
      <c r="BPX251" s="9"/>
      <c r="BPY251" s="4"/>
      <c r="BPZ251" s="9"/>
      <c r="BQA251" s="4"/>
      <c r="BQB251" s="9"/>
      <c r="BQC251" s="4"/>
      <c r="BQD251" s="9"/>
      <c r="BQE251" s="4"/>
      <c r="BQF251" s="9"/>
      <c r="BQG251" s="4"/>
      <c r="BQH251" s="9"/>
      <c r="BQI251" s="4"/>
      <c r="BQJ251" s="9"/>
      <c r="BQK251" s="4"/>
      <c r="BQL251" s="9"/>
      <c r="BQM251" s="4"/>
      <c r="BQN251" s="9"/>
      <c r="BQO251" s="4"/>
      <c r="BQP251" s="9"/>
      <c r="BQQ251" s="4"/>
      <c r="BQR251" s="9"/>
      <c r="BQS251" s="4"/>
      <c r="BQT251" s="9"/>
      <c r="BQU251" s="4"/>
      <c r="BQV251" s="9"/>
      <c r="BQW251" s="4"/>
      <c r="BQX251" s="9"/>
      <c r="BQY251" s="4"/>
      <c r="BQZ251" s="9"/>
      <c r="BRA251" s="4"/>
      <c r="BRB251" s="9"/>
      <c r="BRC251" s="4"/>
      <c r="BRD251" s="9"/>
      <c r="BRE251" s="4"/>
      <c r="BRF251" s="9"/>
      <c r="BRG251" s="4"/>
      <c r="BRH251" s="9"/>
      <c r="BRI251" s="4"/>
      <c r="BRJ251" s="9"/>
      <c r="BRK251" s="4"/>
      <c r="BRL251" s="9"/>
      <c r="BRM251" s="4"/>
      <c r="BRN251" s="9"/>
      <c r="BRO251" s="4"/>
      <c r="BRP251" s="9"/>
      <c r="BRQ251" s="4"/>
      <c r="BRR251" s="9"/>
      <c r="BRS251" s="4"/>
      <c r="BRT251" s="9"/>
      <c r="BRU251" s="4"/>
      <c r="BRV251" s="9"/>
      <c r="BRW251" s="4"/>
      <c r="BRX251" s="9"/>
      <c r="BRY251" s="4"/>
      <c r="BRZ251" s="9"/>
      <c r="BSA251" s="4"/>
      <c r="BSB251" s="9"/>
      <c r="BSC251" s="4"/>
      <c r="BSD251" s="9"/>
      <c r="BSE251" s="4"/>
      <c r="BSF251" s="9"/>
      <c r="BSG251" s="4"/>
      <c r="BSH251" s="9"/>
      <c r="BSI251" s="4"/>
      <c r="BSJ251" s="9"/>
      <c r="BSK251" s="4"/>
      <c r="BSL251" s="9"/>
      <c r="BSM251" s="4"/>
      <c r="BSN251" s="9"/>
      <c r="BSO251" s="4"/>
      <c r="BSP251" s="9"/>
      <c r="BSQ251" s="4"/>
      <c r="BSR251" s="9"/>
      <c r="BSS251" s="4"/>
      <c r="BST251" s="9"/>
      <c r="BSU251" s="4"/>
      <c r="BSV251" s="9"/>
      <c r="BSW251" s="4"/>
      <c r="BSX251" s="9"/>
      <c r="BSY251" s="4"/>
      <c r="BSZ251" s="9"/>
      <c r="BTA251" s="4"/>
      <c r="BTB251" s="9"/>
      <c r="BTC251" s="4"/>
      <c r="BTD251" s="9"/>
      <c r="BTE251" s="4"/>
      <c r="BTF251" s="9"/>
      <c r="BTG251" s="4"/>
      <c r="BTH251" s="9"/>
      <c r="BTI251" s="4"/>
      <c r="BTJ251" s="9"/>
      <c r="BTK251" s="4"/>
      <c r="BTL251" s="9"/>
      <c r="BTM251" s="4"/>
      <c r="BTN251" s="9"/>
      <c r="BTO251" s="4"/>
      <c r="BTP251" s="9"/>
      <c r="BTQ251" s="4"/>
      <c r="BTR251" s="9"/>
      <c r="BTS251" s="4"/>
      <c r="BTT251" s="9"/>
      <c r="BTU251" s="4"/>
      <c r="BTV251" s="9"/>
      <c r="BTW251" s="4"/>
      <c r="BTX251" s="9"/>
      <c r="BTY251" s="4"/>
      <c r="BTZ251" s="9"/>
      <c r="BUA251" s="4"/>
      <c r="BUB251" s="9"/>
      <c r="BUC251" s="4"/>
      <c r="BUD251" s="9"/>
      <c r="BUE251" s="4"/>
      <c r="BUF251" s="9"/>
      <c r="BUG251" s="4"/>
      <c r="BUH251" s="9"/>
      <c r="BUI251" s="4"/>
      <c r="BUJ251" s="9"/>
      <c r="BUK251" s="4"/>
      <c r="BUL251" s="9"/>
      <c r="BUM251" s="4"/>
      <c r="BUN251" s="9"/>
      <c r="BUO251" s="4"/>
      <c r="BUP251" s="9"/>
      <c r="BUQ251" s="4"/>
      <c r="BUR251" s="9"/>
      <c r="BUS251" s="4"/>
      <c r="BUT251" s="9"/>
      <c r="BUU251" s="4"/>
      <c r="BUV251" s="9"/>
      <c r="BUW251" s="4"/>
      <c r="BUX251" s="9"/>
      <c r="BUY251" s="4"/>
      <c r="BUZ251" s="9"/>
      <c r="BVA251" s="4"/>
      <c r="BVB251" s="9"/>
      <c r="BVC251" s="4"/>
      <c r="BVD251" s="9"/>
      <c r="BVE251" s="4"/>
      <c r="BVF251" s="9"/>
      <c r="BVG251" s="4"/>
      <c r="BVH251" s="9"/>
      <c r="BVI251" s="4"/>
      <c r="BVJ251" s="9"/>
      <c r="BVK251" s="4"/>
      <c r="BVL251" s="9"/>
      <c r="BVM251" s="4"/>
      <c r="BVN251" s="9"/>
      <c r="BVO251" s="4"/>
      <c r="BVP251" s="9"/>
      <c r="BVQ251" s="4"/>
      <c r="BVR251" s="9"/>
      <c r="BVS251" s="4"/>
      <c r="BVT251" s="9"/>
      <c r="BVU251" s="4"/>
      <c r="BVV251" s="9"/>
      <c r="BVW251" s="4"/>
      <c r="BVX251" s="9"/>
      <c r="BVY251" s="4"/>
      <c r="BVZ251" s="9"/>
      <c r="BWA251" s="4"/>
      <c r="BWB251" s="9"/>
      <c r="BWC251" s="4"/>
      <c r="BWD251" s="9"/>
      <c r="BWE251" s="4"/>
      <c r="BWF251" s="9"/>
      <c r="BWG251" s="4"/>
      <c r="BWH251" s="9"/>
      <c r="BWI251" s="4"/>
      <c r="BWJ251" s="9"/>
      <c r="BWK251" s="4"/>
      <c r="BWL251" s="9"/>
      <c r="BWM251" s="4"/>
      <c r="BWN251" s="9"/>
      <c r="BWO251" s="4"/>
      <c r="BWP251" s="9"/>
      <c r="BWQ251" s="4"/>
      <c r="BWR251" s="9"/>
      <c r="BWS251" s="4"/>
      <c r="BWT251" s="9"/>
      <c r="BWU251" s="4"/>
      <c r="BWV251" s="9"/>
      <c r="BWW251" s="4"/>
      <c r="BWX251" s="9"/>
      <c r="BWY251" s="4"/>
      <c r="BWZ251" s="9"/>
      <c r="BXA251" s="4"/>
      <c r="BXB251" s="9"/>
      <c r="BXC251" s="4"/>
      <c r="BXD251" s="9"/>
      <c r="BXE251" s="4"/>
      <c r="BXF251" s="9"/>
      <c r="BXG251" s="4"/>
      <c r="BXH251" s="9"/>
      <c r="BXI251" s="4"/>
      <c r="BXJ251" s="9"/>
      <c r="BXK251" s="4"/>
      <c r="BXL251" s="9"/>
      <c r="BXM251" s="4"/>
      <c r="BXN251" s="9"/>
      <c r="BXO251" s="4"/>
      <c r="BXP251" s="9"/>
      <c r="BXQ251" s="4"/>
      <c r="BXR251" s="9"/>
      <c r="BXS251" s="4"/>
      <c r="BXT251" s="9"/>
      <c r="BXU251" s="4"/>
      <c r="BXV251" s="9"/>
      <c r="BXW251" s="4"/>
      <c r="BXX251" s="9"/>
      <c r="BXY251" s="4"/>
      <c r="BXZ251" s="9"/>
      <c r="BYA251" s="4"/>
      <c r="BYB251" s="9"/>
      <c r="BYC251" s="4"/>
      <c r="BYD251" s="9"/>
      <c r="BYE251" s="4"/>
      <c r="BYF251" s="9"/>
      <c r="BYG251" s="4"/>
      <c r="BYH251" s="9"/>
      <c r="BYI251" s="4"/>
      <c r="BYJ251" s="9"/>
      <c r="BYK251" s="4"/>
      <c r="BYL251" s="9"/>
      <c r="BYM251" s="4"/>
      <c r="BYN251" s="9"/>
      <c r="BYO251" s="4"/>
      <c r="BYP251" s="9"/>
      <c r="BYQ251" s="4"/>
      <c r="BYR251" s="9"/>
      <c r="BYS251" s="4"/>
      <c r="BYT251" s="9"/>
      <c r="BYU251" s="4"/>
      <c r="BYV251" s="9"/>
      <c r="BYW251" s="4"/>
      <c r="BYX251" s="9"/>
      <c r="BYY251" s="4"/>
      <c r="BYZ251" s="9"/>
      <c r="BZA251" s="4"/>
      <c r="BZB251" s="9"/>
      <c r="BZC251" s="4"/>
      <c r="BZD251" s="9"/>
      <c r="BZE251" s="4"/>
      <c r="BZF251" s="9"/>
      <c r="BZG251" s="4"/>
      <c r="BZH251" s="9"/>
      <c r="BZI251" s="4"/>
      <c r="BZJ251" s="9"/>
      <c r="BZK251" s="4"/>
      <c r="BZL251" s="9"/>
      <c r="BZM251" s="4"/>
      <c r="BZN251" s="9"/>
      <c r="BZO251" s="4"/>
      <c r="BZP251" s="9"/>
      <c r="BZQ251" s="4"/>
      <c r="BZR251" s="9"/>
      <c r="BZS251" s="4"/>
      <c r="BZT251" s="9"/>
      <c r="BZU251" s="4"/>
      <c r="BZV251" s="9"/>
      <c r="BZW251" s="4"/>
      <c r="BZX251" s="9"/>
      <c r="BZY251" s="4"/>
      <c r="BZZ251" s="9"/>
      <c r="CAA251" s="4"/>
      <c r="CAB251" s="9"/>
      <c r="CAC251" s="4"/>
      <c r="CAD251" s="9"/>
      <c r="CAE251" s="4"/>
      <c r="CAF251" s="9"/>
      <c r="CAG251" s="4"/>
      <c r="CAH251" s="9"/>
      <c r="CAI251" s="4"/>
      <c r="CAJ251" s="9"/>
      <c r="CAK251" s="4"/>
      <c r="CAL251" s="9"/>
      <c r="CAM251" s="4"/>
      <c r="CAN251" s="9"/>
      <c r="CAO251" s="4"/>
      <c r="CAP251" s="9"/>
      <c r="CAQ251" s="4"/>
      <c r="CAR251" s="9"/>
      <c r="CAS251" s="4"/>
      <c r="CAT251" s="9"/>
      <c r="CAU251" s="4"/>
      <c r="CAV251" s="9"/>
      <c r="CAW251" s="4"/>
      <c r="CAX251" s="9"/>
      <c r="CAY251" s="4"/>
      <c r="CAZ251" s="9"/>
      <c r="CBA251" s="4"/>
      <c r="CBB251" s="9"/>
      <c r="CBC251" s="4"/>
      <c r="CBD251" s="9"/>
      <c r="CBE251" s="4"/>
      <c r="CBF251" s="9"/>
      <c r="CBG251" s="4"/>
      <c r="CBH251" s="9"/>
      <c r="CBI251" s="4"/>
      <c r="CBJ251" s="9"/>
      <c r="CBK251" s="4"/>
      <c r="CBL251" s="9"/>
      <c r="CBM251" s="4"/>
      <c r="CBN251" s="9"/>
      <c r="CBO251" s="4"/>
      <c r="CBP251" s="9"/>
      <c r="CBQ251" s="4"/>
      <c r="CBR251" s="9"/>
      <c r="CBS251" s="4"/>
      <c r="CBT251" s="9"/>
      <c r="CBU251" s="4"/>
      <c r="CBV251" s="9"/>
      <c r="CBW251" s="4"/>
      <c r="CBX251" s="9"/>
      <c r="CBY251" s="4"/>
      <c r="CBZ251" s="9"/>
      <c r="CCA251" s="4"/>
      <c r="CCB251" s="9"/>
      <c r="CCC251" s="4"/>
      <c r="CCD251" s="9"/>
      <c r="CCE251" s="4"/>
      <c r="CCF251" s="9"/>
      <c r="CCG251" s="4"/>
      <c r="CCH251" s="9"/>
      <c r="CCI251" s="4"/>
      <c r="CCJ251" s="9"/>
      <c r="CCK251" s="4"/>
      <c r="CCL251" s="9"/>
      <c r="CCM251" s="4"/>
      <c r="CCN251" s="9"/>
      <c r="CCO251" s="4"/>
      <c r="CCP251" s="9"/>
      <c r="CCQ251" s="4"/>
      <c r="CCR251" s="9"/>
      <c r="CCS251" s="4"/>
      <c r="CCT251" s="9"/>
      <c r="CCU251" s="4"/>
      <c r="CCV251" s="9"/>
      <c r="CCW251" s="4"/>
      <c r="CCX251" s="9"/>
      <c r="CCY251" s="4"/>
      <c r="CCZ251" s="9"/>
      <c r="CDA251" s="4"/>
      <c r="CDB251" s="9"/>
      <c r="CDC251" s="4"/>
      <c r="CDD251" s="9"/>
      <c r="CDE251" s="4"/>
      <c r="CDF251" s="9"/>
      <c r="CDG251" s="4"/>
      <c r="CDH251" s="9"/>
      <c r="CDI251" s="4"/>
      <c r="CDJ251" s="9"/>
      <c r="CDK251" s="4"/>
      <c r="CDL251" s="9"/>
      <c r="CDM251" s="4"/>
      <c r="CDN251" s="9"/>
      <c r="CDO251" s="4"/>
      <c r="CDP251" s="9"/>
      <c r="CDQ251" s="4"/>
      <c r="CDR251" s="9"/>
      <c r="CDS251" s="4"/>
      <c r="CDT251" s="9"/>
      <c r="CDU251" s="4"/>
      <c r="CDV251" s="9"/>
      <c r="CDW251" s="4"/>
      <c r="CDX251" s="9"/>
      <c r="CDY251" s="4"/>
      <c r="CDZ251" s="9"/>
      <c r="CEA251" s="4"/>
      <c r="CEB251" s="9"/>
      <c r="CEC251" s="4"/>
      <c r="CED251" s="9"/>
      <c r="CEE251" s="4"/>
      <c r="CEF251" s="9"/>
      <c r="CEG251" s="4"/>
      <c r="CEH251" s="9"/>
      <c r="CEI251" s="4"/>
      <c r="CEJ251" s="9"/>
      <c r="CEK251" s="4"/>
      <c r="CEL251" s="9"/>
      <c r="CEM251" s="4"/>
      <c r="CEN251" s="9"/>
      <c r="CEO251" s="4"/>
      <c r="CEP251" s="9"/>
      <c r="CEQ251" s="4"/>
      <c r="CER251" s="9"/>
      <c r="CES251" s="4"/>
      <c r="CET251" s="9"/>
      <c r="CEU251" s="4"/>
      <c r="CEV251" s="9"/>
      <c r="CEW251" s="4"/>
      <c r="CEX251" s="9"/>
      <c r="CEY251" s="4"/>
      <c r="CEZ251" s="9"/>
      <c r="CFA251" s="4"/>
      <c r="CFB251" s="9"/>
      <c r="CFC251" s="4"/>
      <c r="CFD251" s="9"/>
      <c r="CFE251" s="4"/>
      <c r="CFF251" s="9"/>
      <c r="CFG251" s="4"/>
      <c r="CFH251" s="9"/>
      <c r="CFI251" s="4"/>
      <c r="CFJ251" s="9"/>
      <c r="CFK251" s="4"/>
      <c r="CFL251" s="9"/>
      <c r="CFM251" s="4"/>
      <c r="CFN251" s="9"/>
      <c r="CFO251" s="4"/>
      <c r="CFP251" s="9"/>
      <c r="CFQ251" s="4"/>
      <c r="CFR251" s="9"/>
      <c r="CFS251" s="4"/>
      <c r="CFT251" s="9"/>
      <c r="CFU251" s="4"/>
      <c r="CFV251" s="9"/>
      <c r="CFW251" s="4"/>
      <c r="CFX251" s="9"/>
      <c r="CFY251" s="4"/>
      <c r="CFZ251" s="9"/>
      <c r="CGA251" s="4"/>
      <c r="CGB251" s="9"/>
      <c r="CGC251" s="4"/>
      <c r="CGD251" s="9"/>
      <c r="CGE251" s="4"/>
      <c r="CGF251" s="9"/>
      <c r="CGG251" s="4"/>
      <c r="CGH251" s="9"/>
      <c r="CGI251" s="4"/>
      <c r="CGJ251" s="9"/>
      <c r="CGK251" s="4"/>
      <c r="CGL251" s="9"/>
      <c r="CGM251" s="4"/>
      <c r="CGN251" s="9"/>
      <c r="CGO251" s="4"/>
      <c r="CGP251" s="9"/>
      <c r="CGQ251" s="4"/>
      <c r="CGR251" s="9"/>
      <c r="CGS251" s="4"/>
      <c r="CGT251" s="9"/>
      <c r="CGU251" s="4"/>
      <c r="CGV251" s="9"/>
      <c r="CGW251" s="4"/>
      <c r="CGX251" s="9"/>
      <c r="CGY251" s="4"/>
      <c r="CGZ251" s="9"/>
      <c r="CHA251" s="4"/>
      <c r="CHB251" s="9"/>
      <c r="CHC251" s="4"/>
      <c r="CHD251" s="9"/>
      <c r="CHE251" s="4"/>
      <c r="CHF251" s="9"/>
      <c r="CHG251" s="4"/>
      <c r="CHH251" s="9"/>
      <c r="CHI251" s="4"/>
      <c r="CHJ251" s="9"/>
      <c r="CHK251" s="4"/>
      <c r="CHL251" s="9"/>
      <c r="CHM251" s="4"/>
      <c r="CHN251" s="9"/>
      <c r="CHO251" s="4"/>
      <c r="CHP251" s="9"/>
      <c r="CHQ251" s="4"/>
      <c r="CHR251" s="9"/>
      <c r="CHS251" s="4"/>
      <c r="CHT251" s="9"/>
      <c r="CHU251" s="4"/>
      <c r="CHV251" s="9"/>
      <c r="CHW251" s="4"/>
      <c r="CHX251" s="9"/>
      <c r="CHY251" s="4"/>
      <c r="CHZ251" s="9"/>
      <c r="CIA251" s="4"/>
      <c r="CIB251" s="9"/>
      <c r="CIC251" s="4"/>
      <c r="CID251" s="9"/>
      <c r="CIE251" s="4"/>
      <c r="CIF251" s="9"/>
      <c r="CIG251" s="4"/>
      <c r="CIH251" s="9"/>
      <c r="CII251" s="4"/>
      <c r="CIJ251" s="9"/>
      <c r="CIK251" s="4"/>
      <c r="CIL251" s="9"/>
      <c r="CIM251" s="4"/>
      <c r="CIN251" s="9"/>
      <c r="CIO251" s="4"/>
      <c r="CIP251" s="9"/>
      <c r="CIQ251" s="4"/>
      <c r="CIR251" s="9"/>
      <c r="CIS251" s="4"/>
      <c r="CIT251" s="9"/>
      <c r="CIU251" s="4"/>
      <c r="CIV251" s="9"/>
      <c r="CIW251" s="4"/>
      <c r="CIX251" s="9"/>
      <c r="CIY251" s="4"/>
      <c r="CIZ251" s="9"/>
      <c r="CJA251" s="4"/>
      <c r="CJB251" s="9"/>
      <c r="CJC251" s="4"/>
      <c r="CJD251" s="9"/>
      <c r="CJE251" s="4"/>
      <c r="CJF251" s="9"/>
      <c r="CJG251" s="4"/>
      <c r="CJH251" s="9"/>
      <c r="CJI251" s="4"/>
      <c r="CJJ251" s="9"/>
      <c r="CJK251" s="4"/>
      <c r="CJL251" s="9"/>
      <c r="CJM251" s="4"/>
      <c r="CJN251" s="9"/>
      <c r="CJO251" s="4"/>
      <c r="CJP251" s="9"/>
      <c r="CJQ251" s="4"/>
      <c r="CJR251" s="9"/>
      <c r="CJS251" s="4"/>
      <c r="CJT251" s="9"/>
      <c r="CJU251" s="4"/>
      <c r="CJV251" s="9"/>
      <c r="CJW251" s="4"/>
      <c r="CJX251" s="9"/>
      <c r="CJY251" s="4"/>
      <c r="CJZ251" s="9"/>
      <c r="CKA251" s="4"/>
      <c r="CKB251" s="9"/>
      <c r="CKC251" s="4"/>
      <c r="CKD251" s="9"/>
      <c r="CKE251" s="4"/>
      <c r="CKF251" s="9"/>
      <c r="CKG251" s="4"/>
      <c r="CKH251" s="9"/>
      <c r="CKI251" s="4"/>
      <c r="CKJ251" s="9"/>
      <c r="CKK251" s="4"/>
      <c r="CKL251" s="9"/>
      <c r="CKM251" s="4"/>
      <c r="CKN251" s="9"/>
      <c r="CKO251" s="4"/>
      <c r="CKP251" s="9"/>
      <c r="CKQ251" s="4"/>
      <c r="CKR251" s="9"/>
      <c r="CKS251" s="4"/>
      <c r="CKT251" s="9"/>
      <c r="CKU251" s="4"/>
      <c r="CKV251" s="9"/>
      <c r="CKW251" s="4"/>
      <c r="CKX251" s="9"/>
      <c r="CKY251" s="4"/>
      <c r="CKZ251" s="9"/>
      <c r="CLA251" s="4"/>
      <c r="CLB251" s="9"/>
      <c r="CLC251" s="4"/>
      <c r="CLD251" s="9"/>
      <c r="CLE251" s="4"/>
      <c r="CLF251" s="9"/>
      <c r="CLG251" s="4"/>
      <c r="CLH251" s="9"/>
      <c r="CLI251" s="4"/>
      <c r="CLJ251" s="9"/>
      <c r="CLK251" s="4"/>
      <c r="CLL251" s="9"/>
      <c r="CLM251" s="4"/>
      <c r="CLN251" s="9"/>
      <c r="CLO251" s="4"/>
      <c r="CLP251" s="9"/>
      <c r="CLQ251" s="4"/>
      <c r="CLR251" s="9"/>
      <c r="CLS251" s="4"/>
      <c r="CLT251" s="9"/>
      <c r="CLU251" s="4"/>
      <c r="CLV251" s="9"/>
      <c r="CLW251" s="4"/>
      <c r="CLX251" s="9"/>
      <c r="CLY251" s="4"/>
      <c r="CLZ251" s="9"/>
      <c r="CMA251" s="4"/>
      <c r="CMB251" s="9"/>
      <c r="CMC251" s="4"/>
      <c r="CMD251" s="9"/>
      <c r="CME251" s="4"/>
      <c r="CMF251" s="9"/>
      <c r="CMG251" s="4"/>
      <c r="CMH251" s="9"/>
      <c r="CMI251" s="4"/>
      <c r="CMJ251" s="9"/>
      <c r="CMK251" s="4"/>
      <c r="CML251" s="9"/>
      <c r="CMM251" s="4"/>
      <c r="CMN251" s="9"/>
      <c r="CMO251" s="4"/>
      <c r="CMP251" s="9"/>
      <c r="CMQ251" s="4"/>
      <c r="CMR251" s="9"/>
      <c r="CMS251" s="4"/>
      <c r="CMT251" s="9"/>
      <c r="CMU251" s="4"/>
      <c r="CMV251" s="9"/>
      <c r="CMW251" s="4"/>
      <c r="CMX251" s="9"/>
      <c r="CMY251" s="4"/>
      <c r="CMZ251" s="9"/>
      <c r="CNA251" s="4"/>
      <c r="CNB251" s="9"/>
      <c r="CNC251" s="4"/>
      <c r="CND251" s="9"/>
      <c r="CNE251" s="4"/>
      <c r="CNF251" s="9"/>
      <c r="CNG251" s="4"/>
      <c r="CNH251" s="9"/>
      <c r="CNI251" s="4"/>
      <c r="CNJ251" s="9"/>
      <c r="CNK251" s="4"/>
      <c r="CNL251" s="9"/>
      <c r="CNM251" s="4"/>
      <c r="CNN251" s="9"/>
      <c r="CNO251" s="4"/>
      <c r="CNP251" s="9"/>
      <c r="CNQ251" s="4"/>
      <c r="CNR251" s="9"/>
      <c r="CNS251" s="4"/>
      <c r="CNT251" s="9"/>
      <c r="CNU251" s="4"/>
      <c r="CNV251" s="9"/>
      <c r="CNW251" s="4"/>
      <c r="CNX251" s="9"/>
      <c r="CNY251" s="4"/>
      <c r="CNZ251" s="9"/>
      <c r="COA251" s="4"/>
      <c r="COB251" s="9"/>
      <c r="COC251" s="4"/>
      <c r="COD251" s="9"/>
      <c r="COE251" s="4"/>
      <c r="COF251" s="9"/>
      <c r="COG251" s="4"/>
      <c r="COH251" s="9"/>
      <c r="COI251" s="4"/>
      <c r="COJ251" s="9"/>
      <c r="COK251" s="4"/>
      <c r="COL251" s="9"/>
      <c r="COM251" s="4"/>
      <c r="CON251" s="9"/>
      <c r="COO251" s="4"/>
      <c r="COP251" s="9"/>
      <c r="COQ251" s="4"/>
      <c r="COR251" s="9"/>
      <c r="COS251" s="4"/>
      <c r="COT251" s="9"/>
      <c r="COU251" s="4"/>
      <c r="COV251" s="9"/>
      <c r="COW251" s="4"/>
      <c r="COX251" s="9"/>
      <c r="COY251" s="4"/>
      <c r="COZ251" s="9"/>
      <c r="CPA251" s="4"/>
      <c r="CPB251" s="9"/>
      <c r="CPC251" s="4"/>
      <c r="CPD251" s="9"/>
      <c r="CPE251" s="4"/>
      <c r="CPF251" s="9"/>
      <c r="CPG251" s="4"/>
      <c r="CPH251" s="9"/>
      <c r="CPI251" s="4"/>
      <c r="CPJ251" s="9"/>
      <c r="CPK251" s="4"/>
      <c r="CPL251" s="9"/>
      <c r="CPM251" s="4"/>
      <c r="CPN251" s="9"/>
      <c r="CPO251" s="4"/>
      <c r="CPP251" s="9"/>
      <c r="CPQ251" s="4"/>
      <c r="CPR251" s="9"/>
      <c r="CPS251" s="4"/>
      <c r="CPT251" s="9"/>
      <c r="CPU251" s="4"/>
      <c r="CPV251" s="9"/>
      <c r="CPW251" s="4"/>
      <c r="CPX251" s="9"/>
      <c r="CPY251" s="4"/>
      <c r="CPZ251" s="9"/>
      <c r="CQA251" s="4"/>
      <c r="CQB251" s="9"/>
      <c r="CQC251" s="4"/>
      <c r="CQD251" s="9"/>
      <c r="CQE251" s="4"/>
      <c r="CQF251" s="9"/>
      <c r="CQG251" s="4"/>
      <c r="CQH251" s="9"/>
      <c r="CQI251" s="4"/>
      <c r="CQJ251" s="9"/>
      <c r="CQK251" s="4"/>
      <c r="CQL251" s="9"/>
      <c r="CQM251" s="4"/>
      <c r="CQN251" s="9"/>
      <c r="CQO251" s="4"/>
      <c r="CQP251" s="9"/>
      <c r="CQQ251" s="4"/>
      <c r="CQR251" s="9"/>
      <c r="CQS251" s="4"/>
      <c r="CQT251" s="9"/>
      <c r="CQU251" s="4"/>
      <c r="CQV251" s="9"/>
      <c r="CQW251" s="4"/>
      <c r="CQX251" s="9"/>
      <c r="CQY251" s="4"/>
      <c r="CQZ251" s="9"/>
      <c r="CRA251" s="4"/>
      <c r="CRB251" s="9"/>
      <c r="CRC251" s="4"/>
      <c r="CRD251" s="9"/>
      <c r="CRE251" s="4"/>
      <c r="CRF251" s="9"/>
      <c r="CRG251" s="4"/>
      <c r="CRH251" s="9"/>
      <c r="CRI251" s="4"/>
      <c r="CRJ251" s="9"/>
      <c r="CRK251" s="4"/>
      <c r="CRL251" s="9"/>
      <c r="CRM251" s="4"/>
      <c r="CRN251" s="9"/>
      <c r="CRO251" s="4"/>
      <c r="CRP251" s="9"/>
      <c r="CRQ251" s="4"/>
      <c r="CRR251" s="9"/>
      <c r="CRS251" s="4"/>
      <c r="CRT251" s="9"/>
      <c r="CRU251" s="4"/>
      <c r="CRV251" s="9"/>
      <c r="CRW251" s="4"/>
      <c r="CRX251" s="9"/>
      <c r="CRY251" s="4"/>
      <c r="CRZ251" s="9"/>
      <c r="CSA251" s="4"/>
      <c r="CSB251" s="9"/>
      <c r="CSC251" s="4"/>
      <c r="CSD251" s="9"/>
      <c r="CSE251" s="4"/>
      <c r="CSF251" s="9"/>
      <c r="CSG251" s="4"/>
      <c r="CSH251" s="9"/>
      <c r="CSI251" s="4"/>
      <c r="CSJ251" s="9"/>
      <c r="CSK251" s="4"/>
      <c r="CSL251" s="9"/>
      <c r="CSM251" s="4"/>
      <c r="CSN251" s="9"/>
      <c r="CSO251" s="4"/>
      <c r="CSP251" s="9"/>
      <c r="CSQ251" s="4"/>
      <c r="CSR251" s="9"/>
      <c r="CSS251" s="4"/>
      <c r="CST251" s="9"/>
      <c r="CSU251" s="4"/>
      <c r="CSV251" s="9"/>
      <c r="CSW251" s="4"/>
      <c r="CSX251" s="9"/>
      <c r="CSY251" s="4"/>
      <c r="CSZ251" s="9"/>
      <c r="CTA251" s="4"/>
      <c r="CTB251" s="9"/>
      <c r="CTC251" s="4"/>
      <c r="CTD251" s="9"/>
      <c r="CTE251" s="4"/>
      <c r="CTF251" s="9"/>
      <c r="CTG251" s="4"/>
      <c r="CTH251" s="9"/>
      <c r="CTI251" s="4"/>
      <c r="CTJ251" s="9"/>
      <c r="CTK251" s="4"/>
      <c r="CTL251" s="9"/>
      <c r="CTM251" s="4"/>
      <c r="CTN251" s="9"/>
      <c r="CTO251" s="4"/>
      <c r="CTP251" s="9"/>
      <c r="CTQ251" s="4"/>
      <c r="CTR251" s="9"/>
      <c r="CTS251" s="4"/>
      <c r="CTT251" s="9"/>
      <c r="CTU251" s="4"/>
      <c r="CTV251" s="9"/>
      <c r="CTW251" s="4"/>
      <c r="CTX251" s="9"/>
      <c r="CTY251" s="4"/>
      <c r="CTZ251" s="9"/>
      <c r="CUA251" s="4"/>
      <c r="CUB251" s="9"/>
      <c r="CUC251" s="4"/>
      <c r="CUD251" s="9"/>
      <c r="CUE251" s="4"/>
      <c r="CUF251" s="9"/>
      <c r="CUG251" s="4"/>
      <c r="CUH251" s="9"/>
      <c r="CUI251" s="4"/>
      <c r="CUJ251" s="9"/>
      <c r="CUK251" s="4"/>
      <c r="CUL251" s="9"/>
      <c r="CUM251" s="4"/>
      <c r="CUN251" s="9"/>
      <c r="CUO251" s="4"/>
      <c r="CUP251" s="9"/>
      <c r="CUQ251" s="4"/>
      <c r="CUR251" s="9"/>
      <c r="CUS251" s="4"/>
      <c r="CUT251" s="9"/>
      <c r="CUU251" s="4"/>
      <c r="CUV251" s="9"/>
      <c r="CUW251" s="4"/>
      <c r="CUX251" s="9"/>
      <c r="CUY251" s="4"/>
      <c r="CUZ251" s="9"/>
      <c r="CVA251" s="4"/>
      <c r="CVB251" s="9"/>
      <c r="CVC251" s="4"/>
      <c r="CVD251" s="9"/>
      <c r="CVE251" s="4"/>
      <c r="CVF251" s="9"/>
      <c r="CVG251" s="4"/>
      <c r="CVH251" s="9"/>
      <c r="CVI251" s="4"/>
      <c r="CVJ251" s="9"/>
      <c r="CVK251" s="4"/>
      <c r="CVL251" s="9"/>
      <c r="CVM251" s="4"/>
      <c r="CVN251" s="9"/>
      <c r="CVO251" s="4"/>
      <c r="CVP251" s="9"/>
      <c r="CVQ251" s="4"/>
      <c r="CVR251" s="9"/>
      <c r="CVS251" s="4"/>
      <c r="CVT251" s="9"/>
      <c r="CVU251" s="4"/>
      <c r="CVV251" s="9"/>
      <c r="CVW251" s="4"/>
      <c r="CVX251" s="9"/>
      <c r="CVY251" s="4"/>
      <c r="CVZ251" s="9"/>
      <c r="CWA251" s="4"/>
      <c r="CWB251" s="9"/>
      <c r="CWC251" s="4"/>
      <c r="CWD251" s="9"/>
      <c r="CWE251" s="4"/>
      <c r="CWF251" s="9"/>
      <c r="CWG251" s="4"/>
      <c r="CWH251" s="9"/>
      <c r="CWI251" s="4"/>
      <c r="CWJ251" s="9"/>
      <c r="CWK251" s="4"/>
      <c r="CWL251" s="9"/>
      <c r="CWM251" s="4"/>
      <c r="CWN251" s="9"/>
      <c r="CWO251" s="4"/>
      <c r="CWP251" s="9"/>
      <c r="CWQ251" s="4"/>
      <c r="CWR251" s="9"/>
      <c r="CWS251" s="4"/>
      <c r="CWT251" s="9"/>
      <c r="CWU251" s="4"/>
      <c r="CWV251" s="9"/>
      <c r="CWW251" s="4"/>
      <c r="CWX251" s="9"/>
      <c r="CWY251" s="4"/>
      <c r="CWZ251" s="9"/>
      <c r="CXA251" s="4"/>
      <c r="CXB251" s="9"/>
      <c r="CXC251" s="4"/>
      <c r="CXD251" s="9"/>
      <c r="CXE251" s="4"/>
      <c r="CXF251" s="9"/>
      <c r="CXG251" s="4"/>
      <c r="CXH251" s="9"/>
      <c r="CXI251" s="4"/>
      <c r="CXJ251" s="9"/>
      <c r="CXK251" s="4"/>
      <c r="CXL251" s="9"/>
      <c r="CXM251" s="4"/>
      <c r="CXN251" s="9"/>
      <c r="CXO251" s="4"/>
      <c r="CXP251" s="9"/>
      <c r="CXQ251" s="4"/>
      <c r="CXR251" s="9"/>
      <c r="CXS251" s="4"/>
      <c r="CXT251" s="9"/>
      <c r="CXU251" s="4"/>
      <c r="CXV251" s="9"/>
      <c r="CXW251" s="4"/>
      <c r="CXX251" s="9"/>
      <c r="CXY251" s="4"/>
      <c r="CXZ251" s="9"/>
      <c r="CYA251" s="4"/>
      <c r="CYB251" s="9"/>
      <c r="CYC251" s="4"/>
      <c r="CYD251" s="9"/>
      <c r="CYE251" s="4"/>
      <c r="CYF251" s="9"/>
      <c r="CYG251" s="4"/>
      <c r="CYH251" s="9"/>
      <c r="CYI251" s="4"/>
      <c r="CYJ251" s="9"/>
      <c r="CYK251" s="4"/>
      <c r="CYL251" s="9"/>
      <c r="CYM251" s="4"/>
      <c r="CYN251" s="9"/>
      <c r="CYO251" s="4"/>
      <c r="CYP251" s="9"/>
      <c r="CYQ251" s="4"/>
      <c r="CYR251" s="9"/>
      <c r="CYS251" s="4"/>
      <c r="CYT251" s="9"/>
      <c r="CYU251" s="4"/>
      <c r="CYV251" s="9"/>
      <c r="CYW251" s="4"/>
      <c r="CYX251" s="9"/>
      <c r="CYY251" s="4"/>
      <c r="CYZ251" s="9"/>
      <c r="CZA251" s="4"/>
      <c r="CZB251" s="9"/>
      <c r="CZC251" s="4"/>
      <c r="CZD251" s="9"/>
      <c r="CZE251" s="4"/>
      <c r="CZF251" s="9"/>
      <c r="CZG251" s="4"/>
      <c r="CZH251" s="9"/>
      <c r="CZI251" s="4"/>
      <c r="CZJ251" s="9"/>
      <c r="CZK251" s="4"/>
      <c r="CZL251" s="9"/>
      <c r="CZM251" s="4"/>
      <c r="CZN251" s="9"/>
      <c r="CZO251" s="4"/>
      <c r="CZP251" s="9"/>
      <c r="CZQ251" s="4"/>
      <c r="CZR251" s="9"/>
      <c r="CZS251" s="4"/>
      <c r="CZT251" s="9"/>
      <c r="CZU251" s="4"/>
      <c r="CZV251" s="9"/>
      <c r="CZW251" s="4"/>
      <c r="CZX251" s="9"/>
      <c r="CZY251" s="4"/>
      <c r="CZZ251" s="9"/>
      <c r="DAA251" s="4"/>
      <c r="DAB251" s="9"/>
      <c r="DAC251" s="4"/>
      <c r="DAD251" s="9"/>
      <c r="DAE251" s="4"/>
      <c r="DAF251" s="9"/>
      <c r="DAG251" s="4"/>
      <c r="DAH251" s="9"/>
      <c r="DAI251" s="4"/>
      <c r="DAJ251" s="9"/>
      <c r="DAK251" s="4"/>
      <c r="DAL251" s="9"/>
      <c r="DAM251" s="4"/>
      <c r="DAN251" s="9"/>
      <c r="DAO251" s="4"/>
      <c r="DAP251" s="9"/>
      <c r="DAQ251" s="4"/>
      <c r="DAR251" s="9"/>
      <c r="DAS251" s="4"/>
      <c r="DAT251" s="9"/>
      <c r="DAU251" s="4"/>
      <c r="DAV251" s="9"/>
      <c r="DAW251" s="4"/>
      <c r="DAX251" s="9"/>
      <c r="DAY251" s="4"/>
      <c r="DAZ251" s="9"/>
      <c r="DBA251" s="4"/>
      <c r="DBB251" s="9"/>
      <c r="DBC251" s="4"/>
      <c r="DBD251" s="9"/>
      <c r="DBE251" s="4"/>
      <c r="DBF251" s="9"/>
      <c r="DBG251" s="4"/>
      <c r="DBH251" s="9"/>
      <c r="DBI251" s="4"/>
      <c r="DBJ251" s="9"/>
      <c r="DBK251" s="4"/>
      <c r="DBL251" s="9"/>
      <c r="DBM251" s="4"/>
      <c r="DBN251" s="9"/>
      <c r="DBO251" s="4"/>
      <c r="DBP251" s="9"/>
      <c r="DBQ251" s="4"/>
      <c r="DBR251" s="9"/>
      <c r="DBS251" s="4"/>
      <c r="DBT251" s="9"/>
      <c r="DBU251" s="4"/>
      <c r="DBV251" s="9"/>
      <c r="DBW251" s="4"/>
      <c r="DBX251" s="9"/>
      <c r="DBY251" s="4"/>
      <c r="DBZ251" s="9"/>
      <c r="DCA251" s="4"/>
      <c r="DCB251" s="9"/>
      <c r="DCC251" s="4"/>
      <c r="DCD251" s="9"/>
      <c r="DCE251" s="4"/>
      <c r="DCF251" s="9"/>
      <c r="DCG251" s="4"/>
      <c r="DCH251" s="9"/>
      <c r="DCI251" s="4"/>
      <c r="DCJ251" s="9"/>
      <c r="DCK251" s="4"/>
      <c r="DCL251" s="9"/>
      <c r="DCM251" s="4"/>
      <c r="DCN251" s="9"/>
      <c r="DCO251" s="4"/>
      <c r="DCP251" s="9"/>
      <c r="DCQ251" s="4"/>
      <c r="DCR251" s="9"/>
      <c r="DCS251" s="4"/>
      <c r="DCT251" s="9"/>
      <c r="DCU251" s="4"/>
      <c r="DCV251" s="9"/>
      <c r="DCW251" s="4"/>
      <c r="DCX251" s="9"/>
      <c r="DCY251" s="4"/>
      <c r="DCZ251" s="9"/>
      <c r="DDA251" s="4"/>
      <c r="DDB251" s="9"/>
      <c r="DDC251" s="4"/>
      <c r="DDD251" s="9"/>
      <c r="DDE251" s="4"/>
      <c r="DDF251" s="9"/>
      <c r="DDG251" s="4"/>
      <c r="DDH251" s="9"/>
      <c r="DDI251" s="4"/>
      <c r="DDJ251" s="9"/>
      <c r="DDK251" s="4"/>
      <c r="DDL251" s="9"/>
      <c r="DDM251" s="4"/>
      <c r="DDN251" s="9"/>
      <c r="DDO251" s="4"/>
      <c r="DDP251" s="9"/>
      <c r="DDQ251" s="4"/>
      <c r="DDR251" s="9"/>
      <c r="DDS251" s="4"/>
      <c r="DDT251" s="9"/>
      <c r="DDU251" s="4"/>
      <c r="DDV251" s="9"/>
      <c r="DDW251" s="4"/>
      <c r="DDX251" s="9"/>
      <c r="DDY251" s="4"/>
      <c r="DDZ251" s="9"/>
      <c r="DEA251" s="4"/>
      <c r="DEB251" s="9"/>
      <c r="DEC251" s="4"/>
      <c r="DED251" s="9"/>
      <c r="DEE251" s="4"/>
      <c r="DEF251" s="9"/>
      <c r="DEG251" s="4"/>
      <c r="DEH251" s="9"/>
      <c r="DEI251" s="4"/>
      <c r="DEJ251" s="9"/>
      <c r="DEK251" s="4"/>
      <c r="DEL251" s="9"/>
      <c r="DEM251" s="4"/>
      <c r="DEN251" s="9"/>
      <c r="DEO251" s="4"/>
      <c r="DEP251" s="9"/>
      <c r="DEQ251" s="4"/>
      <c r="DER251" s="9"/>
      <c r="DES251" s="4"/>
      <c r="DET251" s="9"/>
      <c r="DEU251" s="4"/>
      <c r="DEV251" s="9"/>
      <c r="DEW251" s="4"/>
      <c r="DEX251" s="9"/>
      <c r="DEY251" s="4"/>
      <c r="DEZ251" s="9"/>
      <c r="DFA251" s="4"/>
      <c r="DFB251" s="9"/>
      <c r="DFC251" s="4"/>
      <c r="DFD251" s="9"/>
      <c r="DFE251" s="4"/>
      <c r="DFF251" s="9"/>
      <c r="DFG251" s="4"/>
      <c r="DFH251" s="9"/>
      <c r="DFI251" s="4"/>
      <c r="DFJ251" s="9"/>
      <c r="DFK251" s="4"/>
      <c r="DFL251" s="9"/>
      <c r="DFM251" s="4"/>
      <c r="DFN251" s="9"/>
      <c r="DFO251" s="4"/>
      <c r="DFP251" s="9"/>
      <c r="DFQ251" s="4"/>
      <c r="DFR251" s="9"/>
      <c r="DFS251" s="4"/>
      <c r="DFT251" s="9"/>
      <c r="DFU251" s="4"/>
      <c r="DFV251" s="9"/>
      <c r="DFW251" s="4"/>
      <c r="DFX251" s="9"/>
      <c r="DFY251" s="4"/>
      <c r="DFZ251" s="9"/>
      <c r="DGA251" s="4"/>
      <c r="DGB251" s="9"/>
      <c r="DGC251" s="4"/>
      <c r="DGD251" s="9"/>
      <c r="DGE251" s="4"/>
      <c r="DGF251" s="9"/>
      <c r="DGG251" s="4"/>
      <c r="DGH251" s="9"/>
      <c r="DGI251" s="4"/>
      <c r="DGJ251" s="9"/>
      <c r="DGK251" s="4"/>
      <c r="DGL251" s="9"/>
      <c r="DGM251" s="4"/>
      <c r="DGN251" s="9"/>
      <c r="DGO251" s="4"/>
      <c r="DGP251" s="9"/>
      <c r="DGQ251" s="4"/>
      <c r="DGR251" s="9"/>
      <c r="DGS251" s="4"/>
      <c r="DGT251" s="9"/>
      <c r="DGU251" s="4"/>
      <c r="DGV251" s="9"/>
      <c r="DGW251" s="4"/>
      <c r="DGX251" s="9"/>
      <c r="DGY251" s="4"/>
      <c r="DGZ251" s="9"/>
      <c r="DHA251" s="4"/>
      <c r="DHB251" s="9"/>
      <c r="DHC251" s="4"/>
      <c r="DHD251" s="9"/>
      <c r="DHE251" s="4"/>
      <c r="DHF251" s="9"/>
      <c r="DHG251" s="4"/>
      <c r="DHH251" s="9"/>
      <c r="DHI251" s="4"/>
      <c r="DHJ251" s="9"/>
      <c r="DHK251" s="4"/>
      <c r="DHL251" s="9"/>
      <c r="DHM251" s="4"/>
      <c r="DHN251" s="9"/>
      <c r="DHO251" s="4"/>
      <c r="DHP251" s="9"/>
      <c r="DHQ251" s="4"/>
      <c r="DHR251" s="9"/>
      <c r="DHS251" s="4"/>
      <c r="DHT251" s="9"/>
      <c r="DHU251" s="4"/>
      <c r="DHV251" s="9"/>
      <c r="DHW251" s="4"/>
      <c r="DHX251" s="9"/>
      <c r="DHY251" s="4"/>
      <c r="DHZ251" s="9"/>
      <c r="DIA251" s="4"/>
      <c r="DIB251" s="9"/>
      <c r="DIC251" s="4"/>
      <c r="DID251" s="9"/>
      <c r="DIE251" s="4"/>
      <c r="DIF251" s="9"/>
      <c r="DIG251" s="4"/>
      <c r="DIH251" s="9"/>
      <c r="DII251" s="4"/>
      <c r="DIJ251" s="9"/>
      <c r="DIK251" s="4"/>
      <c r="DIL251" s="9"/>
      <c r="DIM251" s="4"/>
      <c r="DIN251" s="9"/>
      <c r="DIO251" s="4"/>
      <c r="DIP251" s="9"/>
      <c r="DIQ251" s="4"/>
      <c r="DIR251" s="9"/>
      <c r="DIS251" s="4"/>
      <c r="DIT251" s="9"/>
      <c r="DIU251" s="4"/>
      <c r="DIV251" s="9"/>
      <c r="DIW251" s="4"/>
      <c r="DIX251" s="9"/>
      <c r="DIY251" s="4"/>
      <c r="DIZ251" s="9"/>
      <c r="DJA251" s="4"/>
      <c r="DJB251" s="9"/>
      <c r="DJC251" s="4"/>
      <c r="DJD251" s="9"/>
      <c r="DJE251" s="4"/>
      <c r="DJF251" s="9"/>
      <c r="DJG251" s="4"/>
      <c r="DJH251" s="9"/>
      <c r="DJI251" s="4"/>
      <c r="DJJ251" s="9"/>
      <c r="DJK251" s="4"/>
      <c r="DJL251" s="9"/>
      <c r="DJM251" s="4"/>
      <c r="DJN251" s="9"/>
      <c r="DJO251" s="4"/>
      <c r="DJP251" s="9"/>
      <c r="DJQ251" s="4"/>
      <c r="DJR251" s="9"/>
      <c r="DJS251" s="4"/>
      <c r="DJT251" s="9"/>
      <c r="DJU251" s="4"/>
      <c r="DJV251" s="9"/>
      <c r="DJW251" s="4"/>
      <c r="DJX251" s="9"/>
      <c r="DJY251" s="4"/>
      <c r="DJZ251" s="9"/>
      <c r="DKA251" s="4"/>
      <c r="DKB251" s="9"/>
      <c r="DKC251" s="4"/>
      <c r="DKD251" s="9"/>
      <c r="DKE251" s="4"/>
      <c r="DKF251" s="9"/>
      <c r="DKG251" s="4"/>
      <c r="DKH251" s="9"/>
      <c r="DKI251" s="4"/>
      <c r="DKJ251" s="9"/>
      <c r="DKK251" s="4"/>
      <c r="DKL251" s="9"/>
      <c r="DKM251" s="4"/>
      <c r="DKN251" s="9"/>
      <c r="DKO251" s="4"/>
      <c r="DKP251" s="9"/>
      <c r="DKQ251" s="4"/>
      <c r="DKR251" s="9"/>
      <c r="DKS251" s="4"/>
      <c r="DKT251" s="9"/>
      <c r="DKU251" s="4"/>
      <c r="DKV251" s="9"/>
      <c r="DKW251" s="4"/>
      <c r="DKX251" s="9"/>
      <c r="DKY251" s="4"/>
      <c r="DKZ251" s="9"/>
      <c r="DLA251" s="4"/>
      <c r="DLB251" s="9"/>
      <c r="DLC251" s="4"/>
      <c r="DLD251" s="9"/>
      <c r="DLE251" s="4"/>
      <c r="DLF251" s="9"/>
      <c r="DLG251" s="4"/>
      <c r="DLH251" s="9"/>
      <c r="DLI251" s="4"/>
      <c r="DLJ251" s="9"/>
      <c r="DLK251" s="4"/>
      <c r="DLL251" s="9"/>
      <c r="DLM251" s="4"/>
      <c r="DLN251" s="9"/>
      <c r="DLO251" s="4"/>
      <c r="DLP251" s="9"/>
      <c r="DLQ251" s="4"/>
      <c r="DLR251" s="9"/>
      <c r="DLS251" s="4"/>
      <c r="DLT251" s="9"/>
      <c r="DLU251" s="4"/>
      <c r="DLV251" s="9"/>
      <c r="DLW251" s="4"/>
      <c r="DLX251" s="9"/>
      <c r="DLY251" s="4"/>
      <c r="DLZ251" s="9"/>
      <c r="DMA251" s="4"/>
      <c r="DMB251" s="9"/>
      <c r="DMC251" s="4"/>
      <c r="DMD251" s="9"/>
      <c r="DME251" s="4"/>
      <c r="DMF251" s="9"/>
      <c r="DMG251" s="4"/>
      <c r="DMH251" s="9"/>
      <c r="DMI251" s="4"/>
      <c r="DMJ251" s="9"/>
      <c r="DMK251" s="4"/>
      <c r="DML251" s="9"/>
      <c r="DMM251" s="4"/>
      <c r="DMN251" s="9"/>
      <c r="DMO251" s="4"/>
      <c r="DMP251" s="9"/>
      <c r="DMQ251" s="4"/>
      <c r="DMR251" s="9"/>
      <c r="DMS251" s="4"/>
      <c r="DMT251" s="9"/>
      <c r="DMU251" s="4"/>
      <c r="DMV251" s="9"/>
      <c r="DMW251" s="4"/>
      <c r="DMX251" s="9"/>
      <c r="DMY251" s="4"/>
      <c r="DMZ251" s="9"/>
      <c r="DNA251" s="4"/>
      <c r="DNB251" s="9"/>
      <c r="DNC251" s="4"/>
      <c r="DND251" s="9"/>
      <c r="DNE251" s="4"/>
      <c r="DNF251" s="9"/>
      <c r="DNG251" s="4"/>
      <c r="DNH251" s="9"/>
      <c r="DNI251" s="4"/>
      <c r="DNJ251" s="9"/>
      <c r="DNK251" s="4"/>
      <c r="DNL251" s="9"/>
      <c r="DNM251" s="4"/>
      <c r="DNN251" s="9"/>
      <c r="DNO251" s="4"/>
      <c r="DNP251" s="9"/>
      <c r="DNQ251" s="4"/>
      <c r="DNR251" s="9"/>
      <c r="DNS251" s="4"/>
      <c r="DNT251" s="9"/>
      <c r="DNU251" s="4"/>
      <c r="DNV251" s="9"/>
      <c r="DNW251" s="4"/>
      <c r="DNX251" s="9"/>
      <c r="DNY251" s="4"/>
      <c r="DNZ251" s="9"/>
      <c r="DOA251" s="4"/>
      <c r="DOB251" s="9"/>
      <c r="DOC251" s="4"/>
      <c r="DOD251" s="9"/>
      <c r="DOE251" s="4"/>
      <c r="DOF251" s="9"/>
      <c r="DOG251" s="4"/>
      <c r="DOH251" s="9"/>
      <c r="DOI251" s="4"/>
      <c r="DOJ251" s="9"/>
      <c r="DOK251" s="4"/>
      <c r="DOL251" s="9"/>
      <c r="DOM251" s="4"/>
      <c r="DON251" s="9"/>
      <c r="DOO251" s="4"/>
      <c r="DOP251" s="9"/>
      <c r="DOQ251" s="4"/>
      <c r="DOR251" s="9"/>
      <c r="DOS251" s="4"/>
      <c r="DOT251" s="9"/>
      <c r="DOU251" s="4"/>
      <c r="DOV251" s="9"/>
      <c r="DOW251" s="4"/>
      <c r="DOX251" s="9"/>
      <c r="DOY251" s="4"/>
      <c r="DOZ251" s="9"/>
      <c r="DPA251" s="4"/>
      <c r="DPB251" s="9"/>
      <c r="DPC251" s="4"/>
      <c r="DPD251" s="9"/>
      <c r="DPE251" s="4"/>
      <c r="DPF251" s="9"/>
      <c r="DPG251" s="4"/>
      <c r="DPH251" s="9"/>
      <c r="DPI251" s="4"/>
      <c r="DPJ251" s="9"/>
      <c r="DPK251" s="4"/>
      <c r="DPL251" s="9"/>
      <c r="DPM251" s="4"/>
      <c r="DPN251" s="9"/>
      <c r="DPO251" s="4"/>
      <c r="DPP251" s="9"/>
      <c r="DPQ251" s="4"/>
      <c r="DPR251" s="9"/>
      <c r="DPS251" s="4"/>
      <c r="DPT251" s="9"/>
      <c r="DPU251" s="4"/>
      <c r="DPV251" s="9"/>
      <c r="DPW251" s="4"/>
      <c r="DPX251" s="9"/>
      <c r="DPY251" s="4"/>
      <c r="DPZ251" s="9"/>
      <c r="DQA251" s="4"/>
      <c r="DQB251" s="9"/>
      <c r="DQC251" s="4"/>
      <c r="DQD251" s="9"/>
      <c r="DQE251" s="4"/>
      <c r="DQF251" s="9"/>
      <c r="DQG251" s="4"/>
      <c r="DQH251" s="9"/>
      <c r="DQI251" s="4"/>
      <c r="DQJ251" s="9"/>
      <c r="DQK251" s="4"/>
      <c r="DQL251" s="9"/>
      <c r="DQM251" s="4"/>
      <c r="DQN251" s="9"/>
      <c r="DQO251" s="4"/>
      <c r="DQP251" s="9"/>
      <c r="DQQ251" s="4"/>
      <c r="DQR251" s="9"/>
      <c r="DQS251" s="4"/>
      <c r="DQT251" s="9"/>
      <c r="DQU251" s="4"/>
      <c r="DQV251" s="9"/>
      <c r="DQW251" s="4"/>
      <c r="DQX251" s="9"/>
      <c r="DQY251" s="4"/>
      <c r="DQZ251" s="9"/>
      <c r="DRA251" s="4"/>
      <c r="DRB251" s="9"/>
      <c r="DRC251" s="4"/>
      <c r="DRD251" s="9"/>
      <c r="DRE251" s="4"/>
      <c r="DRF251" s="9"/>
      <c r="DRG251" s="4"/>
      <c r="DRH251" s="9"/>
      <c r="DRI251" s="4"/>
      <c r="DRJ251" s="9"/>
      <c r="DRK251" s="4"/>
      <c r="DRL251" s="9"/>
      <c r="DRM251" s="4"/>
      <c r="DRN251" s="9"/>
      <c r="DRO251" s="4"/>
      <c r="DRP251" s="9"/>
      <c r="DRQ251" s="4"/>
      <c r="DRR251" s="9"/>
      <c r="DRS251" s="4"/>
      <c r="DRT251" s="9"/>
      <c r="DRU251" s="4"/>
      <c r="DRV251" s="9"/>
      <c r="DRW251" s="4"/>
      <c r="DRX251" s="9"/>
      <c r="DRY251" s="4"/>
      <c r="DRZ251" s="9"/>
      <c r="DSA251" s="4"/>
      <c r="DSB251" s="9"/>
      <c r="DSC251" s="4"/>
      <c r="DSD251" s="9"/>
      <c r="DSE251" s="4"/>
      <c r="DSF251" s="9"/>
      <c r="DSG251" s="4"/>
      <c r="DSH251" s="9"/>
      <c r="DSI251" s="4"/>
      <c r="DSJ251" s="9"/>
      <c r="DSK251" s="4"/>
      <c r="DSL251" s="9"/>
      <c r="DSM251" s="4"/>
      <c r="DSN251" s="9"/>
      <c r="DSO251" s="4"/>
      <c r="DSP251" s="9"/>
      <c r="DSQ251" s="4"/>
      <c r="DSR251" s="9"/>
      <c r="DSS251" s="4"/>
      <c r="DST251" s="9"/>
      <c r="DSU251" s="4"/>
      <c r="DSV251" s="9"/>
      <c r="DSW251" s="4"/>
      <c r="DSX251" s="9"/>
      <c r="DSY251" s="4"/>
      <c r="DSZ251" s="9"/>
      <c r="DTA251" s="4"/>
      <c r="DTB251" s="9"/>
      <c r="DTC251" s="4"/>
      <c r="DTD251" s="9"/>
      <c r="DTE251" s="4"/>
      <c r="DTF251" s="9"/>
      <c r="DTG251" s="4"/>
      <c r="DTH251" s="9"/>
      <c r="DTI251" s="4"/>
      <c r="DTJ251" s="9"/>
      <c r="DTK251" s="4"/>
      <c r="DTL251" s="9"/>
      <c r="DTM251" s="4"/>
      <c r="DTN251" s="9"/>
      <c r="DTO251" s="4"/>
      <c r="DTP251" s="9"/>
      <c r="DTQ251" s="4"/>
      <c r="DTR251" s="9"/>
      <c r="DTS251" s="4"/>
      <c r="DTT251" s="9"/>
      <c r="DTU251" s="4"/>
      <c r="DTV251" s="9"/>
      <c r="DTW251" s="4"/>
      <c r="DTX251" s="9"/>
      <c r="DTY251" s="4"/>
      <c r="DTZ251" s="9"/>
      <c r="DUA251" s="4"/>
      <c r="DUB251" s="9"/>
      <c r="DUC251" s="4"/>
      <c r="DUD251" s="9"/>
      <c r="DUE251" s="4"/>
      <c r="DUF251" s="9"/>
      <c r="DUG251" s="4"/>
      <c r="DUH251" s="9"/>
      <c r="DUI251" s="4"/>
      <c r="DUJ251" s="9"/>
      <c r="DUK251" s="4"/>
      <c r="DUL251" s="9"/>
      <c r="DUM251" s="4"/>
      <c r="DUN251" s="9"/>
      <c r="DUO251" s="4"/>
      <c r="DUP251" s="9"/>
      <c r="DUQ251" s="4"/>
      <c r="DUR251" s="9"/>
      <c r="DUS251" s="4"/>
      <c r="DUT251" s="9"/>
      <c r="DUU251" s="4"/>
      <c r="DUV251" s="9"/>
      <c r="DUW251" s="4"/>
      <c r="DUX251" s="9"/>
      <c r="DUY251" s="4"/>
      <c r="DUZ251" s="9"/>
      <c r="DVA251" s="4"/>
      <c r="DVB251" s="9"/>
      <c r="DVC251" s="4"/>
      <c r="DVD251" s="9"/>
      <c r="DVE251" s="4"/>
      <c r="DVF251" s="9"/>
      <c r="DVG251" s="4"/>
      <c r="DVH251" s="9"/>
      <c r="DVI251" s="4"/>
      <c r="DVJ251" s="9"/>
      <c r="DVK251" s="4"/>
      <c r="DVL251" s="9"/>
      <c r="DVM251" s="4"/>
      <c r="DVN251" s="9"/>
      <c r="DVO251" s="4"/>
      <c r="DVP251" s="9"/>
      <c r="DVQ251" s="4"/>
      <c r="DVR251" s="9"/>
      <c r="DVS251" s="4"/>
      <c r="DVT251" s="9"/>
      <c r="DVU251" s="4"/>
      <c r="DVV251" s="9"/>
      <c r="DVW251" s="4"/>
      <c r="DVX251" s="9"/>
      <c r="DVY251" s="4"/>
      <c r="DVZ251" s="9"/>
      <c r="DWA251" s="4"/>
      <c r="DWB251" s="9"/>
      <c r="DWC251" s="4"/>
      <c r="DWD251" s="9"/>
      <c r="DWE251" s="4"/>
      <c r="DWF251" s="9"/>
      <c r="DWG251" s="4"/>
      <c r="DWH251" s="9"/>
      <c r="DWI251" s="4"/>
      <c r="DWJ251" s="9"/>
      <c r="DWK251" s="4"/>
      <c r="DWL251" s="9"/>
      <c r="DWM251" s="4"/>
      <c r="DWN251" s="9"/>
      <c r="DWO251" s="4"/>
      <c r="DWP251" s="9"/>
      <c r="DWQ251" s="4"/>
      <c r="DWR251" s="9"/>
      <c r="DWS251" s="4"/>
      <c r="DWT251" s="9"/>
      <c r="DWU251" s="4"/>
      <c r="DWV251" s="9"/>
      <c r="DWW251" s="4"/>
      <c r="DWX251" s="9"/>
      <c r="DWY251" s="4"/>
      <c r="DWZ251" s="9"/>
      <c r="DXA251" s="4"/>
      <c r="DXB251" s="9"/>
      <c r="DXC251" s="4"/>
      <c r="DXD251" s="9"/>
      <c r="DXE251" s="4"/>
      <c r="DXF251" s="9"/>
      <c r="DXG251" s="4"/>
      <c r="DXH251" s="9"/>
      <c r="DXI251" s="4"/>
      <c r="DXJ251" s="9"/>
      <c r="DXK251" s="4"/>
      <c r="DXL251" s="9"/>
      <c r="DXM251" s="4"/>
      <c r="DXN251" s="9"/>
      <c r="DXO251" s="4"/>
      <c r="DXP251" s="9"/>
      <c r="DXQ251" s="4"/>
      <c r="DXR251" s="9"/>
      <c r="DXS251" s="4"/>
      <c r="DXT251" s="9"/>
      <c r="DXU251" s="4"/>
      <c r="DXV251" s="9"/>
      <c r="DXW251" s="4"/>
      <c r="DXX251" s="9"/>
      <c r="DXY251" s="4"/>
      <c r="DXZ251" s="9"/>
      <c r="DYA251" s="4"/>
      <c r="DYB251" s="9"/>
      <c r="DYC251" s="4"/>
      <c r="DYD251" s="9"/>
      <c r="DYE251" s="4"/>
      <c r="DYF251" s="9"/>
      <c r="DYG251" s="4"/>
      <c r="DYH251" s="9"/>
      <c r="DYI251" s="4"/>
      <c r="DYJ251" s="9"/>
      <c r="DYK251" s="4"/>
      <c r="DYL251" s="9"/>
      <c r="DYM251" s="4"/>
      <c r="DYN251" s="9"/>
      <c r="DYO251" s="4"/>
      <c r="DYP251" s="9"/>
      <c r="DYQ251" s="4"/>
      <c r="DYR251" s="9"/>
      <c r="DYS251" s="4"/>
      <c r="DYT251" s="9"/>
      <c r="DYU251" s="4"/>
      <c r="DYV251" s="9"/>
      <c r="DYW251" s="4"/>
      <c r="DYX251" s="9"/>
      <c r="DYY251" s="4"/>
      <c r="DYZ251" s="9"/>
      <c r="DZA251" s="4"/>
      <c r="DZB251" s="9"/>
      <c r="DZC251" s="4"/>
      <c r="DZD251" s="9"/>
      <c r="DZE251" s="4"/>
      <c r="DZF251" s="9"/>
      <c r="DZG251" s="4"/>
      <c r="DZH251" s="9"/>
      <c r="DZI251" s="4"/>
      <c r="DZJ251" s="9"/>
      <c r="DZK251" s="4"/>
      <c r="DZL251" s="9"/>
      <c r="DZM251" s="4"/>
      <c r="DZN251" s="9"/>
      <c r="DZO251" s="4"/>
      <c r="DZP251" s="9"/>
      <c r="DZQ251" s="4"/>
      <c r="DZR251" s="9"/>
      <c r="DZS251" s="4"/>
      <c r="DZT251" s="9"/>
      <c r="DZU251" s="4"/>
      <c r="DZV251" s="9"/>
      <c r="DZW251" s="4"/>
      <c r="DZX251" s="9"/>
      <c r="DZY251" s="4"/>
      <c r="DZZ251" s="9"/>
      <c r="EAA251" s="4"/>
      <c r="EAB251" s="9"/>
      <c r="EAC251" s="4"/>
      <c r="EAD251" s="9"/>
      <c r="EAE251" s="4"/>
      <c r="EAF251" s="9"/>
      <c r="EAG251" s="4"/>
      <c r="EAH251" s="9"/>
      <c r="EAI251" s="4"/>
      <c r="EAJ251" s="9"/>
      <c r="EAK251" s="4"/>
      <c r="EAL251" s="9"/>
      <c r="EAM251" s="4"/>
      <c r="EAN251" s="9"/>
      <c r="EAO251" s="4"/>
      <c r="EAP251" s="9"/>
      <c r="EAQ251" s="4"/>
      <c r="EAR251" s="9"/>
      <c r="EAS251" s="4"/>
      <c r="EAT251" s="9"/>
      <c r="EAU251" s="4"/>
      <c r="EAV251" s="9"/>
      <c r="EAW251" s="4"/>
      <c r="EAX251" s="9"/>
      <c r="EAY251" s="4"/>
      <c r="EAZ251" s="9"/>
      <c r="EBA251" s="4"/>
      <c r="EBB251" s="9"/>
      <c r="EBC251" s="4"/>
      <c r="EBD251" s="9"/>
      <c r="EBE251" s="4"/>
      <c r="EBF251" s="9"/>
      <c r="EBG251" s="4"/>
      <c r="EBH251" s="9"/>
      <c r="EBI251" s="4"/>
      <c r="EBJ251" s="9"/>
      <c r="EBK251" s="4"/>
      <c r="EBL251" s="9"/>
      <c r="EBM251" s="4"/>
      <c r="EBN251" s="9"/>
      <c r="EBO251" s="4"/>
      <c r="EBP251" s="9"/>
      <c r="EBQ251" s="4"/>
      <c r="EBR251" s="9"/>
      <c r="EBS251" s="4"/>
      <c r="EBT251" s="9"/>
      <c r="EBU251" s="4"/>
      <c r="EBV251" s="9"/>
      <c r="EBW251" s="4"/>
      <c r="EBX251" s="9"/>
      <c r="EBY251" s="4"/>
      <c r="EBZ251" s="9"/>
      <c r="ECA251" s="4"/>
      <c r="ECB251" s="9"/>
      <c r="ECC251" s="4"/>
      <c r="ECD251" s="9"/>
      <c r="ECE251" s="4"/>
      <c r="ECF251" s="9"/>
      <c r="ECG251" s="4"/>
      <c r="ECH251" s="9"/>
      <c r="ECI251" s="4"/>
      <c r="ECJ251" s="9"/>
      <c r="ECK251" s="4"/>
      <c r="ECL251" s="9"/>
      <c r="ECM251" s="4"/>
      <c r="ECN251" s="9"/>
      <c r="ECO251" s="4"/>
      <c r="ECP251" s="9"/>
      <c r="ECQ251" s="4"/>
      <c r="ECR251" s="9"/>
      <c r="ECS251" s="4"/>
      <c r="ECT251" s="9"/>
      <c r="ECU251" s="4"/>
      <c r="ECV251" s="9"/>
      <c r="ECW251" s="4"/>
      <c r="ECX251" s="9"/>
      <c r="ECY251" s="4"/>
      <c r="ECZ251" s="9"/>
      <c r="EDA251" s="4"/>
      <c r="EDB251" s="9"/>
      <c r="EDC251" s="4"/>
      <c r="EDD251" s="9"/>
      <c r="EDE251" s="4"/>
      <c r="EDF251" s="9"/>
      <c r="EDG251" s="4"/>
      <c r="EDH251" s="9"/>
      <c r="EDI251" s="4"/>
      <c r="EDJ251" s="9"/>
      <c r="EDK251" s="4"/>
      <c r="EDL251" s="9"/>
      <c r="EDM251" s="4"/>
      <c r="EDN251" s="9"/>
      <c r="EDO251" s="4"/>
      <c r="EDP251" s="9"/>
      <c r="EDQ251" s="4"/>
      <c r="EDR251" s="9"/>
      <c r="EDS251" s="4"/>
      <c r="EDT251" s="9"/>
      <c r="EDU251" s="4"/>
      <c r="EDV251" s="9"/>
      <c r="EDW251" s="4"/>
      <c r="EDX251" s="9"/>
      <c r="EDY251" s="4"/>
      <c r="EDZ251" s="9"/>
      <c r="EEA251" s="4"/>
      <c r="EEB251" s="9"/>
      <c r="EEC251" s="4"/>
      <c r="EED251" s="9"/>
      <c r="EEE251" s="4"/>
      <c r="EEF251" s="9"/>
      <c r="EEG251" s="4"/>
      <c r="EEH251" s="9"/>
      <c r="EEI251" s="4"/>
      <c r="EEJ251" s="9"/>
      <c r="EEK251" s="4"/>
      <c r="EEL251" s="9"/>
      <c r="EEM251" s="4"/>
      <c r="EEN251" s="9"/>
      <c r="EEO251" s="4"/>
      <c r="EEP251" s="9"/>
      <c r="EEQ251" s="4"/>
      <c r="EER251" s="9"/>
      <c r="EES251" s="4"/>
      <c r="EET251" s="9"/>
      <c r="EEU251" s="4"/>
      <c r="EEV251" s="9"/>
      <c r="EEW251" s="4"/>
      <c r="EEX251" s="9"/>
      <c r="EEY251" s="4"/>
      <c r="EEZ251" s="9"/>
      <c r="EFA251" s="4"/>
      <c r="EFB251" s="9"/>
      <c r="EFC251" s="4"/>
      <c r="EFD251" s="9"/>
      <c r="EFE251" s="4"/>
      <c r="EFF251" s="9"/>
      <c r="EFG251" s="4"/>
      <c r="EFH251" s="9"/>
      <c r="EFI251" s="4"/>
      <c r="EFJ251" s="9"/>
      <c r="EFK251" s="4"/>
      <c r="EFL251" s="9"/>
      <c r="EFM251" s="4"/>
      <c r="EFN251" s="9"/>
      <c r="EFO251" s="4"/>
      <c r="EFP251" s="9"/>
      <c r="EFQ251" s="4"/>
      <c r="EFR251" s="9"/>
      <c r="EFS251" s="4"/>
      <c r="EFT251" s="9"/>
      <c r="EFU251" s="4"/>
      <c r="EFV251" s="9"/>
      <c r="EFW251" s="4"/>
      <c r="EFX251" s="9"/>
      <c r="EFY251" s="4"/>
      <c r="EFZ251" s="9"/>
      <c r="EGA251" s="4"/>
      <c r="EGB251" s="9"/>
      <c r="EGC251" s="4"/>
      <c r="EGD251" s="9"/>
      <c r="EGE251" s="4"/>
      <c r="EGF251" s="9"/>
      <c r="EGG251" s="4"/>
      <c r="EGH251" s="9"/>
      <c r="EGI251" s="4"/>
      <c r="EGJ251" s="9"/>
      <c r="EGK251" s="4"/>
      <c r="EGL251" s="9"/>
      <c r="EGM251" s="4"/>
      <c r="EGN251" s="9"/>
      <c r="EGO251" s="4"/>
      <c r="EGP251" s="9"/>
      <c r="EGQ251" s="4"/>
      <c r="EGR251" s="9"/>
      <c r="EGS251" s="4"/>
      <c r="EGT251" s="9"/>
      <c r="EGU251" s="4"/>
      <c r="EGV251" s="9"/>
      <c r="EGW251" s="4"/>
      <c r="EGX251" s="9"/>
      <c r="EGY251" s="4"/>
      <c r="EGZ251" s="9"/>
      <c r="EHA251" s="4"/>
      <c r="EHB251" s="9"/>
      <c r="EHC251" s="4"/>
      <c r="EHD251" s="9"/>
      <c r="EHE251" s="4"/>
      <c r="EHF251" s="9"/>
      <c r="EHG251" s="4"/>
      <c r="EHH251" s="9"/>
      <c r="EHI251" s="4"/>
      <c r="EHJ251" s="9"/>
      <c r="EHK251" s="4"/>
      <c r="EHL251" s="9"/>
      <c r="EHM251" s="4"/>
      <c r="EHN251" s="9"/>
      <c r="EHO251" s="4"/>
      <c r="EHP251" s="9"/>
      <c r="EHQ251" s="4"/>
      <c r="EHR251" s="9"/>
      <c r="EHS251" s="4"/>
      <c r="EHT251" s="9"/>
      <c r="EHU251" s="4"/>
      <c r="EHV251" s="9"/>
      <c r="EHW251" s="4"/>
      <c r="EHX251" s="9"/>
      <c r="EHY251" s="4"/>
      <c r="EHZ251" s="9"/>
      <c r="EIA251" s="4"/>
      <c r="EIB251" s="9"/>
      <c r="EIC251" s="4"/>
      <c r="EID251" s="9"/>
      <c r="EIE251" s="4"/>
      <c r="EIF251" s="9"/>
      <c r="EIG251" s="4"/>
      <c r="EIH251" s="9"/>
      <c r="EII251" s="4"/>
      <c r="EIJ251" s="9"/>
      <c r="EIK251" s="4"/>
      <c r="EIL251" s="9"/>
      <c r="EIM251" s="4"/>
      <c r="EIN251" s="9"/>
      <c r="EIO251" s="4"/>
      <c r="EIP251" s="9"/>
      <c r="EIQ251" s="4"/>
      <c r="EIR251" s="9"/>
      <c r="EIS251" s="4"/>
      <c r="EIT251" s="9"/>
      <c r="EIU251" s="4"/>
      <c r="EIV251" s="9"/>
      <c r="EIW251" s="4"/>
      <c r="EIX251" s="9"/>
      <c r="EIY251" s="4"/>
      <c r="EIZ251" s="9"/>
      <c r="EJA251" s="4"/>
      <c r="EJB251" s="9"/>
      <c r="EJC251" s="4"/>
      <c r="EJD251" s="9"/>
      <c r="EJE251" s="4"/>
      <c r="EJF251" s="9"/>
      <c r="EJG251" s="4"/>
      <c r="EJH251" s="9"/>
      <c r="EJI251" s="4"/>
      <c r="EJJ251" s="9"/>
      <c r="EJK251" s="4"/>
      <c r="EJL251" s="9"/>
      <c r="EJM251" s="4"/>
      <c r="EJN251" s="9"/>
      <c r="EJO251" s="4"/>
      <c r="EJP251" s="9"/>
      <c r="EJQ251" s="4"/>
      <c r="EJR251" s="9"/>
      <c r="EJS251" s="4"/>
      <c r="EJT251" s="9"/>
      <c r="EJU251" s="4"/>
      <c r="EJV251" s="9"/>
      <c r="EJW251" s="4"/>
      <c r="EJX251" s="9"/>
      <c r="EJY251" s="4"/>
      <c r="EJZ251" s="9"/>
      <c r="EKA251" s="4"/>
      <c r="EKB251" s="9"/>
      <c r="EKC251" s="4"/>
      <c r="EKD251" s="9"/>
      <c r="EKE251" s="4"/>
      <c r="EKF251" s="9"/>
      <c r="EKG251" s="4"/>
      <c r="EKH251" s="9"/>
      <c r="EKI251" s="4"/>
      <c r="EKJ251" s="9"/>
      <c r="EKK251" s="4"/>
      <c r="EKL251" s="9"/>
      <c r="EKM251" s="4"/>
      <c r="EKN251" s="9"/>
      <c r="EKO251" s="4"/>
      <c r="EKP251" s="9"/>
      <c r="EKQ251" s="4"/>
      <c r="EKR251" s="9"/>
      <c r="EKS251" s="4"/>
      <c r="EKT251" s="9"/>
      <c r="EKU251" s="4"/>
      <c r="EKV251" s="9"/>
      <c r="EKW251" s="4"/>
      <c r="EKX251" s="9"/>
      <c r="EKY251" s="4"/>
      <c r="EKZ251" s="9"/>
      <c r="ELA251" s="4"/>
      <c r="ELB251" s="9"/>
      <c r="ELC251" s="4"/>
      <c r="ELD251" s="9"/>
      <c r="ELE251" s="4"/>
      <c r="ELF251" s="9"/>
      <c r="ELG251" s="4"/>
      <c r="ELH251" s="9"/>
      <c r="ELI251" s="4"/>
      <c r="ELJ251" s="9"/>
      <c r="ELK251" s="4"/>
      <c r="ELL251" s="9"/>
      <c r="ELM251" s="4"/>
      <c r="ELN251" s="9"/>
      <c r="ELO251" s="4"/>
      <c r="ELP251" s="9"/>
      <c r="ELQ251" s="4"/>
      <c r="ELR251" s="9"/>
      <c r="ELS251" s="4"/>
      <c r="ELT251" s="9"/>
      <c r="ELU251" s="4"/>
      <c r="ELV251" s="9"/>
      <c r="ELW251" s="4"/>
      <c r="ELX251" s="9"/>
      <c r="ELY251" s="4"/>
      <c r="ELZ251" s="9"/>
      <c r="EMA251" s="4"/>
      <c r="EMB251" s="9"/>
      <c r="EMC251" s="4"/>
      <c r="EMD251" s="9"/>
      <c r="EME251" s="4"/>
      <c r="EMF251" s="9"/>
      <c r="EMG251" s="4"/>
      <c r="EMH251" s="9"/>
      <c r="EMI251" s="4"/>
      <c r="EMJ251" s="9"/>
      <c r="EMK251" s="4"/>
      <c r="EML251" s="9"/>
      <c r="EMM251" s="4"/>
      <c r="EMN251" s="9"/>
      <c r="EMO251" s="4"/>
      <c r="EMP251" s="9"/>
      <c r="EMQ251" s="4"/>
      <c r="EMR251" s="9"/>
      <c r="EMS251" s="4"/>
      <c r="EMT251" s="9"/>
      <c r="EMU251" s="4"/>
      <c r="EMV251" s="9"/>
      <c r="EMW251" s="4"/>
      <c r="EMX251" s="9"/>
      <c r="EMY251" s="4"/>
      <c r="EMZ251" s="9"/>
      <c r="ENA251" s="4"/>
      <c r="ENB251" s="9"/>
      <c r="ENC251" s="4"/>
      <c r="END251" s="9"/>
      <c r="ENE251" s="4"/>
      <c r="ENF251" s="9"/>
      <c r="ENG251" s="4"/>
      <c r="ENH251" s="9"/>
      <c r="ENI251" s="4"/>
      <c r="ENJ251" s="9"/>
      <c r="ENK251" s="4"/>
      <c r="ENL251" s="9"/>
      <c r="ENM251" s="4"/>
      <c r="ENN251" s="9"/>
      <c r="ENO251" s="4"/>
      <c r="ENP251" s="9"/>
      <c r="ENQ251" s="4"/>
      <c r="ENR251" s="9"/>
      <c r="ENS251" s="4"/>
      <c r="ENT251" s="9"/>
      <c r="ENU251" s="4"/>
      <c r="ENV251" s="9"/>
      <c r="ENW251" s="4"/>
      <c r="ENX251" s="9"/>
      <c r="ENY251" s="4"/>
      <c r="ENZ251" s="9"/>
      <c r="EOA251" s="4"/>
      <c r="EOB251" s="9"/>
      <c r="EOC251" s="4"/>
      <c r="EOD251" s="9"/>
      <c r="EOE251" s="4"/>
      <c r="EOF251" s="9"/>
      <c r="EOG251" s="4"/>
      <c r="EOH251" s="9"/>
      <c r="EOI251" s="4"/>
      <c r="EOJ251" s="9"/>
      <c r="EOK251" s="4"/>
      <c r="EOL251" s="9"/>
      <c r="EOM251" s="4"/>
      <c r="EON251" s="9"/>
      <c r="EOO251" s="4"/>
      <c r="EOP251" s="9"/>
      <c r="EOQ251" s="4"/>
      <c r="EOR251" s="9"/>
      <c r="EOS251" s="4"/>
      <c r="EOT251" s="9"/>
      <c r="EOU251" s="4"/>
      <c r="EOV251" s="9"/>
      <c r="EOW251" s="4"/>
      <c r="EOX251" s="9"/>
      <c r="EOY251" s="4"/>
      <c r="EOZ251" s="9"/>
      <c r="EPA251" s="4"/>
      <c r="EPB251" s="9"/>
      <c r="EPC251" s="4"/>
      <c r="EPD251" s="9"/>
      <c r="EPE251" s="4"/>
      <c r="EPF251" s="9"/>
      <c r="EPG251" s="4"/>
      <c r="EPH251" s="9"/>
      <c r="EPI251" s="4"/>
      <c r="EPJ251" s="9"/>
      <c r="EPK251" s="4"/>
      <c r="EPL251" s="9"/>
      <c r="EPM251" s="4"/>
      <c r="EPN251" s="9"/>
      <c r="EPO251" s="4"/>
      <c r="EPP251" s="9"/>
      <c r="EPQ251" s="4"/>
      <c r="EPR251" s="9"/>
      <c r="EPS251" s="4"/>
      <c r="EPT251" s="9"/>
      <c r="EPU251" s="4"/>
      <c r="EPV251" s="9"/>
      <c r="EPW251" s="4"/>
      <c r="EPX251" s="9"/>
      <c r="EPY251" s="4"/>
      <c r="EPZ251" s="9"/>
      <c r="EQA251" s="4"/>
      <c r="EQB251" s="9"/>
      <c r="EQC251" s="4"/>
      <c r="EQD251" s="9"/>
      <c r="EQE251" s="4"/>
      <c r="EQF251" s="9"/>
      <c r="EQG251" s="4"/>
      <c r="EQH251" s="9"/>
      <c r="EQI251" s="4"/>
      <c r="EQJ251" s="9"/>
      <c r="EQK251" s="4"/>
      <c r="EQL251" s="9"/>
      <c r="EQM251" s="4"/>
      <c r="EQN251" s="9"/>
      <c r="EQO251" s="4"/>
      <c r="EQP251" s="9"/>
      <c r="EQQ251" s="4"/>
      <c r="EQR251" s="9"/>
      <c r="EQS251" s="4"/>
      <c r="EQT251" s="9"/>
      <c r="EQU251" s="4"/>
      <c r="EQV251" s="9"/>
      <c r="EQW251" s="4"/>
      <c r="EQX251" s="9"/>
      <c r="EQY251" s="4"/>
      <c r="EQZ251" s="9"/>
      <c r="ERA251" s="4"/>
      <c r="ERB251" s="9"/>
      <c r="ERC251" s="4"/>
      <c r="ERD251" s="9"/>
      <c r="ERE251" s="4"/>
      <c r="ERF251" s="9"/>
      <c r="ERG251" s="4"/>
      <c r="ERH251" s="9"/>
      <c r="ERI251" s="4"/>
      <c r="ERJ251" s="9"/>
      <c r="ERK251" s="4"/>
      <c r="ERL251" s="9"/>
      <c r="ERM251" s="4"/>
      <c r="ERN251" s="9"/>
      <c r="ERO251" s="4"/>
      <c r="ERP251" s="9"/>
      <c r="ERQ251" s="4"/>
      <c r="ERR251" s="9"/>
      <c r="ERS251" s="4"/>
      <c r="ERT251" s="9"/>
      <c r="ERU251" s="4"/>
      <c r="ERV251" s="9"/>
      <c r="ERW251" s="4"/>
      <c r="ERX251" s="9"/>
      <c r="ERY251" s="4"/>
      <c r="ERZ251" s="9"/>
      <c r="ESA251" s="4"/>
      <c r="ESB251" s="9"/>
      <c r="ESC251" s="4"/>
      <c r="ESD251" s="9"/>
      <c r="ESE251" s="4"/>
      <c r="ESF251" s="9"/>
      <c r="ESG251" s="4"/>
      <c r="ESH251" s="9"/>
      <c r="ESI251" s="4"/>
      <c r="ESJ251" s="9"/>
      <c r="ESK251" s="4"/>
      <c r="ESL251" s="9"/>
      <c r="ESM251" s="4"/>
      <c r="ESN251" s="9"/>
      <c r="ESO251" s="4"/>
      <c r="ESP251" s="9"/>
      <c r="ESQ251" s="4"/>
      <c r="ESR251" s="9"/>
      <c r="ESS251" s="4"/>
      <c r="EST251" s="9"/>
      <c r="ESU251" s="4"/>
      <c r="ESV251" s="9"/>
      <c r="ESW251" s="4"/>
      <c r="ESX251" s="9"/>
      <c r="ESY251" s="4"/>
      <c r="ESZ251" s="9"/>
      <c r="ETA251" s="4"/>
      <c r="ETB251" s="9"/>
      <c r="ETC251" s="4"/>
      <c r="ETD251" s="9"/>
      <c r="ETE251" s="4"/>
      <c r="ETF251" s="9"/>
      <c r="ETG251" s="4"/>
      <c r="ETH251" s="9"/>
      <c r="ETI251" s="4"/>
      <c r="ETJ251" s="9"/>
      <c r="ETK251" s="4"/>
      <c r="ETL251" s="9"/>
      <c r="ETM251" s="4"/>
      <c r="ETN251" s="9"/>
      <c r="ETO251" s="4"/>
      <c r="ETP251" s="9"/>
      <c r="ETQ251" s="4"/>
      <c r="ETR251" s="9"/>
      <c r="ETS251" s="4"/>
      <c r="ETT251" s="9"/>
      <c r="ETU251" s="4"/>
      <c r="ETV251" s="9"/>
      <c r="ETW251" s="4"/>
      <c r="ETX251" s="9"/>
      <c r="ETY251" s="4"/>
      <c r="ETZ251" s="9"/>
      <c r="EUA251" s="4"/>
      <c r="EUB251" s="9"/>
      <c r="EUC251" s="4"/>
      <c r="EUD251" s="9"/>
      <c r="EUE251" s="4"/>
      <c r="EUF251" s="9"/>
      <c r="EUG251" s="4"/>
      <c r="EUH251" s="9"/>
      <c r="EUI251" s="4"/>
      <c r="EUJ251" s="9"/>
      <c r="EUK251" s="4"/>
      <c r="EUL251" s="9"/>
      <c r="EUM251" s="4"/>
      <c r="EUN251" s="9"/>
      <c r="EUO251" s="4"/>
      <c r="EUP251" s="9"/>
      <c r="EUQ251" s="4"/>
      <c r="EUR251" s="9"/>
      <c r="EUS251" s="4"/>
      <c r="EUT251" s="9"/>
      <c r="EUU251" s="4"/>
      <c r="EUV251" s="9"/>
      <c r="EUW251" s="4"/>
      <c r="EUX251" s="9"/>
      <c r="EUY251" s="4"/>
      <c r="EUZ251" s="9"/>
      <c r="EVA251" s="4"/>
      <c r="EVB251" s="9"/>
      <c r="EVC251" s="4"/>
      <c r="EVD251" s="9"/>
      <c r="EVE251" s="4"/>
      <c r="EVF251" s="9"/>
      <c r="EVG251" s="4"/>
      <c r="EVH251" s="9"/>
      <c r="EVI251" s="4"/>
      <c r="EVJ251" s="9"/>
      <c r="EVK251" s="4"/>
      <c r="EVL251" s="9"/>
      <c r="EVM251" s="4"/>
      <c r="EVN251" s="9"/>
      <c r="EVO251" s="4"/>
      <c r="EVP251" s="9"/>
      <c r="EVQ251" s="4"/>
      <c r="EVR251" s="9"/>
      <c r="EVS251" s="4"/>
      <c r="EVT251" s="9"/>
      <c r="EVU251" s="4"/>
      <c r="EVV251" s="9"/>
      <c r="EVW251" s="4"/>
      <c r="EVX251" s="9"/>
      <c r="EVY251" s="4"/>
      <c r="EVZ251" s="9"/>
      <c r="EWA251" s="4"/>
      <c r="EWB251" s="9"/>
      <c r="EWC251" s="4"/>
      <c r="EWD251" s="9"/>
      <c r="EWE251" s="4"/>
      <c r="EWF251" s="9"/>
      <c r="EWG251" s="4"/>
      <c r="EWH251" s="9"/>
      <c r="EWI251" s="4"/>
      <c r="EWJ251" s="9"/>
      <c r="EWK251" s="4"/>
      <c r="EWL251" s="9"/>
      <c r="EWM251" s="4"/>
      <c r="EWN251" s="9"/>
      <c r="EWO251" s="4"/>
      <c r="EWP251" s="9"/>
      <c r="EWQ251" s="4"/>
      <c r="EWR251" s="9"/>
      <c r="EWS251" s="4"/>
      <c r="EWT251" s="9"/>
      <c r="EWU251" s="4"/>
      <c r="EWV251" s="9"/>
      <c r="EWW251" s="4"/>
      <c r="EWX251" s="9"/>
      <c r="EWY251" s="4"/>
      <c r="EWZ251" s="9"/>
      <c r="EXA251" s="4"/>
      <c r="EXB251" s="9"/>
      <c r="EXC251" s="4"/>
      <c r="EXD251" s="9"/>
      <c r="EXE251" s="4"/>
      <c r="EXF251" s="9"/>
      <c r="EXG251" s="4"/>
      <c r="EXH251" s="9"/>
      <c r="EXI251" s="4"/>
      <c r="EXJ251" s="9"/>
      <c r="EXK251" s="4"/>
      <c r="EXL251" s="9"/>
      <c r="EXM251" s="4"/>
      <c r="EXN251" s="9"/>
      <c r="EXO251" s="4"/>
      <c r="EXP251" s="9"/>
      <c r="EXQ251" s="4"/>
      <c r="EXR251" s="9"/>
      <c r="EXS251" s="4"/>
      <c r="EXT251" s="9"/>
      <c r="EXU251" s="4"/>
      <c r="EXV251" s="9"/>
      <c r="EXW251" s="4"/>
      <c r="EXX251" s="9"/>
      <c r="EXY251" s="4"/>
      <c r="EXZ251" s="9"/>
      <c r="EYA251" s="4"/>
      <c r="EYB251" s="9"/>
      <c r="EYC251" s="4"/>
      <c r="EYD251" s="9"/>
      <c r="EYE251" s="4"/>
      <c r="EYF251" s="9"/>
      <c r="EYG251" s="4"/>
      <c r="EYH251" s="9"/>
      <c r="EYI251" s="4"/>
      <c r="EYJ251" s="9"/>
      <c r="EYK251" s="4"/>
      <c r="EYL251" s="9"/>
      <c r="EYM251" s="4"/>
      <c r="EYN251" s="9"/>
      <c r="EYO251" s="4"/>
      <c r="EYP251" s="9"/>
      <c r="EYQ251" s="4"/>
      <c r="EYR251" s="9"/>
      <c r="EYS251" s="4"/>
      <c r="EYT251" s="9"/>
      <c r="EYU251" s="4"/>
      <c r="EYV251" s="9"/>
      <c r="EYW251" s="4"/>
      <c r="EYX251" s="9"/>
      <c r="EYY251" s="4"/>
      <c r="EYZ251" s="9"/>
      <c r="EZA251" s="4"/>
      <c r="EZB251" s="9"/>
      <c r="EZC251" s="4"/>
      <c r="EZD251" s="9"/>
      <c r="EZE251" s="4"/>
      <c r="EZF251" s="9"/>
      <c r="EZG251" s="4"/>
      <c r="EZH251" s="9"/>
      <c r="EZI251" s="4"/>
      <c r="EZJ251" s="9"/>
      <c r="EZK251" s="4"/>
      <c r="EZL251" s="9"/>
      <c r="EZM251" s="4"/>
      <c r="EZN251" s="9"/>
      <c r="EZO251" s="4"/>
      <c r="EZP251" s="9"/>
      <c r="EZQ251" s="4"/>
      <c r="EZR251" s="9"/>
      <c r="EZS251" s="4"/>
      <c r="EZT251" s="9"/>
      <c r="EZU251" s="4"/>
      <c r="EZV251" s="9"/>
      <c r="EZW251" s="4"/>
      <c r="EZX251" s="9"/>
      <c r="EZY251" s="4"/>
      <c r="EZZ251" s="9"/>
      <c r="FAA251" s="4"/>
      <c r="FAB251" s="9"/>
      <c r="FAC251" s="4"/>
      <c r="FAD251" s="9"/>
      <c r="FAE251" s="4"/>
      <c r="FAF251" s="9"/>
      <c r="FAG251" s="4"/>
      <c r="FAH251" s="9"/>
      <c r="FAI251" s="4"/>
      <c r="FAJ251" s="9"/>
      <c r="FAK251" s="4"/>
      <c r="FAL251" s="9"/>
      <c r="FAM251" s="4"/>
      <c r="FAN251" s="9"/>
      <c r="FAO251" s="4"/>
      <c r="FAP251" s="9"/>
      <c r="FAQ251" s="4"/>
      <c r="FAR251" s="9"/>
      <c r="FAS251" s="4"/>
      <c r="FAT251" s="9"/>
      <c r="FAU251" s="4"/>
      <c r="FAV251" s="9"/>
      <c r="FAW251" s="4"/>
      <c r="FAX251" s="9"/>
      <c r="FAY251" s="4"/>
      <c r="FAZ251" s="9"/>
      <c r="FBA251" s="4"/>
      <c r="FBB251" s="9"/>
      <c r="FBC251" s="4"/>
      <c r="FBD251" s="9"/>
      <c r="FBE251" s="4"/>
      <c r="FBF251" s="9"/>
      <c r="FBG251" s="4"/>
      <c r="FBH251" s="9"/>
      <c r="FBI251" s="4"/>
      <c r="FBJ251" s="9"/>
      <c r="FBK251" s="4"/>
      <c r="FBL251" s="9"/>
      <c r="FBM251" s="4"/>
      <c r="FBN251" s="9"/>
      <c r="FBO251" s="4"/>
      <c r="FBP251" s="9"/>
      <c r="FBQ251" s="4"/>
      <c r="FBR251" s="9"/>
      <c r="FBS251" s="4"/>
      <c r="FBT251" s="9"/>
      <c r="FBU251" s="4"/>
      <c r="FBV251" s="9"/>
      <c r="FBW251" s="4"/>
      <c r="FBX251" s="9"/>
      <c r="FBY251" s="4"/>
      <c r="FBZ251" s="9"/>
      <c r="FCA251" s="4"/>
      <c r="FCB251" s="9"/>
      <c r="FCC251" s="4"/>
      <c r="FCD251" s="9"/>
      <c r="FCE251" s="4"/>
      <c r="FCF251" s="9"/>
      <c r="FCG251" s="4"/>
      <c r="FCH251" s="9"/>
      <c r="FCI251" s="4"/>
      <c r="FCJ251" s="9"/>
      <c r="FCK251" s="4"/>
      <c r="FCL251" s="9"/>
      <c r="FCM251" s="4"/>
      <c r="FCN251" s="9"/>
      <c r="FCO251" s="4"/>
      <c r="FCP251" s="9"/>
      <c r="FCQ251" s="4"/>
      <c r="FCR251" s="9"/>
      <c r="FCS251" s="4"/>
      <c r="FCT251" s="9"/>
      <c r="FCU251" s="4"/>
      <c r="FCV251" s="9"/>
      <c r="FCW251" s="4"/>
      <c r="FCX251" s="9"/>
      <c r="FCY251" s="4"/>
      <c r="FCZ251" s="9"/>
      <c r="FDA251" s="4"/>
      <c r="FDB251" s="9"/>
      <c r="FDC251" s="4"/>
      <c r="FDD251" s="9"/>
      <c r="FDE251" s="4"/>
      <c r="FDF251" s="9"/>
      <c r="FDG251" s="4"/>
      <c r="FDH251" s="9"/>
      <c r="FDI251" s="4"/>
      <c r="FDJ251" s="9"/>
      <c r="FDK251" s="4"/>
      <c r="FDL251" s="9"/>
      <c r="FDM251" s="4"/>
      <c r="FDN251" s="9"/>
      <c r="FDO251" s="4"/>
      <c r="FDP251" s="9"/>
      <c r="FDQ251" s="4"/>
      <c r="FDR251" s="9"/>
      <c r="FDS251" s="4"/>
      <c r="FDT251" s="9"/>
      <c r="FDU251" s="4"/>
      <c r="FDV251" s="9"/>
      <c r="FDW251" s="4"/>
      <c r="FDX251" s="9"/>
      <c r="FDY251" s="4"/>
      <c r="FDZ251" s="9"/>
      <c r="FEA251" s="4"/>
      <c r="FEB251" s="9"/>
      <c r="FEC251" s="4"/>
      <c r="FED251" s="9"/>
      <c r="FEE251" s="4"/>
      <c r="FEF251" s="9"/>
      <c r="FEG251" s="4"/>
      <c r="FEH251" s="9"/>
      <c r="FEI251" s="4"/>
      <c r="FEJ251" s="9"/>
      <c r="FEK251" s="4"/>
      <c r="FEL251" s="9"/>
      <c r="FEM251" s="4"/>
      <c r="FEN251" s="9"/>
      <c r="FEO251" s="4"/>
      <c r="FEP251" s="9"/>
      <c r="FEQ251" s="4"/>
      <c r="FER251" s="9"/>
      <c r="FES251" s="4"/>
      <c r="FET251" s="9"/>
      <c r="FEU251" s="4"/>
      <c r="FEV251" s="9"/>
      <c r="FEW251" s="4"/>
      <c r="FEX251" s="9"/>
      <c r="FEY251" s="4"/>
      <c r="FEZ251" s="9"/>
      <c r="FFA251" s="4"/>
      <c r="FFB251" s="9"/>
      <c r="FFC251" s="4"/>
      <c r="FFD251" s="9"/>
      <c r="FFE251" s="4"/>
      <c r="FFF251" s="9"/>
      <c r="FFG251" s="4"/>
      <c r="FFH251" s="9"/>
      <c r="FFI251" s="4"/>
      <c r="FFJ251" s="9"/>
      <c r="FFK251" s="4"/>
      <c r="FFL251" s="9"/>
      <c r="FFM251" s="4"/>
      <c r="FFN251" s="9"/>
      <c r="FFO251" s="4"/>
      <c r="FFP251" s="9"/>
      <c r="FFQ251" s="4"/>
      <c r="FFR251" s="9"/>
      <c r="FFS251" s="4"/>
      <c r="FFT251" s="9"/>
      <c r="FFU251" s="4"/>
      <c r="FFV251" s="9"/>
      <c r="FFW251" s="4"/>
      <c r="FFX251" s="9"/>
      <c r="FFY251" s="4"/>
      <c r="FFZ251" s="9"/>
      <c r="FGA251" s="4"/>
      <c r="FGB251" s="9"/>
      <c r="FGC251" s="4"/>
      <c r="FGD251" s="9"/>
      <c r="FGE251" s="4"/>
      <c r="FGF251" s="9"/>
      <c r="FGG251" s="4"/>
      <c r="FGH251" s="9"/>
      <c r="FGI251" s="4"/>
      <c r="FGJ251" s="9"/>
      <c r="FGK251" s="4"/>
      <c r="FGL251" s="9"/>
      <c r="FGM251" s="4"/>
      <c r="FGN251" s="9"/>
      <c r="FGO251" s="4"/>
      <c r="FGP251" s="9"/>
      <c r="FGQ251" s="4"/>
      <c r="FGR251" s="9"/>
      <c r="FGS251" s="4"/>
      <c r="FGT251" s="9"/>
      <c r="FGU251" s="4"/>
      <c r="FGV251" s="9"/>
      <c r="FGW251" s="4"/>
      <c r="FGX251" s="9"/>
      <c r="FGY251" s="4"/>
      <c r="FGZ251" s="9"/>
      <c r="FHA251" s="4"/>
      <c r="FHB251" s="9"/>
      <c r="FHC251" s="4"/>
      <c r="FHD251" s="9"/>
      <c r="FHE251" s="4"/>
      <c r="FHF251" s="9"/>
      <c r="FHG251" s="4"/>
      <c r="FHH251" s="9"/>
      <c r="FHI251" s="4"/>
      <c r="FHJ251" s="9"/>
      <c r="FHK251" s="4"/>
      <c r="FHL251" s="9"/>
      <c r="FHM251" s="4"/>
      <c r="FHN251" s="9"/>
      <c r="FHO251" s="4"/>
      <c r="FHP251" s="9"/>
      <c r="FHQ251" s="4"/>
      <c r="FHR251" s="9"/>
      <c r="FHS251" s="4"/>
      <c r="FHT251" s="9"/>
      <c r="FHU251" s="4"/>
      <c r="FHV251" s="9"/>
      <c r="FHW251" s="4"/>
      <c r="FHX251" s="9"/>
      <c r="FHY251" s="4"/>
      <c r="FHZ251" s="9"/>
      <c r="FIA251" s="4"/>
      <c r="FIB251" s="9"/>
      <c r="FIC251" s="4"/>
      <c r="FID251" s="9"/>
      <c r="FIE251" s="4"/>
      <c r="FIF251" s="9"/>
      <c r="FIG251" s="4"/>
      <c r="FIH251" s="9"/>
      <c r="FII251" s="4"/>
      <c r="FIJ251" s="9"/>
      <c r="FIK251" s="4"/>
      <c r="FIL251" s="9"/>
      <c r="FIM251" s="4"/>
      <c r="FIN251" s="9"/>
      <c r="FIO251" s="4"/>
      <c r="FIP251" s="9"/>
      <c r="FIQ251" s="4"/>
      <c r="FIR251" s="9"/>
      <c r="FIS251" s="4"/>
      <c r="FIT251" s="9"/>
      <c r="FIU251" s="4"/>
      <c r="FIV251" s="9"/>
      <c r="FIW251" s="4"/>
      <c r="FIX251" s="9"/>
      <c r="FIY251" s="4"/>
      <c r="FIZ251" s="9"/>
      <c r="FJA251" s="4"/>
      <c r="FJB251" s="9"/>
      <c r="FJC251" s="4"/>
      <c r="FJD251" s="9"/>
      <c r="FJE251" s="4"/>
      <c r="FJF251" s="9"/>
      <c r="FJG251" s="4"/>
      <c r="FJH251" s="9"/>
      <c r="FJI251" s="4"/>
      <c r="FJJ251" s="9"/>
      <c r="FJK251" s="4"/>
      <c r="FJL251" s="9"/>
      <c r="FJM251" s="4"/>
      <c r="FJN251" s="9"/>
      <c r="FJO251" s="4"/>
      <c r="FJP251" s="9"/>
      <c r="FJQ251" s="4"/>
      <c r="FJR251" s="9"/>
      <c r="FJS251" s="4"/>
      <c r="FJT251" s="9"/>
      <c r="FJU251" s="4"/>
      <c r="FJV251" s="9"/>
      <c r="FJW251" s="4"/>
      <c r="FJX251" s="9"/>
      <c r="FJY251" s="4"/>
      <c r="FJZ251" s="9"/>
      <c r="FKA251" s="4"/>
      <c r="FKB251" s="9"/>
      <c r="FKC251" s="4"/>
      <c r="FKD251" s="9"/>
      <c r="FKE251" s="4"/>
      <c r="FKF251" s="9"/>
      <c r="FKG251" s="4"/>
      <c r="FKH251" s="9"/>
      <c r="FKI251" s="4"/>
      <c r="FKJ251" s="9"/>
      <c r="FKK251" s="4"/>
      <c r="FKL251" s="9"/>
      <c r="FKM251" s="4"/>
      <c r="FKN251" s="9"/>
      <c r="FKO251" s="4"/>
      <c r="FKP251" s="9"/>
      <c r="FKQ251" s="4"/>
      <c r="FKR251" s="9"/>
      <c r="FKS251" s="4"/>
      <c r="FKT251" s="9"/>
      <c r="FKU251" s="4"/>
      <c r="FKV251" s="9"/>
      <c r="FKW251" s="4"/>
      <c r="FKX251" s="9"/>
      <c r="FKY251" s="4"/>
      <c r="FKZ251" s="9"/>
      <c r="FLA251" s="4"/>
      <c r="FLB251" s="9"/>
      <c r="FLC251" s="4"/>
      <c r="FLD251" s="9"/>
      <c r="FLE251" s="4"/>
      <c r="FLF251" s="9"/>
      <c r="FLG251" s="4"/>
      <c r="FLH251" s="9"/>
      <c r="FLI251" s="4"/>
      <c r="FLJ251" s="9"/>
      <c r="FLK251" s="4"/>
      <c r="FLL251" s="9"/>
      <c r="FLM251" s="4"/>
      <c r="FLN251" s="9"/>
      <c r="FLO251" s="4"/>
      <c r="FLP251" s="9"/>
      <c r="FLQ251" s="4"/>
      <c r="FLR251" s="9"/>
      <c r="FLS251" s="4"/>
      <c r="FLT251" s="9"/>
      <c r="FLU251" s="4"/>
      <c r="FLV251" s="9"/>
      <c r="FLW251" s="4"/>
      <c r="FLX251" s="9"/>
      <c r="FLY251" s="4"/>
      <c r="FLZ251" s="9"/>
      <c r="FMA251" s="4"/>
      <c r="FMB251" s="9"/>
      <c r="FMC251" s="4"/>
      <c r="FMD251" s="9"/>
      <c r="FME251" s="4"/>
      <c r="FMF251" s="9"/>
      <c r="FMG251" s="4"/>
      <c r="FMH251" s="9"/>
      <c r="FMI251" s="4"/>
      <c r="FMJ251" s="9"/>
      <c r="FMK251" s="4"/>
      <c r="FML251" s="9"/>
      <c r="FMM251" s="4"/>
      <c r="FMN251" s="9"/>
      <c r="FMO251" s="4"/>
      <c r="FMP251" s="9"/>
      <c r="FMQ251" s="4"/>
      <c r="FMR251" s="9"/>
      <c r="FMS251" s="4"/>
      <c r="FMT251" s="9"/>
      <c r="FMU251" s="4"/>
      <c r="FMV251" s="9"/>
      <c r="FMW251" s="4"/>
      <c r="FMX251" s="9"/>
      <c r="FMY251" s="4"/>
      <c r="FMZ251" s="9"/>
      <c r="FNA251" s="4"/>
      <c r="FNB251" s="9"/>
      <c r="FNC251" s="4"/>
      <c r="FND251" s="9"/>
      <c r="FNE251" s="4"/>
      <c r="FNF251" s="9"/>
      <c r="FNG251" s="4"/>
      <c r="FNH251" s="9"/>
      <c r="FNI251" s="4"/>
      <c r="FNJ251" s="9"/>
      <c r="FNK251" s="4"/>
      <c r="FNL251" s="9"/>
      <c r="FNM251" s="4"/>
      <c r="FNN251" s="9"/>
      <c r="FNO251" s="4"/>
      <c r="FNP251" s="9"/>
      <c r="FNQ251" s="4"/>
      <c r="FNR251" s="9"/>
      <c r="FNS251" s="4"/>
      <c r="FNT251" s="9"/>
      <c r="FNU251" s="4"/>
      <c r="FNV251" s="9"/>
      <c r="FNW251" s="4"/>
      <c r="FNX251" s="9"/>
      <c r="FNY251" s="4"/>
      <c r="FNZ251" s="9"/>
      <c r="FOA251" s="4"/>
      <c r="FOB251" s="9"/>
      <c r="FOC251" s="4"/>
      <c r="FOD251" s="9"/>
      <c r="FOE251" s="4"/>
      <c r="FOF251" s="9"/>
      <c r="FOG251" s="4"/>
      <c r="FOH251" s="9"/>
      <c r="FOI251" s="4"/>
      <c r="FOJ251" s="9"/>
      <c r="FOK251" s="4"/>
      <c r="FOL251" s="9"/>
      <c r="FOM251" s="4"/>
      <c r="FON251" s="9"/>
      <c r="FOO251" s="4"/>
      <c r="FOP251" s="9"/>
      <c r="FOQ251" s="4"/>
      <c r="FOR251" s="9"/>
      <c r="FOS251" s="4"/>
      <c r="FOT251" s="9"/>
      <c r="FOU251" s="4"/>
      <c r="FOV251" s="9"/>
      <c r="FOW251" s="4"/>
      <c r="FOX251" s="9"/>
      <c r="FOY251" s="4"/>
      <c r="FOZ251" s="9"/>
      <c r="FPA251" s="4"/>
      <c r="FPB251" s="9"/>
      <c r="FPC251" s="4"/>
      <c r="FPD251" s="9"/>
      <c r="FPE251" s="4"/>
      <c r="FPF251" s="9"/>
      <c r="FPG251" s="4"/>
      <c r="FPH251" s="9"/>
      <c r="FPI251" s="4"/>
      <c r="FPJ251" s="9"/>
      <c r="FPK251" s="4"/>
      <c r="FPL251" s="9"/>
      <c r="FPM251" s="4"/>
      <c r="FPN251" s="9"/>
      <c r="FPO251" s="4"/>
      <c r="FPP251" s="9"/>
      <c r="FPQ251" s="4"/>
      <c r="FPR251" s="9"/>
      <c r="FPS251" s="4"/>
      <c r="FPT251" s="9"/>
      <c r="FPU251" s="4"/>
      <c r="FPV251" s="9"/>
      <c r="FPW251" s="4"/>
      <c r="FPX251" s="9"/>
      <c r="FPY251" s="4"/>
      <c r="FPZ251" s="9"/>
      <c r="FQA251" s="4"/>
      <c r="FQB251" s="9"/>
      <c r="FQC251" s="4"/>
      <c r="FQD251" s="9"/>
      <c r="FQE251" s="4"/>
      <c r="FQF251" s="9"/>
      <c r="FQG251" s="4"/>
      <c r="FQH251" s="9"/>
      <c r="FQI251" s="4"/>
      <c r="FQJ251" s="9"/>
      <c r="FQK251" s="4"/>
      <c r="FQL251" s="9"/>
      <c r="FQM251" s="4"/>
      <c r="FQN251" s="9"/>
      <c r="FQO251" s="4"/>
      <c r="FQP251" s="9"/>
      <c r="FQQ251" s="4"/>
      <c r="FQR251" s="9"/>
      <c r="FQS251" s="4"/>
      <c r="FQT251" s="9"/>
      <c r="FQU251" s="4"/>
      <c r="FQV251" s="9"/>
      <c r="FQW251" s="4"/>
      <c r="FQX251" s="9"/>
      <c r="FQY251" s="4"/>
      <c r="FQZ251" s="9"/>
      <c r="FRA251" s="4"/>
      <c r="FRB251" s="9"/>
      <c r="FRC251" s="4"/>
      <c r="FRD251" s="9"/>
      <c r="FRE251" s="4"/>
      <c r="FRF251" s="9"/>
      <c r="FRG251" s="4"/>
      <c r="FRH251" s="9"/>
      <c r="FRI251" s="4"/>
      <c r="FRJ251" s="9"/>
      <c r="FRK251" s="4"/>
      <c r="FRL251" s="9"/>
      <c r="FRM251" s="4"/>
      <c r="FRN251" s="9"/>
      <c r="FRO251" s="4"/>
      <c r="FRP251" s="9"/>
      <c r="FRQ251" s="4"/>
      <c r="FRR251" s="9"/>
      <c r="FRS251" s="4"/>
      <c r="FRT251" s="9"/>
      <c r="FRU251" s="4"/>
      <c r="FRV251" s="9"/>
      <c r="FRW251" s="4"/>
      <c r="FRX251" s="9"/>
      <c r="FRY251" s="4"/>
      <c r="FRZ251" s="9"/>
      <c r="FSA251" s="4"/>
      <c r="FSB251" s="9"/>
      <c r="FSC251" s="4"/>
      <c r="FSD251" s="9"/>
      <c r="FSE251" s="4"/>
      <c r="FSF251" s="9"/>
      <c r="FSG251" s="4"/>
      <c r="FSH251" s="9"/>
      <c r="FSI251" s="4"/>
      <c r="FSJ251" s="9"/>
      <c r="FSK251" s="4"/>
      <c r="FSL251" s="9"/>
      <c r="FSM251" s="4"/>
      <c r="FSN251" s="9"/>
      <c r="FSO251" s="4"/>
      <c r="FSP251" s="9"/>
      <c r="FSQ251" s="4"/>
      <c r="FSR251" s="9"/>
      <c r="FSS251" s="4"/>
      <c r="FST251" s="9"/>
      <c r="FSU251" s="4"/>
      <c r="FSV251" s="9"/>
      <c r="FSW251" s="4"/>
      <c r="FSX251" s="9"/>
      <c r="FSY251" s="4"/>
      <c r="FSZ251" s="9"/>
      <c r="FTA251" s="4"/>
      <c r="FTB251" s="9"/>
      <c r="FTC251" s="4"/>
      <c r="FTD251" s="9"/>
      <c r="FTE251" s="4"/>
      <c r="FTF251" s="9"/>
      <c r="FTG251" s="4"/>
      <c r="FTH251" s="9"/>
      <c r="FTI251" s="4"/>
      <c r="FTJ251" s="9"/>
      <c r="FTK251" s="4"/>
      <c r="FTL251" s="9"/>
      <c r="FTM251" s="4"/>
      <c r="FTN251" s="9"/>
      <c r="FTO251" s="4"/>
      <c r="FTP251" s="9"/>
      <c r="FTQ251" s="4"/>
      <c r="FTR251" s="9"/>
      <c r="FTS251" s="4"/>
      <c r="FTT251" s="9"/>
      <c r="FTU251" s="4"/>
      <c r="FTV251" s="9"/>
      <c r="FTW251" s="4"/>
      <c r="FTX251" s="9"/>
      <c r="FTY251" s="4"/>
      <c r="FTZ251" s="9"/>
      <c r="FUA251" s="4"/>
      <c r="FUB251" s="9"/>
      <c r="FUC251" s="4"/>
      <c r="FUD251" s="9"/>
      <c r="FUE251" s="4"/>
      <c r="FUF251" s="9"/>
      <c r="FUG251" s="4"/>
      <c r="FUH251" s="9"/>
      <c r="FUI251" s="4"/>
      <c r="FUJ251" s="9"/>
      <c r="FUK251" s="4"/>
      <c r="FUL251" s="9"/>
      <c r="FUM251" s="4"/>
      <c r="FUN251" s="9"/>
      <c r="FUO251" s="4"/>
      <c r="FUP251" s="9"/>
      <c r="FUQ251" s="4"/>
      <c r="FUR251" s="9"/>
      <c r="FUS251" s="4"/>
      <c r="FUT251" s="9"/>
      <c r="FUU251" s="4"/>
      <c r="FUV251" s="9"/>
      <c r="FUW251" s="4"/>
      <c r="FUX251" s="9"/>
      <c r="FUY251" s="4"/>
      <c r="FUZ251" s="9"/>
      <c r="FVA251" s="4"/>
      <c r="FVB251" s="9"/>
      <c r="FVC251" s="4"/>
      <c r="FVD251" s="9"/>
      <c r="FVE251" s="4"/>
      <c r="FVF251" s="9"/>
      <c r="FVG251" s="4"/>
      <c r="FVH251" s="9"/>
      <c r="FVI251" s="4"/>
      <c r="FVJ251" s="9"/>
      <c r="FVK251" s="4"/>
      <c r="FVL251" s="9"/>
      <c r="FVM251" s="4"/>
      <c r="FVN251" s="9"/>
      <c r="FVO251" s="4"/>
      <c r="FVP251" s="9"/>
      <c r="FVQ251" s="4"/>
      <c r="FVR251" s="9"/>
      <c r="FVS251" s="4"/>
      <c r="FVT251" s="9"/>
      <c r="FVU251" s="4"/>
      <c r="FVV251" s="9"/>
      <c r="FVW251" s="4"/>
      <c r="FVX251" s="9"/>
      <c r="FVY251" s="4"/>
      <c r="FVZ251" s="9"/>
      <c r="FWA251" s="4"/>
      <c r="FWB251" s="9"/>
      <c r="FWC251" s="4"/>
      <c r="FWD251" s="9"/>
      <c r="FWE251" s="4"/>
      <c r="FWF251" s="9"/>
      <c r="FWG251" s="4"/>
      <c r="FWH251" s="9"/>
      <c r="FWI251" s="4"/>
      <c r="FWJ251" s="9"/>
      <c r="FWK251" s="4"/>
      <c r="FWL251" s="9"/>
      <c r="FWM251" s="4"/>
      <c r="FWN251" s="9"/>
      <c r="FWO251" s="4"/>
      <c r="FWP251" s="9"/>
      <c r="FWQ251" s="4"/>
      <c r="FWR251" s="9"/>
      <c r="FWS251" s="4"/>
      <c r="FWT251" s="9"/>
      <c r="FWU251" s="4"/>
      <c r="FWV251" s="9"/>
      <c r="FWW251" s="4"/>
      <c r="FWX251" s="9"/>
      <c r="FWY251" s="4"/>
      <c r="FWZ251" s="9"/>
      <c r="FXA251" s="4"/>
      <c r="FXB251" s="9"/>
      <c r="FXC251" s="4"/>
      <c r="FXD251" s="9"/>
      <c r="FXE251" s="4"/>
      <c r="FXF251" s="9"/>
      <c r="FXG251" s="4"/>
      <c r="FXH251" s="9"/>
      <c r="FXI251" s="4"/>
      <c r="FXJ251" s="9"/>
      <c r="FXK251" s="4"/>
      <c r="FXL251" s="9"/>
      <c r="FXM251" s="4"/>
      <c r="FXN251" s="9"/>
      <c r="FXO251" s="4"/>
      <c r="FXP251" s="9"/>
      <c r="FXQ251" s="4"/>
      <c r="FXR251" s="9"/>
      <c r="FXS251" s="4"/>
      <c r="FXT251" s="9"/>
      <c r="FXU251" s="4"/>
      <c r="FXV251" s="9"/>
      <c r="FXW251" s="4"/>
      <c r="FXX251" s="9"/>
      <c r="FXY251" s="4"/>
      <c r="FXZ251" s="9"/>
      <c r="FYA251" s="4"/>
      <c r="FYB251" s="9"/>
      <c r="FYC251" s="4"/>
      <c r="FYD251" s="9"/>
      <c r="FYE251" s="4"/>
      <c r="FYF251" s="9"/>
      <c r="FYG251" s="4"/>
      <c r="FYH251" s="9"/>
      <c r="FYI251" s="4"/>
      <c r="FYJ251" s="9"/>
      <c r="FYK251" s="4"/>
      <c r="FYL251" s="9"/>
      <c r="FYM251" s="4"/>
      <c r="FYN251" s="9"/>
      <c r="FYO251" s="4"/>
      <c r="FYP251" s="9"/>
      <c r="FYQ251" s="4"/>
      <c r="FYR251" s="9"/>
      <c r="FYS251" s="4"/>
      <c r="FYT251" s="9"/>
      <c r="FYU251" s="4"/>
      <c r="FYV251" s="9"/>
      <c r="FYW251" s="4"/>
      <c r="FYX251" s="9"/>
      <c r="FYY251" s="4"/>
      <c r="FYZ251" s="9"/>
      <c r="FZA251" s="4"/>
      <c r="FZB251" s="9"/>
      <c r="FZC251" s="4"/>
      <c r="FZD251" s="9"/>
      <c r="FZE251" s="4"/>
      <c r="FZF251" s="9"/>
      <c r="FZG251" s="4"/>
      <c r="FZH251" s="9"/>
      <c r="FZI251" s="4"/>
      <c r="FZJ251" s="9"/>
      <c r="FZK251" s="4"/>
      <c r="FZL251" s="9"/>
      <c r="FZM251" s="4"/>
      <c r="FZN251" s="9"/>
      <c r="FZO251" s="4"/>
      <c r="FZP251" s="9"/>
      <c r="FZQ251" s="4"/>
      <c r="FZR251" s="9"/>
      <c r="FZS251" s="4"/>
      <c r="FZT251" s="9"/>
      <c r="FZU251" s="4"/>
      <c r="FZV251" s="9"/>
      <c r="FZW251" s="4"/>
      <c r="FZX251" s="9"/>
      <c r="FZY251" s="4"/>
      <c r="FZZ251" s="9"/>
      <c r="GAA251" s="4"/>
      <c r="GAB251" s="9"/>
      <c r="GAC251" s="4"/>
      <c r="GAD251" s="9"/>
      <c r="GAE251" s="4"/>
      <c r="GAF251" s="9"/>
      <c r="GAG251" s="4"/>
      <c r="GAH251" s="9"/>
      <c r="GAI251" s="4"/>
      <c r="GAJ251" s="9"/>
      <c r="GAK251" s="4"/>
      <c r="GAL251" s="9"/>
      <c r="GAM251" s="4"/>
      <c r="GAN251" s="9"/>
      <c r="GAO251" s="4"/>
      <c r="GAP251" s="9"/>
      <c r="GAQ251" s="4"/>
      <c r="GAR251" s="9"/>
      <c r="GAS251" s="4"/>
      <c r="GAT251" s="9"/>
      <c r="GAU251" s="4"/>
      <c r="GAV251" s="9"/>
      <c r="GAW251" s="4"/>
      <c r="GAX251" s="9"/>
      <c r="GAY251" s="4"/>
      <c r="GAZ251" s="9"/>
      <c r="GBA251" s="4"/>
      <c r="GBB251" s="9"/>
      <c r="GBC251" s="4"/>
      <c r="GBD251" s="9"/>
      <c r="GBE251" s="4"/>
      <c r="GBF251" s="9"/>
      <c r="GBG251" s="4"/>
      <c r="GBH251" s="9"/>
      <c r="GBI251" s="4"/>
      <c r="GBJ251" s="9"/>
      <c r="GBK251" s="4"/>
      <c r="GBL251" s="9"/>
      <c r="GBM251" s="4"/>
      <c r="GBN251" s="9"/>
      <c r="GBO251" s="4"/>
      <c r="GBP251" s="9"/>
      <c r="GBQ251" s="4"/>
      <c r="GBR251" s="9"/>
      <c r="GBS251" s="4"/>
      <c r="GBT251" s="9"/>
      <c r="GBU251" s="4"/>
      <c r="GBV251" s="9"/>
      <c r="GBW251" s="4"/>
      <c r="GBX251" s="9"/>
      <c r="GBY251" s="4"/>
      <c r="GBZ251" s="9"/>
      <c r="GCA251" s="4"/>
      <c r="GCB251" s="9"/>
      <c r="GCC251" s="4"/>
      <c r="GCD251" s="9"/>
      <c r="GCE251" s="4"/>
      <c r="GCF251" s="9"/>
      <c r="GCG251" s="4"/>
      <c r="GCH251" s="9"/>
      <c r="GCI251" s="4"/>
      <c r="GCJ251" s="9"/>
      <c r="GCK251" s="4"/>
      <c r="GCL251" s="9"/>
      <c r="GCM251" s="4"/>
      <c r="GCN251" s="9"/>
      <c r="GCO251" s="4"/>
      <c r="GCP251" s="9"/>
      <c r="GCQ251" s="4"/>
      <c r="GCR251" s="9"/>
      <c r="GCS251" s="4"/>
      <c r="GCT251" s="9"/>
      <c r="GCU251" s="4"/>
      <c r="GCV251" s="9"/>
      <c r="GCW251" s="4"/>
      <c r="GCX251" s="9"/>
      <c r="GCY251" s="4"/>
      <c r="GCZ251" s="9"/>
      <c r="GDA251" s="4"/>
      <c r="GDB251" s="9"/>
      <c r="GDC251" s="4"/>
      <c r="GDD251" s="9"/>
      <c r="GDE251" s="4"/>
      <c r="GDF251" s="9"/>
      <c r="GDG251" s="4"/>
      <c r="GDH251" s="9"/>
      <c r="GDI251" s="4"/>
      <c r="GDJ251" s="9"/>
      <c r="GDK251" s="4"/>
      <c r="GDL251" s="9"/>
      <c r="GDM251" s="4"/>
      <c r="GDN251" s="9"/>
      <c r="GDO251" s="4"/>
      <c r="GDP251" s="9"/>
      <c r="GDQ251" s="4"/>
      <c r="GDR251" s="9"/>
      <c r="GDS251" s="4"/>
      <c r="GDT251" s="9"/>
      <c r="GDU251" s="4"/>
      <c r="GDV251" s="9"/>
      <c r="GDW251" s="4"/>
      <c r="GDX251" s="9"/>
      <c r="GDY251" s="4"/>
      <c r="GDZ251" s="9"/>
      <c r="GEA251" s="4"/>
      <c r="GEB251" s="9"/>
      <c r="GEC251" s="4"/>
      <c r="GED251" s="9"/>
      <c r="GEE251" s="4"/>
      <c r="GEF251" s="9"/>
      <c r="GEG251" s="4"/>
      <c r="GEH251" s="9"/>
      <c r="GEI251" s="4"/>
      <c r="GEJ251" s="9"/>
      <c r="GEK251" s="4"/>
      <c r="GEL251" s="9"/>
      <c r="GEM251" s="4"/>
      <c r="GEN251" s="9"/>
      <c r="GEO251" s="4"/>
      <c r="GEP251" s="9"/>
      <c r="GEQ251" s="4"/>
      <c r="GER251" s="9"/>
      <c r="GES251" s="4"/>
      <c r="GET251" s="9"/>
      <c r="GEU251" s="4"/>
      <c r="GEV251" s="9"/>
      <c r="GEW251" s="4"/>
      <c r="GEX251" s="9"/>
      <c r="GEY251" s="4"/>
      <c r="GEZ251" s="9"/>
      <c r="GFA251" s="4"/>
      <c r="GFB251" s="9"/>
      <c r="GFC251" s="4"/>
      <c r="GFD251" s="9"/>
      <c r="GFE251" s="4"/>
      <c r="GFF251" s="9"/>
      <c r="GFG251" s="4"/>
      <c r="GFH251" s="9"/>
      <c r="GFI251" s="4"/>
      <c r="GFJ251" s="9"/>
      <c r="GFK251" s="4"/>
      <c r="GFL251" s="9"/>
      <c r="GFM251" s="4"/>
      <c r="GFN251" s="9"/>
      <c r="GFO251" s="4"/>
      <c r="GFP251" s="9"/>
      <c r="GFQ251" s="4"/>
      <c r="GFR251" s="9"/>
      <c r="GFS251" s="4"/>
      <c r="GFT251" s="9"/>
      <c r="GFU251" s="4"/>
      <c r="GFV251" s="9"/>
      <c r="GFW251" s="4"/>
      <c r="GFX251" s="9"/>
      <c r="GFY251" s="4"/>
      <c r="GFZ251" s="9"/>
      <c r="GGA251" s="4"/>
      <c r="GGB251" s="9"/>
      <c r="GGC251" s="4"/>
      <c r="GGD251" s="9"/>
      <c r="GGE251" s="4"/>
      <c r="GGF251" s="9"/>
      <c r="GGG251" s="4"/>
      <c r="GGH251" s="9"/>
      <c r="GGI251" s="4"/>
      <c r="GGJ251" s="9"/>
      <c r="GGK251" s="4"/>
      <c r="GGL251" s="9"/>
      <c r="GGM251" s="4"/>
      <c r="GGN251" s="9"/>
      <c r="GGO251" s="4"/>
      <c r="GGP251" s="9"/>
      <c r="GGQ251" s="4"/>
      <c r="GGR251" s="9"/>
      <c r="GGS251" s="4"/>
      <c r="GGT251" s="9"/>
      <c r="GGU251" s="4"/>
      <c r="GGV251" s="9"/>
      <c r="GGW251" s="4"/>
      <c r="GGX251" s="9"/>
      <c r="GGY251" s="4"/>
      <c r="GGZ251" s="9"/>
      <c r="GHA251" s="4"/>
      <c r="GHB251" s="9"/>
      <c r="GHC251" s="4"/>
      <c r="GHD251" s="9"/>
      <c r="GHE251" s="4"/>
      <c r="GHF251" s="9"/>
      <c r="GHG251" s="4"/>
      <c r="GHH251" s="9"/>
      <c r="GHI251" s="4"/>
      <c r="GHJ251" s="9"/>
      <c r="GHK251" s="4"/>
      <c r="GHL251" s="9"/>
      <c r="GHM251" s="4"/>
      <c r="GHN251" s="9"/>
      <c r="GHO251" s="4"/>
      <c r="GHP251" s="9"/>
      <c r="GHQ251" s="4"/>
      <c r="GHR251" s="9"/>
      <c r="GHS251" s="4"/>
      <c r="GHT251" s="9"/>
      <c r="GHU251" s="4"/>
      <c r="GHV251" s="9"/>
      <c r="GHW251" s="4"/>
      <c r="GHX251" s="9"/>
      <c r="GHY251" s="4"/>
      <c r="GHZ251" s="9"/>
      <c r="GIA251" s="4"/>
      <c r="GIB251" s="9"/>
      <c r="GIC251" s="4"/>
      <c r="GID251" s="9"/>
      <c r="GIE251" s="4"/>
      <c r="GIF251" s="9"/>
      <c r="GIG251" s="4"/>
      <c r="GIH251" s="9"/>
      <c r="GII251" s="4"/>
      <c r="GIJ251" s="9"/>
      <c r="GIK251" s="4"/>
      <c r="GIL251" s="9"/>
      <c r="GIM251" s="4"/>
      <c r="GIN251" s="9"/>
      <c r="GIO251" s="4"/>
      <c r="GIP251" s="9"/>
      <c r="GIQ251" s="4"/>
      <c r="GIR251" s="9"/>
      <c r="GIS251" s="4"/>
      <c r="GIT251" s="9"/>
      <c r="GIU251" s="4"/>
      <c r="GIV251" s="9"/>
      <c r="GIW251" s="4"/>
      <c r="GIX251" s="9"/>
      <c r="GIY251" s="4"/>
      <c r="GIZ251" s="9"/>
      <c r="GJA251" s="4"/>
      <c r="GJB251" s="9"/>
      <c r="GJC251" s="4"/>
      <c r="GJD251" s="9"/>
      <c r="GJE251" s="4"/>
      <c r="GJF251" s="9"/>
      <c r="GJG251" s="4"/>
      <c r="GJH251" s="9"/>
      <c r="GJI251" s="4"/>
      <c r="GJJ251" s="9"/>
      <c r="GJK251" s="4"/>
      <c r="GJL251" s="9"/>
      <c r="GJM251" s="4"/>
      <c r="GJN251" s="9"/>
      <c r="GJO251" s="4"/>
      <c r="GJP251" s="9"/>
      <c r="GJQ251" s="4"/>
      <c r="GJR251" s="9"/>
      <c r="GJS251" s="4"/>
      <c r="GJT251" s="9"/>
      <c r="GJU251" s="4"/>
      <c r="GJV251" s="9"/>
      <c r="GJW251" s="4"/>
      <c r="GJX251" s="9"/>
      <c r="GJY251" s="4"/>
      <c r="GJZ251" s="9"/>
      <c r="GKA251" s="4"/>
      <c r="GKB251" s="9"/>
      <c r="GKC251" s="4"/>
      <c r="GKD251" s="9"/>
      <c r="GKE251" s="4"/>
      <c r="GKF251" s="9"/>
      <c r="GKG251" s="4"/>
      <c r="GKH251" s="9"/>
      <c r="GKI251" s="4"/>
      <c r="GKJ251" s="9"/>
      <c r="GKK251" s="4"/>
      <c r="GKL251" s="9"/>
      <c r="GKM251" s="4"/>
      <c r="GKN251" s="9"/>
      <c r="GKO251" s="4"/>
      <c r="GKP251" s="9"/>
      <c r="GKQ251" s="4"/>
      <c r="GKR251" s="9"/>
      <c r="GKS251" s="4"/>
      <c r="GKT251" s="9"/>
      <c r="GKU251" s="4"/>
      <c r="GKV251" s="9"/>
      <c r="GKW251" s="4"/>
      <c r="GKX251" s="9"/>
      <c r="GKY251" s="4"/>
      <c r="GKZ251" s="9"/>
      <c r="GLA251" s="4"/>
      <c r="GLB251" s="9"/>
      <c r="GLC251" s="4"/>
      <c r="GLD251" s="9"/>
      <c r="GLE251" s="4"/>
      <c r="GLF251" s="9"/>
      <c r="GLG251" s="4"/>
      <c r="GLH251" s="9"/>
      <c r="GLI251" s="4"/>
      <c r="GLJ251" s="9"/>
      <c r="GLK251" s="4"/>
      <c r="GLL251" s="9"/>
      <c r="GLM251" s="4"/>
      <c r="GLN251" s="9"/>
      <c r="GLO251" s="4"/>
      <c r="GLP251" s="9"/>
      <c r="GLQ251" s="4"/>
      <c r="GLR251" s="9"/>
      <c r="GLS251" s="4"/>
      <c r="GLT251" s="9"/>
      <c r="GLU251" s="4"/>
      <c r="GLV251" s="9"/>
      <c r="GLW251" s="4"/>
      <c r="GLX251" s="9"/>
      <c r="GLY251" s="4"/>
      <c r="GLZ251" s="9"/>
      <c r="GMA251" s="4"/>
      <c r="GMB251" s="9"/>
      <c r="GMC251" s="4"/>
      <c r="GMD251" s="9"/>
      <c r="GME251" s="4"/>
      <c r="GMF251" s="9"/>
      <c r="GMG251" s="4"/>
      <c r="GMH251" s="9"/>
      <c r="GMI251" s="4"/>
      <c r="GMJ251" s="9"/>
      <c r="GMK251" s="4"/>
      <c r="GML251" s="9"/>
      <c r="GMM251" s="4"/>
      <c r="GMN251" s="9"/>
      <c r="GMO251" s="4"/>
      <c r="GMP251" s="9"/>
      <c r="GMQ251" s="4"/>
      <c r="GMR251" s="9"/>
      <c r="GMS251" s="4"/>
      <c r="GMT251" s="9"/>
      <c r="GMU251" s="4"/>
      <c r="GMV251" s="9"/>
      <c r="GMW251" s="4"/>
      <c r="GMX251" s="9"/>
      <c r="GMY251" s="4"/>
      <c r="GMZ251" s="9"/>
      <c r="GNA251" s="4"/>
      <c r="GNB251" s="9"/>
      <c r="GNC251" s="4"/>
      <c r="GND251" s="9"/>
      <c r="GNE251" s="4"/>
      <c r="GNF251" s="9"/>
      <c r="GNG251" s="4"/>
      <c r="GNH251" s="9"/>
      <c r="GNI251" s="4"/>
      <c r="GNJ251" s="9"/>
      <c r="GNK251" s="4"/>
      <c r="GNL251" s="9"/>
      <c r="GNM251" s="4"/>
      <c r="GNN251" s="9"/>
      <c r="GNO251" s="4"/>
      <c r="GNP251" s="9"/>
      <c r="GNQ251" s="4"/>
      <c r="GNR251" s="9"/>
      <c r="GNS251" s="4"/>
      <c r="GNT251" s="9"/>
      <c r="GNU251" s="4"/>
      <c r="GNV251" s="9"/>
      <c r="GNW251" s="4"/>
      <c r="GNX251" s="9"/>
      <c r="GNY251" s="4"/>
      <c r="GNZ251" s="9"/>
      <c r="GOA251" s="4"/>
      <c r="GOB251" s="9"/>
      <c r="GOC251" s="4"/>
      <c r="GOD251" s="9"/>
      <c r="GOE251" s="4"/>
      <c r="GOF251" s="9"/>
      <c r="GOG251" s="4"/>
      <c r="GOH251" s="9"/>
      <c r="GOI251" s="4"/>
      <c r="GOJ251" s="9"/>
      <c r="GOK251" s="4"/>
      <c r="GOL251" s="9"/>
      <c r="GOM251" s="4"/>
      <c r="GON251" s="9"/>
      <c r="GOO251" s="4"/>
      <c r="GOP251" s="9"/>
      <c r="GOQ251" s="4"/>
      <c r="GOR251" s="9"/>
      <c r="GOS251" s="4"/>
      <c r="GOT251" s="9"/>
      <c r="GOU251" s="4"/>
      <c r="GOV251" s="9"/>
      <c r="GOW251" s="4"/>
      <c r="GOX251" s="9"/>
      <c r="GOY251" s="4"/>
      <c r="GOZ251" s="9"/>
      <c r="GPA251" s="4"/>
      <c r="GPB251" s="9"/>
      <c r="GPC251" s="4"/>
      <c r="GPD251" s="9"/>
      <c r="GPE251" s="4"/>
      <c r="GPF251" s="9"/>
      <c r="GPG251" s="4"/>
      <c r="GPH251" s="9"/>
      <c r="GPI251" s="4"/>
      <c r="GPJ251" s="9"/>
      <c r="GPK251" s="4"/>
      <c r="GPL251" s="9"/>
      <c r="GPM251" s="4"/>
      <c r="GPN251" s="9"/>
      <c r="GPO251" s="4"/>
      <c r="GPP251" s="9"/>
      <c r="GPQ251" s="4"/>
      <c r="GPR251" s="9"/>
      <c r="GPS251" s="4"/>
      <c r="GPT251" s="9"/>
      <c r="GPU251" s="4"/>
      <c r="GPV251" s="9"/>
      <c r="GPW251" s="4"/>
      <c r="GPX251" s="9"/>
      <c r="GPY251" s="4"/>
      <c r="GPZ251" s="9"/>
      <c r="GQA251" s="4"/>
      <c r="GQB251" s="9"/>
      <c r="GQC251" s="4"/>
      <c r="GQD251" s="9"/>
      <c r="GQE251" s="4"/>
      <c r="GQF251" s="9"/>
      <c r="GQG251" s="4"/>
      <c r="GQH251" s="9"/>
      <c r="GQI251" s="4"/>
      <c r="GQJ251" s="9"/>
      <c r="GQK251" s="4"/>
      <c r="GQL251" s="9"/>
      <c r="GQM251" s="4"/>
      <c r="GQN251" s="9"/>
      <c r="GQO251" s="4"/>
      <c r="GQP251" s="9"/>
      <c r="GQQ251" s="4"/>
      <c r="GQR251" s="9"/>
      <c r="GQS251" s="4"/>
      <c r="GQT251" s="9"/>
      <c r="GQU251" s="4"/>
      <c r="GQV251" s="9"/>
      <c r="GQW251" s="4"/>
      <c r="GQX251" s="9"/>
      <c r="GQY251" s="4"/>
      <c r="GQZ251" s="9"/>
      <c r="GRA251" s="4"/>
      <c r="GRB251" s="9"/>
      <c r="GRC251" s="4"/>
      <c r="GRD251" s="9"/>
      <c r="GRE251" s="4"/>
      <c r="GRF251" s="9"/>
      <c r="GRG251" s="4"/>
      <c r="GRH251" s="9"/>
      <c r="GRI251" s="4"/>
      <c r="GRJ251" s="9"/>
      <c r="GRK251" s="4"/>
      <c r="GRL251" s="9"/>
      <c r="GRM251" s="4"/>
      <c r="GRN251" s="9"/>
      <c r="GRO251" s="4"/>
      <c r="GRP251" s="9"/>
      <c r="GRQ251" s="4"/>
      <c r="GRR251" s="9"/>
      <c r="GRS251" s="4"/>
      <c r="GRT251" s="9"/>
      <c r="GRU251" s="4"/>
      <c r="GRV251" s="9"/>
      <c r="GRW251" s="4"/>
      <c r="GRX251" s="9"/>
      <c r="GRY251" s="4"/>
      <c r="GRZ251" s="9"/>
      <c r="GSA251" s="4"/>
      <c r="GSB251" s="9"/>
      <c r="GSC251" s="4"/>
      <c r="GSD251" s="9"/>
      <c r="GSE251" s="4"/>
      <c r="GSF251" s="9"/>
      <c r="GSG251" s="4"/>
      <c r="GSH251" s="9"/>
      <c r="GSI251" s="4"/>
      <c r="GSJ251" s="9"/>
      <c r="GSK251" s="4"/>
      <c r="GSL251" s="9"/>
      <c r="GSM251" s="4"/>
      <c r="GSN251" s="9"/>
      <c r="GSO251" s="4"/>
      <c r="GSP251" s="9"/>
      <c r="GSQ251" s="4"/>
      <c r="GSR251" s="9"/>
      <c r="GSS251" s="4"/>
      <c r="GST251" s="9"/>
      <c r="GSU251" s="4"/>
      <c r="GSV251" s="9"/>
      <c r="GSW251" s="4"/>
      <c r="GSX251" s="9"/>
      <c r="GSY251" s="4"/>
      <c r="GSZ251" s="9"/>
      <c r="GTA251" s="4"/>
      <c r="GTB251" s="9"/>
      <c r="GTC251" s="4"/>
      <c r="GTD251" s="9"/>
      <c r="GTE251" s="4"/>
      <c r="GTF251" s="9"/>
      <c r="GTG251" s="4"/>
      <c r="GTH251" s="9"/>
      <c r="GTI251" s="4"/>
      <c r="GTJ251" s="9"/>
      <c r="GTK251" s="4"/>
      <c r="GTL251" s="9"/>
      <c r="GTM251" s="4"/>
      <c r="GTN251" s="9"/>
      <c r="GTO251" s="4"/>
      <c r="GTP251" s="9"/>
      <c r="GTQ251" s="4"/>
      <c r="GTR251" s="9"/>
      <c r="GTS251" s="4"/>
      <c r="GTT251" s="9"/>
      <c r="GTU251" s="4"/>
      <c r="GTV251" s="9"/>
      <c r="GTW251" s="4"/>
      <c r="GTX251" s="9"/>
      <c r="GTY251" s="4"/>
      <c r="GTZ251" s="9"/>
      <c r="GUA251" s="4"/>
      <c r="GUB251" s="9"/>
      <c r="GUC251" s="4"/>
      <c r="GUD251" s="9"/>
      <c r="GUE251" s="4"/>
      <c r="GUF251" s="9"/>
      <c r="GUG251" s="4"/>
      <c r="GUH251" s="9"/>
      <c r="GUI251" s="4"/>
      <c r="GUJ251" s="9"/>
      <c r="GUK251" s="4"/>
      <c r="GUL251" s="9"/>
      <c r="GUM251" s="4"/>
      <c r="GUN251" s="9"/>
      <c r="GUO251" s="4"/>
      <c r="GUP251" s="9"/>
      <c r="GUQ251" s="4"/>
      <c r="GUR251" s="9"/>
      <c r="GUS251" s="4"/>
      <c r="GUT251" s="9"/>
      <c r="GUU251" s="4"/>
      <c r="GUV251" s="9"/>
      <c r="GUW251" s="4"/>
      <c r="GUX251" s="9"/>
      <c r="GUY251" s="4"/>
      <c r="GUZ251" s="9"/>
      <c r="GVA251" s="4"/>
      <c r="GVB251" s="9"/>
      <c r="GVC251" s="4"/>
      <c r="GVD251" s="9"/>
      <c r="GVE251" s="4"/>
      <c r="GVF251" s="9"/>
      <c r="GVG251" s="4"/>
      <c r="GVH251" s="9"/>
      <c r="GVI251" s="4"/>
      <c r="GVJ251" s="9"/>
      <c r="GVK251" s="4"/>
      <c r="GVL251" s="9"/>
      <c r="GVM251" s="4"/>
      <c r="GVN251" s="9"/>
      <c r="GVO251" s="4"/>
      <c r="GVP251" s="9"/>
      <c r="GVQ251" s="4"/>
      <c r="GVR251" s="9"/>
      <c r="GVS251" s="4"/>
      <c r="GVT251" s="9"/>
      <c r="GVU251" s="4"/>
      <c r="GVV251" s="9"/>
      <c r="GVW251" s="4"/>
      <c r="GVX251" s="9"/>
      <c r="GVY251" s="4"/>
      <c r="GVZ251" s="9"/>
      <c r="GWA251" s="4"/>
      <c r="GWB251" s="9"/>
      <c r="GWC251" s="4"/>
      <c r="GWD251" s="9"/>
      <c r="GWE251" s="4"/>
      <c r="GWF251" s="9"/>
      <c r="GWG251" s="4"/>
      <c r="GWH251" s="9"/>
      <c r="GWI251" s="4"/>
      <c r="GWJ251" s="9"/>
      <c r="GWK251" s="4"/>
      <c r="GWL251" s="9"/>
      <c r="GWM251" s="4"/>
      <c r="GWN251" s="9"/>
      <c r="GWO251" s="4"/>
      <c r="GWP251" s="9"/>
      <c r="GWQ251" s="4"/>
      <c r="GWR251" s="9"/>
      <c r="GWS251" s="4"/>
      <c r="GWT251" s="9"/>
      <c r="GWU251" s="4"/>
      <c r="GWV251" s="9"/>
      <c r="GWW251" s="4"/>
      <c r="GWX251" s="9"/>
      <c r="GWY251" s="4"/>
      <c r="GWZ251" s="9"/>
      <c r="GXA251" s="4"/>
      <c r="GXB251" s="9"/>
      <c r="GXC251" s="4"/>
      <c r="GXD251" s="9"/>
      <c r="GXE251" s="4"/>
      <c r="GXF251" s="9"/>
      <c r="GXG251" s="4"/>
      <c r="GXH251" s="9"/>
      <c r="GXI251" s="4"/>
      <c r="GXJ251" s="9"/>
      <c r="GXK251" s="4"/>
      <c r="GXL251" s="9"/>
      <c r="GXM251" s="4"/>
      <c r="GXN251" s="9"/>
      <c r="GXO251" s="4"/>
      <c r="GXP251" s="9"/>
      <c r="GXQ251" s="4"/>
      <c r="GXR251" s="9"/>
      <c r="GXS251" s="4"/>
      <c r="GXT251" s="9"/>
      <c r="GXU251" s="4"/>
      <c r="GXV251" s="9"/>
      <c r="GXW251" s="4"/>
      <c r="GXX251" s="9"/>
      <c r="GXY251" s="4"/>
      <c r="GXZ251" s="9"/>
      <c r="GYA251" s="4"/>
      <c r="GYB251" s="9"/>
      <c r="GYC251" s="4"/>
      <c r="GYD251" s="9"/>
      <c r="GYE251" s="4"/>
      <c r="GYF251" s="9"/>
      <c r="GYG251" s="4"/>
      <c r="GYH251" s="9"/>
      <c r="GYI251" s="4"/>
      <c r="GYJ251" s="9"/>
      <c r="GYK251" s="4"/>
      <c r="GYL251" s="9"/>
      <c r="GYM251" s="4"/>
      <c r="GYN251" s="9"/>
      <c r="GYO251" s="4"/>
      <c r="GYP251" s="9"/>
      <c r="GYQ251" s="4"/>
      <c r="GYR251" s="9"/>
      <c r="GYS251" s="4"/>
      <c r="GYT251" s="9"/>
      <c r="GYU251" s="4"/>
      <c r="GYV251" s="9"/>
      <c r="GYW251" s="4"/>
      <c r="GYX251" s="9"/>
      <c r="GYY251" s="4"/>
      <c r="GYZ251" s="9"/>
      <c r="GZA251" s="4"/>
      <c r="GZB251" s="9"/>
      <c r="GZC251" s="4"/>
      <c r="GZD251" s="9"/>
      <c r="GZE251" s="4"/>
      <c r="GZF251" s="9"/>
      <c r="GZG251" s="4"/>
      <c r="GZH251" s="9"/>
      <c r="GZI251" s="4"/>
      <c r="GZJ251" s="9"/>
      <c r="GZK251" s="4"/>
      <c r="GZL251" s="9"/>
      <c r="GZM251" s="4"/>
      <c r="GZN251" s="9"/>
      <c r="GZO251" s="4"/>
      <c r="GZP251" s="9"/>
      <c r="GZQ251" s="4"/>
      <c r="GZR251" s="9"/>
      <c r="GZS251" s="4"/>
      <c r="GZT251" s="9"/>
      <c r="GZU251" s="4"/>
      <c r="GZV251" s="9"/>
      <c r="GZW251" s="4"/>
      <c r="GZX251" s="9"/>
      <c r="GZY251" s="4"/>
      <c r="GZZ251" s="9"/>
      <c r="HAA251" s="4"/>
      <c r="HAB251" s="9"/>
      <c r="HAC251" s="4"/>
      <c r="HAD251" s="9"/>
      <c r="HAE251" s="4"/>
      <c r="HAF251" s="9"/>
      <c r="HAG251" s="4"/>
      <c r="HAH251" s="9"/>
      <c r="HAI251" s="4"/>
      <c r="HAJ251" s="9"/>
      <c r="HAK251" s="4"/>
      <c r="HAL251" s="9"/>
      <c r="HAM251" s="4"/>
      <c r="HAN251" s="9"/>
      <c r="HAO251" s="4"/>
      <c r="HAP251" s="9"/>
      <c r="HAQ251" s="4"/>
      <c r="HAR251" s="9"/>
      <c r="HAS251" s="4"/>
      <c r="HAT251" s="9"/>
      <c r="HAU251" s="4"/>
      <c r="HAV251" s="9"/>
      <c r="HAW251" s="4"/>
      <c r="HAX251" s="9"/>
      <c r="HAY251" s="4"/>
      <c r="HAZ251" s="9"/>
      <c r="HBA251" s="4"/>
      <c r="HBB251" s="9"/>
      <c r="HBC251" s="4"/>
      <c r="HBD251" s="9"/>
      <c r="HBE251" s="4"/>
      <c r="HBF251" s="9"/>
      <c r="HBG251" s="4"/>
      <c r="HBH251" s="9"/>
      <c r="HBI251" s="4"/>
      <c r="HBJ251" s="9"/>
      <c r="HBK251" s="4"/>
      <c r="HBL251" s="9"/>
      <c r="HBM251" s="4"/>
      <c r="HBN251" s="9"/>
      <c r="HBO251" s="4"/>
      <c r="HBP251" s="9"/>
      <c r="HBQ251" s="4"/>
      <c r="HBR251" s="9"/>
      <c r="HBS251" s="4"/>
      <c r="HBT251" s="9"/>
      <c r="HBU251" s="4"/>
      <c r="HBV251" s="9"/>
      <c r="HBW251" s="4"/>
      <c r="HBX251" s="9"/>
      <c r="HBY251" s="4"/>
      <c r="HBZ251" s="9"/>
      <c r="HCA251" s="4"/>
      <c r="HCB251" s="9"/>
      <c r="HCC251" s="4"/>
      <c r="HCD251" s="9"/>
      <c r="HCE251" s="4"/>
      <c r="HCF251" s="9"/>
      <c r="HCG251" s="4"/>
      <c r="HCH251" s="9"/>
      <c r="HCI251" s="4"/>
      <c r="HCJ251" s="9"/>
      <c r="HCK251" s="4"/>
      <c r="HCL251" s="9"/>
      <c r="HCM251" s="4"/>
      <c r="HCN251" s="9"/>
      <c r="HCO251" s="4"/>
      <c r="HCP251" s="9"/>
      <c r="HCQ251" s="4"/>
      <c r="HCR251" s="9"/>
      <c r="HCS251" s="4"/>
      <c r="HCT251" s="9"/>
      <c r="HCU251" s="4"/>
      <c r="HCV251" s="9"/>
      <c r="HCW251" s="4"/>
      <c r="HCX251" s="9"/>
      <c r="HCY251" s="4"/>
      <c r="HCZ251" s="9"/>
      <c r="HDA251" s="4"/>
      <c r="HDB251" s="9"/>
      <c r="HDC251" s="4"/>
      <c r="HDD251" s="9"/>
      <c r="HDE251" s="4"/>
      <c r="HDF251" s="9"/>
      <c r="HDG251" s="4"/>
      <c r="HDH251" s="9"/>
      <c r="HDI251" s="4"/>
      <c r="HDJ251" s="9"/>
      <c r="HDK251" s="4"/>
      <c r="HDL251" s="9"/>
      <c r="HDM251" s="4"/>
      <c r="HDN251" s="9"/>
      <c r="HDO251" s="4"/>
      <c r="HDP251" s="9"/>
      <c r="HDQ251" s="4"/>
      <c r="HDR251" s="9"/>
      <c r="HDS251" s="4"/>
      <c r="HDT251" s="9"/>
      <c r="HDU251" s="4"/>
      <c r="HDV251" s="9"/>
      <c r="HDW251" s="4"/>
      <c r="HDX251" s="9"/>
      <c r="HDY251" s="4"/>
      <c r="HDZ251" s="9"/>
      <c r="HEA251" s="4"/>
      <c r="HEB251" s="9"/>
      <c r="HEC251" s="4"/>
      <c r="HED251" s="9"/>
      <c r="HEE251" s="4"/>
      <c r="HEF251" s="9"/>
      <c r="HEG251" s="4"/>
      <c r="HEH251" s="9"/>
      <c r="HEI251" s="4"/>
      <c r="HEJ251" s="9"/>
      <c r="HEK251" s="4"/>
      <c r="HEL251" s="9"/>
      <c r="HEM251" s="4"/>
      <c r="HEN251" s="9"/>
      <c r="HEO251" s="4"/>
      <c r="HEP251" s="9"/>
      <c r="HEQ251" s="4"/>
      <c r="HER251" s="9"/>
      <c r="HES251" s="4"/>
      <c r="HET251" s="9"/>
      <c r="HEU251" s="4"/>
      <c r="HEV251" s="9"/>
      <c r="HEW251" s="4"/>
      <c r="HEX251" s="9"/>
      <c r="HEY251" s="4"/>
      <c r="HEZ251" s="9"/>
      <c r="HFA251" s="4"/>
      <c r="HFB251" s="9"/>
      <c r="HFC251" s="4"/>
      <c r="HFD251" s="9"/>
      <c r="HFE251" s="4"/>
      <c r="HFF251" s="9"/>
      <c r="HFG251" s="4"/>
      <c r="HFH251" s="9"/>
      <c r="HFI251" s="4"/>
      <c r="HFJ251" s="9"/>
      <c r="HFK251" s="4"/>
      <c r="HFL251" s="9"/>
      <c r="HFM251" s="4"/>
      <c r="HFN251" s="9"/>
      <c r="HFO251" s="4"/>
      <c r="HFP251" s="9"/>
      <c r="HFQ251" s="4"/>
      <c r="HFR251" s="9"/>
      <c r="HFS251" s="4"/>
      <c r="HFT251" s="9"/>
      <c r="HFU251" s="4"/>
      <c r="HFV251" s="9"/>
      <c r="HFW251" s="4"/>
      <c r="HFX251" s="9"/>
      <c r="HFY251" s="4"/>
      <c r="HFZ251" s="9"/>
      <c r="HGA251" s="4"/>
      <c r="HGB251" s="9"/>
      <c r="HGC251" s="4"/>
      <c r="HGD251" s="9"/>
      <c r="HGE251" s="4"/>
      <c r="HGF251" s="9"/>
      <c r="HGG251" s="4"/>
      <c r="HGH251" s="9"/>
      <c r="HGI251" s="4"/>
      <c r="HGJ251" s="9"/>
      <c r="HGK251" s="4"/>
      <c r="HGL251" s="9"/>
      <c r="HGM251" s="4"/>
      <c r="HGN251" s="9"/>
      <c r="HGO251" s="4"/>
      <c r="HGP251" s="9"/>
      <c r="HGQ251" s="4"/>
      <c r="HGR251" s="9"/>
      <c r="HGS251" s="4"/>
      <c r="HGT251" s="9"/>
      <c r="HGU251" s="4"/>
      <c r="HGV251" s="9"/>
      <c r="HGW251" s="4"/>
      <c r="HGX251" s="9"/>
      <c r="HGY251" s="4"/>
      <c r="HGZ251" s="9"/>
      <c r="HHA251" s="4"/>
      <c r="HHB251" s="9"/>
      <c r="HHC251" s="4"/>
      <c r="HHD251" s="9"/>
      <c r="HHE251" s="4"/>
      <c r="HHF251" s="9"/>
      <c r="HHG251" s="4"/>
      <c r="HHH251" s="9"/>
      <c r="HHI251" s="4"/>
      <c r="HHJ251" s="9"/>
      <c r="HHK251" s="4"/>
      <c r="HHL251" s="9"/>
      <c r="HHM251" s="4"/>
      <c r="HHN251" s="9"/>
      <c r="HHO251" s="4"/>
      <c r="HHP251" s="9"/>
      <c r="HHQ251" s="4"/>
      <c r="HHR251" s="9"/>
      <c r="HHS251" s="4"/>
      <c r="HHT251" s="9"/>
      <c r="HHU251" s="4"/>
      <c r="HHV251" s="9"/>
      <c r="HHW251" s="4"/>
      <c r="HHX251" s="9"/>
      <c r="HHY251" s="4"/>
      <c r="HHZ251" s="9"/>
      <c r="HIA251" s="4"/>
      <c r="HIB251" s="9"/>
      <c r="HIC251" s="4"/>
      <c r="HID251" s="9"/>
      <c r="HIE251" s="4"/>
      <c r="HIF251" s="9"/>
      <c r="HIG251" s="4"/>
      <c r="HIH251" s="9"/>
      <c r="HII251" s="4"/>
      <c r="HIJ251" s="9"/>
      <c r="HIK251" s="4"/>
      <c r="HIL251" s="9"/>
      <c r="HIM251" s="4"/>
      <c r="HIN251" s="9"/>
      <c r="HIO251" s="4"/>
      <c r="HIP251" s="9"/>
      <c r="HIQ251" s="4"/>
      <c r="HIR251" s="9"/>
      <c r="HIS251" s="4"/>
      <c r="HIT251" s="9"/>
      <c r="HIU251" s="4"/>
      <c r="HIV251" s="9"/>
      <c r="HIW251" s="4"/>
      <c r="HIX251" s="9"/>
      <c r="HIY251" s="4"/>
      <c r="HIZ251" s="9"/>
      <c r="HJA251" s="4"/>
      <c r="HJB251" s="9"/>
      <c r="HJC251" s="4"/>
      <c r="HJD251" s="9"/>
      <c r="HJE251" s="4"/>
      <c r="HJF251" s="9"/>
      <c r="HJG251" s="4"/>
      <c r="HJH251" s="9"/>
      <c r="HJI251" s="4"/>
      <c r="HJJ251" s="9"/>
      <c r="HJK251" s="4"/>
      <c r="HJL251" s="9"/>
      <c r="HJM251" s="4"/>
      <c r="HJN251" s="9"/>
      <c r="HJO251" s="4"/>
      <c r="HJP251" s="9"/>
      <c r="HJQ251" s="4"/>
      <c r="HJR251" s="9"/>
      <c r="HJS251" s="4"/>
      <c r="HJT251" s="9"/>
      <c r="HJU251" s="4"/>
      <c r="HJV251" s="9"/>
      <c r="HJW251" s="4"/>
      <c r="HJX251" s="9"/>
      <c r="HJY251" s="4"/>
      <c r="HJZ251" s="9"/>
      <c r="HKA251" s="4"/>
      <c r="HKB251" s="9"/>
      <c r="HKC251" s="4"/>
      <c r="HKD251" s="9"/>
      <c r="HKE251" s="4"/>
      <c r="HKF251" s="9"/>
      <c r="HKG251" s="4"/>
      <c r="HKH251" s="9"/>
      <c r="HKI251" s="4"/>
      <c r="HKJ251" s="9"/>
      <c r="HKK251" s="4"/>
      <c r="HKL251" s="9"/>
      <c r="HKM251" s="4"/>
      <c r="HKN251" s="9"/>
      <c r="HKO251" s="4"/>
      <c r="HKP251" s="9"/>
      <c r="HKQ251" s="4"/>
      <c r="HKR251" s="9"/>
      <c r="HKS251" s="4"/>
      <c r="HKT251" s="9"/>
      <c r="HKU251" s="4"/>
      <c r="HKV251" s="9"/>
      <c r="HKW251" s="4"/>
      <c r="HKX251" s="9"/>
      <c r="HKY251" s="4"/>
      <c r="HKZ251" s="9"/>
      <c r="HLA251" s="4"/>
      <c r="HLB251" s="9"/>
      <c r="HLC251" s="4"/>
      <c r="HLD251" s="9"/>
      <c r="HLE251" s="4"/>
      <c r="HLF251" s="9"/>
      <c r="HLG251" s="4"/>
      <c r="HLH251" s="9"/>
      <c r="HLI251" s="4"/>
      <c r="HLJ251" s="9"/>
      <c r="HLK251" s="4"/>
      <c r="HLL251" s="9"/>
      <c r="HLM251" s="4"/>
      <c r="HLN251" s="9"/>
      <c r="HLO251" s="4"/>
      <c r="HLP251" s="9"/>
      <c r="HLQ251" s="4"/>
      <c r="HLR251" s="9"/>
      <c r="HLS251" s="4"/>
      <c r="HLT251" s="9"/>
      <c r="HLU251" s="4"/>
      <c r="HLV251" s="9"/>
      <c r="HLW251" s="4"/>
      <c r="HLX251" s="9"/>
      <c r="HLY251" s="4"/>
      <c r="HLZ251" s="9"/>
      <c r="HMA251" s="4"/>
      <c r="HMB251" s="9"/>
      <c r="HMC251" s="4"/>
      <c r="HMD251" s="9"/>
      <c r="HME251" s="4"/>
      <c r="HMF251" s="9"/>
      <c r="HMG251" s="4"/>
      <c r="HMH251" s="9"/>
      <c r="HMI251" s="4"/>
      <c r="HMJ251" s="9"/>
      <c r="HMK251" s="4"/>
      <c r="HML251" s="9"/>
      <c r="HMM251" s="4"/>
      <c r="HMN251" s="9"/>
      <c r="HMO251" s="4"/>
      <c r="HMP251" s="9"/>
      <c r="HMQ251" s="4"/>
      <c r="HMR251" s="9"/>
      <c r="HMS251" s="4"/>
      <c r="HMT251" s="9"/>
      <c r="HMU251" s="4"/>
      <c r="HMV251" s="9"/>
      <c r="HMW251" s="4"/>
      <c r="HMX251" s="9"/>
      <c r="HMY251" s="4"/>
      <c r="HMZ251" s="9"/>
      <c r="HNA251" s="4"/>
      <c r="HNB251" s="9"/>
      <c r="HNC251" s="4"/>
      <c r="HND251" s="9"/>
      <c r="HNE251" s="4"/>
      <c r="HNF251" s="9"/>
      <c r="HNG251" s="4"/>
      <c r="HNH251" s="9"/>
      <c r="HNI251" s="4"/>
      <c r="HNJ251" s="9"/>
      <c r="HNK251" s="4"/>
      <c r="HNL251" s="9"/>
      <c r="HNM251" s="4"/>
      <c r="HNN251" s="9"/>
      <c r="HNO251" s="4"/>
      <c r="HNP251" s="9"/>
      <c r="HNQ251" s="4"/>
      <c r="HNR251" s="9"/>
      <c r="HNS251" s="4"/>
      <c r="HNT251" s="9"/>
      <c r="HNU251" s="4"/>
      <c r="HNV251" s="9"/>
      <c r="HNW251" s="4"/>
      <c r="HNX251" s="9"/>
      <c r="HNY251" s="4"/>
      <c r="HNZ251" s="9"/>
      <c r="HOA251" s="4"/>
      <c r="HOB251" s="9"/>
      <c r="HOC251" s="4"/>
      <c r="HOD251" s="9"/>
      <c r="HOE251" s="4"/>
      <c r="HOF251" s="9"/>
      <c r="HOG251" s="4"/>
      <c r="HOH251" s="9"/>
      <c r="HOI251" s="4"/>
      <c r="HOJ251" s="9"/>
      <c r="HOK251" s="4"/>
      <c r="HOL251" s="9"/>
      <c r="HOM251" s="4"/>
      <c r="HON251" s="9"/>
      <c r="HOO251" s="4"/>
      <c r="HOP251" s="9"/>
      <c r="HOQ251" s="4"/>
      <c r="HOR251" s="9"/>
      <c r="HOS251" s="4"/>
      <c r="HOT251" s="9"/>
      <c r="HOU251" s="4"/>
      <c r="HOV251" s="9"/>
      <c r="HOW251" s="4"/>
      <c r="HOX251" s="9"/>
      <c r="HOY251" s="4"/>
      <c r="HOZ251" s="9"/>
      <c r="HPA251" s="4"/>
      <c r="HPB251" s="9"/>
      <c r="HPC251" s="4"/>
      <c r="HPD251" s="9"/>
      <c r="HPE251" s="4"/>
      <c r="HPF251" s="9"/>
      <c r="HPG251" s="4"/>
      <c r="HPH251" s="9"/>
      <c r="HPI251" s="4"/>
      <c r="HPJ251" s="9"/>
      <c r="HPK251" s="4"/>
      <c r="HPL251" s="9"/>
      <c r="HPM251" s="4"/>
      <c r="HPN251" s="9"/>
      <c r="HPO251" s="4"/>
      <c r="HPP251" s="9"/>
      <c r="HPQ251" s="4"/>
      <c r="HPR251" s="9"/>
      <c r="HPS251" s="4"/>
      <c r="HPT251" s="9"/>
      <c r="HPU251" s="4"/>
      <c r="HPV251" s="9"/>
      <c r="HPW251" s="4"/>
      <c r="HPX251" s="9"/>
      <c r="HPY251" s="4"/>
      <c r="HPZ251" s="9"/>
      <c r="HQA251" s="4"/>
      <c r="HQB251" s="9"/>
      <c r="HQC251" s="4"/>
      <c r="HQD251" s="9"/>
      <c r="HQE251" s="4"/>
      <c r="HQF251" s="9"/>
      <c r="HQG251" s="4"/>
      <c r="HQH251" s="9"/>
      <c r="HQI251" s="4"/>
      <c r="HQJ251" s="9"/>
      <c r="HQK251" s="4"/>
      <c r="HQL251" s="9"/>
      <c r="HQM251" s="4"/>
      <c r="HQN251" s="9"/>
      <c r="HQO251" s="4"/>
      <c r="HQP251" s="9"/>
      <c r="HQQ251" s="4"/>
      <c r="HQR251" s="9"/>
      <c r="HQS251" s="4"/>
      <c r="HQT251" s="9"/>
      <c r="HQU251" s="4"/>
      <c r="HQV251" s="9"/>
      <c r="HQW251" s="4"/>
      <c r="HQX251" s="9"/>
      <c r="HQY251" s="4"/>
      <c r="HQZ251" s="9"/>
      <c r="HRA251" s="4"/>
      <c r="HRB251" s="9"/>
      <c r="HRC251" s="4"/>
      <c r="HRD251" s="9"/>
      <c r="HRE251" s="4"/>
      <c r="HRF251" s="9"/>
      <c r="HRG251" s="4"/>
      <c r="HRH251" s="9"/>
      <c r="HRI251" s="4"/>
      <c r="HRJ251" s="9"/>
      <c r="HRK251" s="4"/>
      <c r="HRL251" s="9"/>
      <c r="HRM251" s="4"/>
      <c r="HRN251" s="9"/>
      <c r="HRO251" s="4"/>
      <c r="HRP251" s="9"/>
      <c r="HRQ251" s="4"/>
      <c r="HRR251" s="9"/>
      <c r="HRS251" s="4"/>
      <c r="HRT251" s="9"/>
      <c r="HRU251" s="4"/>
      <c r="HRV251" s="9"/>
      <c r="HRW251" s="4"/>
      <c r="HRX251" s="9"/>
      <c r="HRY251" s="4"/>
      <c r="HRZ251" s="9"/>
      <c r="HSA251" s="4"/>
      <c r="HSB251" s="9"/>
      <c r="HSC251" s="4"/>
      <c r="HSD251" s="9"/>
      <c r="HSE251" s="4"/>
      <c r="HSF251" s="9"/>
      <c r="HSG251" s="4"/>
      <c r="HSH251" s="9"/>
      <c r="HSI251" s="4"/>
      <c r="HSJ251" s="9"/>
      <c r="HSK251" s="4"/>
      <c r="HSL251" s="9"/>
      <c r="HSM251" s="4"/>
      <c r="HSN251" s="9"/>
      <c r="HSO251" s="4"/>
      <c r="HSP251" s="9"/>
      <c r="HSQ251" s="4"/>
      <c r="HSR251" s="9"/>
      <c r="HSS251" s="4"/>
      <c r="HST251" s="9"/>
      <c r="HSU251" s="4"/>
      <c r="HSV251" s="9"/>
      <c r="HSW251" s="4"/>
      <c r="HSX251" s="9"/>
      <c r="HSY251" s="4"/>
      <c r="HSZ251" s="9"/>
      <c r="HTA251" s="4"/>
      <c r="HTB251" s="9"/>
      <c r="HTC251" s="4"/>
      <c r="HTD251" s="9"/>
      <c r="HTE251" s="4"/>
      <c r="HTF251" s="9"/>
      <c r="HTG251" s="4"/>
      <c r="HTH251" s="9"/>
      <c r="HTI251" s="4"/>
      <c r="HTJ251" s="9"/>
      <c r="HTK251" s="4"/>
      <c r="HTL251" s="9"/>
      <c r="HTM251" s="4"/>
      <c r="HTN251" s="9"/>
      <c r="HTO251" s="4"/>
      <c r="HTP251" s="9"/>
      <c r="HTQ251" s="4"/>
      <c r="HTR251" s="9"/>
      <c r="HTS251" s="4"/>
      <c r="HTT251" s="9"/>
      <c r="HTU251" s="4"/>
      <c r="HTV251" s="9"/>
      <c r="HTW251" s="4"/>
      <c r="HTX251" s="9"/>
      <c r="HTY251" s="4"/>
      <c r="HTZ251" s="9"/>
      <c r="HUA251" s="4"/>
      <c r="HUB251" s="9"/>
      <c r="HUC251" s="4"/>
      <c r="HUD251" s="9"/>
      <c r="HUE251" s="4"/>
      <c r="HUF251" s="9"/>
      <c r="HUG251" s="4"/>
      <c r="HUH251" s="9"/>
      <c r="HUI251" s="4"/>
      <c r="HUJ251" s="9"/>
      <c r="HUK251" s="4"/>
      <c r="HUL251" s="9"/>
      <c r="HUM251" s="4"/>
      <c r="HUN251" s="9"/>
      <c r="HUO251" s="4"/>
      <c r="HUP251" s="9"/>
      <c r="HUQ251" s="4"/>
      <c r="HUR251" s="9"/>
      <c r="HUS251" s="4"/>
      <c r="HUT251" s="9"/>
      <c r="HUU251" s="4"/>
      <c r="HUV251" s="9"/>
      <c r="HUW251" s="4"/>
      <c r="HUX251" s="9"/>
      <c r="HUY251" s="4"/>
      <c r="HUZ251" s="9"/>
      <c r="HVA251" s="4"/>
      <c r="HVB251" s="9"/>
      <c r="HVC251" s="4"/>
      <c r="HVD251" s="9"/>
      <c r="HVE251" s="4"/>
      <c r="HVF251" s="9"/>
      <c r="HVG251" s="4"/>
      <c r="HVH251" s="9"/>
      <c r="HVI251" s="4"/>
      <c r="HVJ251" s="9"/>
      <c r="HVK251" s="4"/>
      <c r="HVL251" s="9"/>
      <c r="HVM251" s="4"/>
      <c r="HVN251" s="9"/>
      <c r="HVO251" s="4"/>
      <c r="HVP251" s="9"/>
      <c r="HVQ251" s="4"/>
      <c r="HVR251" s="9"/>
      <c r="HVS251" s="4"/>
      <c r="HVT251" s="9"/>
      <c r="HVU251" s="4"/>
      <c r="HVV251" s="9"/>
      <c r="HVW251" s="4"/>
      <c r="HVX251" s="9"/>
      <c r="HVY251" s="4"/>
      <c r="HVZ251" s="9"/>
      <c r="HWA251" s="4"/>
      <c r="HWB251" s="9"/>
      <c r="HWC251" s="4"/>
      <c r="HWD251" s="9"/>
      <c r="HWE251" s="4"/>
      <c r="HWF251" s="9"/>
      <c r="HWG251" s="4"/>
      <c r="HWH251" s="9"/>
      <c r="HWI251" s="4"/>
      <c r="HWJ251" s="9"/>
      <c r="HWK251" s="4"/>
      <c r="HWL251" s="9"/>
      <c r="HWM251" s="4"/>
      <c r="HWN251" s="9"/>
      <c r="HWO251" s="4"/>
      <c r="HWP251" s="9"/>
      <c r="HWQ251" s="4"/>
      <c r="HWR251" s="9"/>
      <c r="HWS251" s="4"/>
      <c r="HWT251" s="9"/>
      <c r="HWU251" s="4"/>
      <c r="HWV251" s="9"/>
      <c r="HWW251" s="4"/>
      <c r="HWX251" s="9"/>
      <c r="HWY251" s="4"/>
      <c r="HWZ251" s="9"/>
      <c r="HXA251" s="4"/>
      <c r="HXB251" s="9"/>
      <c r="HXC251" s="4"/>
      <c r="HXD251" s="9"/>
      <c r="HXE251" s="4"/>
      <c r="HXF251" s="9"/>
      <c r="HXG251" s="4"/>
      <c r="HXH251" s="9"/>
      <c r="HXI251" s="4"/>
      <c r="HXJ251" s="9"/>
      <c r="HXK251" s="4"/>
      <c r="HXL251" s="9"/>
      <c r="HXM251" s="4"/>
      <c r="HXN251" s="9"/>
      <c r="HXO251" s="4"/>
      <c r="HXP251" s="9"/>
      <c r="HXQ251" s="4"/>
      <c r="HXR251" s="9"/>
      <c r="HXS251" s="4"/>
      <c r="HXT251" s="9"/>
      <c r="HXU251" s="4"/>
      <c r="HXV251" s="9"/>
      <c r="HXW251" s="4"/>
      <c r="HXX251" s="9"/>
      <c r="HXY251" s="4"/>
      <c r="HXZ251" s="9"/>
      <c r="HYA251" s="4"/>
      <c r="HYB251" s="9"/>
      <c r="HYC251" s="4"/>
      <c r="HYD251" s="9"/>
      <c r="HYE251" s="4"/>
      <c r="HYF251" s="9"/>
      <c r="HYG251" s="4"/>
      <c r="HYH251" s="9"/>
      <c r="HYI251" s="4"/>
      <c r="HYJ251" s="9"/>
      <c r="HYK251" s="4"/>
      <c r="HYL251" s="9"/>
      <c r="HYM251" s="4"/>
      <c r="HYN251" s="9"/>
      <c r="HYO251" s="4"/>
      <c r="HYP251" s="9"/>
      <c r="HYQ251" s="4"/>
      <c r="HYR251" s="9"/>
      <c r="HYS251" s="4"/>
      <c r="HYT251" s="9"/>
      <c r="HYU251" s="4"/>
      <c r="HYV251" s="9"/>
      <c r="HYW251" s="4"/>
      <c r="HYX251" s="9"/>
      <c r="HYY251" s="4"/>
      <c r="HYZ251" s="9"/>
      <c r="HZA251" s="4"/>
      <c r="HZB251" s="9"/>
      <c r="HZC251" s="4"/>
      <c r="HZD251" s="9"/>
      <c r="HZE251" s="4"/>
      <c r="HZF251" s="9"/>
      <c r="HZG251" s="4"/>
      <c r="HZH251" s="9"/>
      <c r="HZI251" s="4"/>
      <c r="HZJ251" s="9"/>
      <c r="HZK251" s="4"/>
      <c r="HZL251" s="9"/>
      <c r="HZM251" s="4"/>
      <c r="HZN251" s="9"/>
      <c r="HZO251" s="4"/>
      <c r="HZP251" s="9"/>
      <c r="HZQ251" s="4"/>
      <c r="HZR251" s="9"/>
      <c r="HZS251" s="4"/>
      <c r="HZT251" s="9"/>
      <c r="HZU251" s="4"/>
      <c r="HZV251" s="9"/>
      <c r="HZW251" s="4"/>
      <c r="HZX251" s="9"/>
      <c r="HZY251" s="4"/>
      <c r="HZZ251" s="9"/>
      <c r="IAA251" s="4"/>
      <c r="IAB251" s="9"/>
      <c r="IAC251" s="4"/>
      <c r="IAD251" s="9"/>
      <c r="IAE251" s="4"/>
      <c r="IAF251" s="9"/>
      <c r="IAG251" s="4"/>
      <c r="IAH251" s="9"/>
      <c r="IAI251" s="4"/>
      <c r="IAJ251" s="9"/>
      <c r="IAK251" s="4"/>
      <c r="IAL251" s="9"/>
      <c r="IAM251" s="4"/>
      <c r="IAN251" s="9"/>
      <c r="IAO251" s="4"/>
      <c r="IAP251" s="9"/>
      <c r="IAQ251" s="4"/>
      <c r="IAR251" s="9"/>
      <c r="IAS251" s="4"/>
      <c r="IAT251" s="9"/>
      <c r="IAU251" s="4"/>
      <c r="IAV251" s="9"/>
      <c r="IAW251" s="4"/>
      <c r="IAX251" s="9"/>
      <c r="IAY251" s="4"/>
      <c r="IAZ251" s="9"/>
      <c r="IBA251" s="4"/>
      <c r="IBB251" s="9"/>
      <c r="IBC251" s="4"/>
      <c r="IBD251" s="9"/>
      <c r="IBE251" s="4"/>
      <c r="IBF251" s="9"/>
      <c r="IBG251" s="4"/>
      <c r="IBH251" s="9"/>
      <c r="IBI251" s="4"/>
      <c r="IBJ251" s="9"/>
      <c r="IBK251" s="4"/>
      <c r="IBL251" s="9"/>
      <c r="IBM251" s="4"/>
      <c r="IBN251" s="9"/>
      <c r="IBO251" s="4"/>
      <c r="IBP251" s="9"/>
      <c r="IBQ251" s="4"/>
      <c r="IBR251" s="9"/>
      <c r="IBS251" s="4"/>
      <c r="IBT251" s="9"/>
      <c r="IBU251" s="4"/>
      <c r="IBV251" s="9"/>
      <c r="IBW251" s="4"/>
      <c r="IBX251" s="9"/>
      <c r="IBY251" s="4"/>
      <c r="IBZ251" s="9"/>
      <c r="ICA251" s="4"/>
      <c r="ICB251" s="9"/>
      <c r="ICC251" s="4"/>
      <c r="ICD251" s="9"/>
      <c r="ICE251" s="4"/>
      <c r="ICF251" s="9"/>
      <c r="ICG251" s="4"/>
      <c r="ICH251" s="9"/>
      <c r="ICI251" s="4"/>
      <c r="ICJ251" s="9"/>
      <c r="ICK251" s="4"/>
      <c r="ICL251" s="9"/>
      <c r="ICM251" s="4"/>
      <c r="ICN251" s="9"/>
      <c r="ICO251" s="4"/>
      <c r="ICP251" s="9"/>
      <c r="ICQ251" s="4"/>
      <c r="ICR251" s="9"/>
      <c r="ICS251" s="4"/>
      <c r="ICT251" s="9"/>
      <c r="ICU251" s="4"/>
      <c r="ICV251" s="9"/>
      <c r="ICW251" s="4"/>
      <c r="ICX251" s="9"/>
      <c r="ICY251" s="4"/>
      <c r="ICZ251" s="9"/>
      <c r="IDA251" s="4"/>
      <c r="IDB251" s="9"/>
      <c r="IDC251" s="4"/>
      <c r="IDD251" s="9"/>
      <c r="IDE251" s="4"/>
      <c r="IDF251" s="9"/>
      <c r="IDG251" s="4"/>
      <c r="IDH251" s="9"/>
      <c r="IDI251" s="4"/>
      <c r="IDJ251" s="9"/>
      <c r="IDK251" s="4"/>
      <c r="IDL251" s="9"/>
      <c r="IDM251" s="4"/>
      <c r="IDN251" s="9"/>
      <c r="IDO251" s="4"/>
      <c r="IDP251" s="9"/>
      <c r="IDQ251" s="4"/>
      <c r="IDR251" s="9"/>
      <c r="IDS251" s="4"/>
      <c r="IDT251" s="9"/>
      <c r="IDU251" s="4"/>
      <c r="IDV251" s="9"/>
      <c r="IDW251" s="4"/>
      <c r="IDX251" s="9"/>
      <c r="IDY251" s="4"/>
      <c r="IDZ251" s="9"/>
      <c r="IEA251" s="4"/>
      <c r="IEB251" s="9"/>
      <c r="IEC251" s="4"/>
      <c r="IED251" s="9"/>
      <c r="IEE251" s="4"/>
      <c r="IEF251" s="9"/>
      <c r="IEG251" s="4"/>
      <c r="IEH251" s="9"/>
      <c r="IEI251" s="4"/>
      <c r="IEJ251" s="9"/>
      <c r="IEK251" s="4"/>
      <c r="IEL251" s="9"/>
      <c r="IEM251" s="4"/>
      <c r="IEN251" s="9"/>
      <c r="IEO251" s="4"/>
      <c r="IEP251" s="9"/>
      <c r="IEQ251" s="4"/>
      <c r="IER251" s="9"/>
      <c r="IES251" s="4"/>
      <c r="IET251" s="9"/>
      <c r="IEU251" s="4"/>
      <c r="IEV251" s="9"/>
      <c r="IEW251" s="4"/>
      <c r="IEX251" s="9"/>
      <c r="IEY251" s="4"/>
      <c r="IEZ251" s="9"/>
      <c r="IFA251" s="4"/>
      <c r="IFB251" s="9"/>
      <c r="IFC251" s="4"/>
      <c r="IFD251" s="9"/>
      <c r="IFE251" s="4"/>
      <c r="IFF251" s="9"/>
      <c r="IFG251" s="4"/>
      <c r="IFH251" s="9"/>
      <c r="IFI251" s="4"/>
      <c r="IFJ251" s="9"/>
      <c r="IFK251" s="4"/>
      <c r="IFL251" s="9"/>
      <c r="IFM251" s="4"/>
      <c r="IFN251" s="9"/>
      <c r="IFO251" s="4"/>
      <c r="IFP251" s="9"/>
      <c r="IFQ251" s="4"/>
      <c r="IFR251" s="9"/>
      <c r="IFS251" s="4"/>
      <c r="IFT251" s="9"/>
      <c r="IFU251" s="4"/>
      <c r="IFV251" s="9"/>
      <c r="IFW251" s="4"/>
      <c r="IFX251" s="9"/>
      <c r="IFY251" s="4"/>
      <c r="IFZ251" s="9"/>
      <c r="IGA251" s="4"/>
      <c r="IGB251" s="9"/>
      <c r="IGC251" s="4"/>
      <c r="IGD251" s="9"/>
      <c r="IGE251" s="4"/>
      <c r="IGF251" s="9"/>
      <c r="IGG251" s="4"/>
      <c r="IGH251" s="9"/>
      <c r="IGI251" s="4"/>
      <c r="IGJ251" s="9"/>
      <c r="IGK251" s="4"/>
      <c r="IGL251" s="9"/>
      <c r="IGM251" s="4"/>
      <c r="IGN251" s="9"/>
      <c r="IGO251" s="4"/>
      <c r="IGP251" s="9"/>
      <c r="IGQ251" s="4"/>
      <c r="IGR251" s="9"/>
      <c r="IGS251" s="4"/>
      <c r="IGT251" s="9"/>
      <c r="IGU251" s="4"/>
      <c r="IGV251" s="9"/>
      <c r="IGW251" s="4"/>
      <c r="IGX251" s="9"/>
      <c r="IGY251" s="4"/>
      <c r="IGZ251" s="9"/>
      <c r="IHA251" s="4"/>
      <c r="IHB251" s="9"/>
      <c r="IHC251" s="4"/>
      <c r="IHD251" s="9"/>
      <c r="IHE251" s="4"/>
      <c r="IHF251" s="9"/>
      <c r="IHG251" s="4"/>
      <c r="IHH251" s="9"/>
      <c r="IHI251" s="4"/>
      <c r="IHJ251" s="9"/>
      <c r="IHK251" s="4"/>
      <c r="IHL251" s="9"/>
      <c r="IHM251" s="4"/>
      <c r="IHN251" s="9"/>
      <c r="IHO251" s="4"/>
      <c r="IHP251" s="9"/>
      <c r="IHQ251" s="4"/>
      <c r="IHR251" s="9"/>
      <c r="IHS251" s="4"/>
      <c r="IHT251" s="9"/>
      <c r="IHU251" s="4"/>
      <c r="IHV251" s="9"/>
      <c r="IHW251" s="4"/>
      <c r="IHX251" s="9"/>
      <c r="IHY251" s="4"/>
      <c r="IHZ251" s="9"/>
      <c r="IIA251" s="4"/>
      <c r="IIB251" s="9"/>
      <c r="IIC251" s="4"/>
      <c r="IID251" s="9"/>
      <c r="IIE251" s="4"/>
      <c r="IIF251" s="9"/>
      <c r="IIG251" s="4"/>
      <c r="IIH251" s="9"/>
      <c r="III251" s="4"/>
      <c r="IIJ251" s="9"/>
      <c r="IIK251" s="4"/>
      <c r="IIL251" s="9"/>
      <c r="IIM251" s="4"/>
      <c r="IIN251" s="9"/>
      <c r="IIO251" s="4"/>
      <c r="IIP251" s="9"/>
      <c r="IIQ251" s="4"/>
      <c r="IIR251" s="9"/>
      <c r="IIS251" s="4"/>
      <c r="IIT251" s="9"/>
      <c r="IIU251" s="4"/>
      <c r="IIV251" s="9"/>
      <c r="IIW251" s="4"/>
      <c r="IIX251" s="9"/>
      <c r="IIY251" s="4"/>
      <c r="IIZ251" s="9"/>
      <c r="IJA251" s="4"/>
      <c r="IJB251" s="9"/>
      <c r="IJC251" s="4"/>
      <c r="IJD251" s="9"/>
      <c r="IJE251" s="4"/>
      <c r="IJF251" s="9"/>
      <c r="IJG251" s="4"/>
      <c r="IJH251" s="9"/>
      <c r="IJI251" s="4"/>
      <c r="IJJ251" s="9"/>
      <c r="IJK251" s="4"/>
      <c r="IJL251" s="9"/>
      <c r="IJM251" s="4"/>
      <c r="IJN251" s="9"/>
      <c r="IJO251" s="4"/>
      <c r="IJP251" s="9"/>
      <c r="IJQ251" s="4"/>
      <c r="IJR251" s="9"/>
      <c r="IJS251" s="4"/>
      <c r="IJT251" s="9"/>
      <c r="IJU251" s="4"/>
      <c r="IJV251" s="9"/>
      <c r="IJW251" s="4"/>
      <c r="IJX251" s="9"/>
      <c r="IJY251" s="4"/>
      <c r="IJZ251" s="9"/>
      <c r="IKA251" s="4"/>
      <c r="IKB251" s="9"/>
      <c r="IKC251" s="4"/>
      <c r="IKD251" s="9"/>
      <c r="IKE251" s="4"/>
      <c r="IKF251" s="9"/>
      <c r="IKG251" s="4"/>
      <c r="IKH251" s="9"/>
      <c r="IKI251" s="4"/>
      <c r="IKJ251" s="9"/>
      <c r="IKK251" s="4"/>
      <c r="IKL251" s="9"/>
      <c r="IKM251" s="4"/>
      <c r="IKN251" s="9"/>
      <c r="IKO251" s="4"/>
      <c r="IKP251" s="9"/>
      <c r="IKQ251" s="4"/>
      <c r="IKR251" s="9"/>
      <c r="IKS251" s="4"/>
      <c r="IKT251" s="9"/>
      <c r="IKU251" s="4"/>
      <c r="IKV251" s="9"/>
      <c r="IKW251" s="4"/>
      <c r="IKX251" s="9"/>
      <c r="IKY251" s="4"/>
      <c r="IKZ251" s="9"/>
      <c r="ILA251" s="4"/>
      <c r="ILB251" s="9"/>
      <c r="ILC251" s="4"/>
      <c r="ILD251" s="9"/>
      <c r="ILE251" s="4"/>
      <c r="ILF251" s="9"/>
      <c r="ILG251" s="4"/>
      <c r="ILH251" s="9"/>
      <c r="ILI251" s="4"/>
      <c r="ILJ251" s="9"/>
      <c r="ILK251" s="4"/>
      <c r="ILL251" s="9"/>
      <c r="ILM251" s="4"/>
      <c r="ILN251" s="9"/>
      <c r="ILO251" s="4"/>
      <c r="ILP251" s="9"/>
      <c r="ILQ251" s="4"/>
      <c r="ILR251" s="9"/>
      <c r="ILS251" s="4"/>
      <c r="ILT251" s="9"/>
      <c r="ILU251" s="4"/>
      <c r="ILV251" s="9"/>
      <c r="ILW251" s="4"/>
      <c r="ILX251" s="9"/>
      <c r="ILY251" s="4"/>
      <c r="ILZ251" s="9"/>
      <c r="IMA251" s="4"/>
      <c r="IMB251" s="9"/>
      <c r="IMC251" s="4"/>
      <c r="IMD251" s="9"/>
      <c r="IME251" s="4"/>
      <c r="IMF251" s="9"/>
      <c r="IMG251" s="4"/>
      <c r="IMH251" s="9"/>
      <c r="IMI251" s="4"/>
      <c r="IMJ251" s="9"/>
      <c r="IMK251" s="4"/>
      <c r="IML251" s="9"/>
      <c r="IMM251" s="4"/>
      <c r="IMN251" s="9"/>
      <c r="IMO251" s="4"/>
      <c r="IMP251" s="9"/>
      <c r="IMQ251" s="4"/>
      <c r="IMR251" s="9"/>
      <c r="IMS251" s="4"/>
      <c r="IMT251" s="9"/>
      <c r="IMU251" s="4"/>
      <c r="IMV251" s="9"/>
      <c r="IMW251" s="4"/>
      <c r="IMX251" s="9"/>
      <c r="IMY251" s="4"/>
      <c r="IMZ251" s="9"/>
      <c r="INA251" s="4"/>
      <c r="INB251" s="9"/>
      <c r="INC251" s="4"/>
      <c r="IND251" s="9"/>
      <c r="INE251" s="4"/>
      <c r="INF251" s="9"/>
      <c r="ING251" s="4"/>
      <c r="INH251" s="9"/>
      <c r="INI251" s="4"/>
      <c r="INJ251" s="9"/>
      <c r="INK251" s="4"/>
      <c r="INL251" s="9"/>
      <c r="INM251" s="4"/>
      <c r="INN251" s="9"/>
      <c r="INO251" s="4"/>
      <c r="INP251" s="9"/>
      <c r="INQ251" s="4"/>
      <c r="INR251" s="9"/>
      <c r="INS251" s="4"/>
      <c r="INT251" s="9"/>
      <c r="INU251" s="4"/>
      <c r="INV251" s="9"/>
      <c r="INW251" s="4"/>
      <c r="INX251" s="9"/>
      <c r="INY251" s="4"/>
      <c r="INZ251" s="9"/>
      <c r="IOA251" s="4"/>
      <c r="IOB251" s="9"/>
      <c r="IOC251" s="4"/>
      <c r="IOD251" s="9"/>
      <c r="IOE251" s="4"/>
      <c r="IOF251" s="9"/>
      <c r="IOG251" s="4"/>
      <c r="IOH251" s="9"/>
      <c r="IOI251" s="4"/>
      <c r="IOJ251" s="9"/>
      <c r="IOK251" s="4"/>
      <c r="IOL251" s="9"/>
      <c r="IOM251" s="4"/>
      <c r="ION251" s="9"/>
      <c r="IOO251" s="4"/>
      <c r="IOP251" s="9"/>
      <c r="IOQ251" s="4"/>
      <c r="IOR251" s="9"/>
      <c r="IOS251" s="4"/>
      <c r="IOT251" s="9"/>
      <c r="IOU251" s="4"/>
      <c r="IOV251" s="9"/>
      <c r="IOW251" s="4"/>
      <c r="IOX251" s="9"/>
      <c r="IOY251" s="4"/>
      <c r="IOZ251" s="9"/>
      <c r="IPA251" s="4"/>
      <c r="IPB251" s="9"/>
      <c r="IPC251" s="4"/>
      <c r="IPD251" s="9"/>
      <c r="IPE251" s="4"/>
      <c r="IPF251" s="9"/>
      <c r="IPG251" s="4"/>
      <c r="IPH251" s="9"/>
      <c r="IPI251" s="4"/>
      <c r="IPJ251" s="9"/>
      <c r="IPK251" s="4"/>
      <c r="IPL251" s="9"/>
      <c r="IPM251" s="4"/>
      <c r="IPN251" s="9"/>
      <c r="IPO251" s="4"/>
      <c r="IPP251" s="9"/>
      <c r="IPQ251" s="4"/>
      <c r="IPR251" s="9"/>
      <c r="IPS251" s="4"/>
      <c r="IPT251" s="9"/>
      <c r="IPU251" s="4"/>
      <c r="IPV251" s="9"/>
      <c r="IPW251" s="4"/>
      <c r="IPX251" s="9"/>
      <c r="IPY251" s="4"/>
      <c r="IPZ251" s="9"/>
      <c r="IQA251" s="4"/>
      <c r="IQB251" s="9"/>
      <c r="IQC251" s="4"/>
      <c r="IQD251" s="9"/>
      <c r="IQE251" s="4"/>
      <c r="IQF251" s="9"/>
      <c r="IQG251" s="4"/>
      <c r="IQH251" s="9"/>
      <c r="IQI251" s="4"/>
      <c r="IQJ251" s="9"/>
      <c r="IQK251" s="4"/>
      <c r="IQL251" s="9"/>
      <c r="IQM251" s="4"/>
      <c r="IQN251" s="9"/>
      <c r="IQO251" s="4"/>
      <c r="IQP251" s="9"/>
      <c r="IQQ251" s="4"/>
      <c r="IQR251" s="9"/>
      <c r="IQS251" s="4"/>
      <c r="IQT251" s="9"/>
      <c r="IQU251" s="4"/>
      <c r="IQV251" s="9"/>
      <c r="IQW251" s="4"/>
      <c r="IQX251" s="9"/>
      <c r="IQY251" s="4"/>
      <c r="IQZ251" s="9"/>
      <c r="IRA251" s="4"/>
      <c r="IRB251" s="9"/>
      <c r="IRC251" s="4"/>
      <c r="IRD251" s="9"/>
      <c r="IRE251" s="4"/>
      <c r="IRF251" s="9"/>
      <c r="IRG251" s="4"/>
      <c r="IRH251" s="9"/>
      <c r="IRI251" s="4"/>
      <c r="IRJ251" s="9"/>
      <c r="IRK251" s="4"/>
      <c r="IRL251" s="9"/>
      <c r="IRM251" s="4"/>
      <c r="IRN251" s="9"/>
      <c r="IRO251" s="4"/>
      <c r="IRP251" s="9"/>
      <c r="IRQ251" s="4"/>
      <c r="IRR251" s="9"/>
      <c r="IRS251" s="4"/>
      <c r="IRT251" s="9"/>
      <c r="IRU251" s="4"/>
      <c r="IRV251" s="9"/>
      <c r="IRW251" s="4"/>
      <c r="IRX251" s="9"/>
      <c r="IRY251" s="4"/>
      <c r="IRZ251" s="9"/>
      <c r="ISA251" s="4"/>
      <c r="ISB251" s="9"/>
      <c r="ISC251" s="4"/>
      <c r="ISD251" s="9"/>
      <c r="ISE251" s="4"/>
      <c r="ISF251" s="9"/>
      <c r="ISG251" s="4"/>
      <c r="ISH251" s="9"/>
      <c r="ISI251" s="4"/>
      <c r="ISJ251" s="9"/>
      <c r="ISK251" s="4"/>
      <c r="ISL251" s="9"/>
      <c r="ISM251" s="4"/>
      <c r="ISN251" s="9"/>
      <c r="ISO251" s="4"/>
      <c r="ISP251" s="9"/>
      <c r="ISQ251" s="4"/>
      <c r="ISR251" s="9"/>
      <c r="ISS251" s="4"/>
      <c r="IST251" s="9"/>
      <c r="ISU251" s="4"/>
      <c r="ISV251" s="9"/>
      <c r="ISW251" s="4"/>
      <c r="ISX251" s="9"/>
      <c r="ISY251" s="4"/>
      <c r="ISZ251" s="9"/>
      <c r="ITA251" s="4"/>
      <c r="ITB251" s="9"/>
      <c r="ITC251" s="4"/>
      <c r="ITD251" s="9"/>
      <c r="ITE251" s="4"/>
      <c r="ITF251" s="9"/>
      <c r="ITG251" s="4"/>
      <c r="ITH251" s="9"/>
      <c r="ITI251" s="4"/>
      <c r="ITJ251" s="9"/>
      <c r="ITK251" s="4"/>
      <c r="ITL251" s="9"/>
      <c r="ITM251" s="4"/>
      <c r="ITN251" s="9"/>
      <c r="ITO251" s="4"/>
      <c r="ITP251" s="9"/>
      <c r="ITQ251" s="4"/>
      <c r="ITR251" s="9"/>
      <c r="ITS251" s="4"/>
      <c r="ITT251" s="9"/>
      <c r="ITU251" s="4"/>
      <c r="ITV251" s="9"/>
      <c r="ITW251" s="4"/>
      <c r="ITX251" s="9"/>
      <c r="ITY251" s="4"/>
      <c r="ITZ251" s="9"/>
      <c r="IUA251" s="4"/>
      <c r="IUB251" s="9"/>
      <c r="IUC251" s="4"/>
      <c r="IUD251" s="9"/>
      <c r="IUE251" s="4"/>
      <c r="IUF251" s="9"/>
      <c r="IUG251" s="4"/>
      <c r="IUH251" s="9"/>
      <c r="IUI251" s="4"/>
      <c r="IUJ251" s="9"/>
      <c r="IUK251" s="4"/>
      <c r="IUL251" s="9"/>
      <c r="IUM251" s="4"/>
      <c r="IUN251" s="9"/>
      <c r="IUO251" s="4"/>
      <c r="IUP251" s="9"/>
      <c r="IUQ251" s="4"/>
      <c r="IUR251" s="9"/>
      <c r="IUS251" s="4"/>
      <c r="IUT251" s="9"/>
      <c r="IUU251" s="4"/>
      <c r="IUV251" s="9"/>
      <c r="IUW251" s="4"/>
      <c r="IUX251" s="9"/>
      <c r="IUY251" s="4"/>
      <c r="IUZ251" s="9"/>
      <c r="IVA251" s="4"/>
      <c r="IVB251" s="9"/>
      <c r="IVC251" s="4"/>
      <c r="IVD251" s="9"/>
      <c r="IVE251" s="4"/>
      <c r="IVF251" s="9"/>
      <c r="IVG251" s="4"/>
      <c r="IVH251" s="9"/>
      <c r="IVI251" s="4"/>
      <c r="IVJ251" s="9"/>
      <c r="IVK251" s="4"/>
      <c r="IVL251" s="9"/>
      <c r="IVM251" s="4"/>
      <c r="IVN251" s="9"/>
      <c r="IVO251" s="4"/>
      <c r="IVP251" s="9"/>
      <c r="IVQ251" s="4"/>
      <c r="IVR251" s="9"/>
      <c r="IVS251" s="4"/>
      <c r="IVT251" s="9"/>
      <c r="IVU251" s="4"/>
      <c r="IVV251" s="9"/>
      <c r="IVW251" s="4"/>
      <c r="IVX251" s="9"/>
      <c r="IVY251" s="4"/>
      <c r="IVZ251" s="9"/>
      <c r="IWA251" s="4"/>
      <c r="IWB251" s="9"/>
      <c r="IWC251" s="4"/>
      <c r="IWD251" s="9"/>
      <c r="IWE251" s="4"/>
      <c r="IWF251" s="9"/>
      <c r="IWG251" s="4"/>
      <c r="IWH251" s="9"/>
      <c r="IWI251" s="4"/>
      <c r="IWJ251" s="9"/>
      <c r="IWK251" s="4"/>
      <c r="IWL251" s="9"/>
      <c r="IWM251" s="4"/>
      <c r="IWN251" s="9"/>
      <c r="IWO251" s="4"/>
      <c r="IWP251" s="9"/>
      <c r="IWQ251" s="4"/>
      <c r="IWR251" s="9"/>
      <c r="IWS251" s="4"/>
      <c r="IWT251" s="9"/>
      <c r="IWU251" s="4"/>
      <c r="IWV251" s="9"/>
      <c r="IWW251" s="4"/>
      <c r="IWX251" s="9"/>
      <c r="IWY251" s="4"/>
      <c r="IWZ251" s="9"/>
      <c r="IXA251" s="4"/>
      <c r="IXB251" s="9"/>
      <c r="IXC251" s="4"/>
      <c r="IXD251" s="9"/>
      <c r="IXE251" s="4"/>
      <c r="IXF251" s="9"/>
      <c r="IXG251" s="4"/>
      <c r="IXH251" s="9"/>
      <c r="IXI251" s="4"/>
      <c r="IXJ251" s="9"/>
      <c r="IXK251" s="4"/>
      <c r="IXL251" s="9"/>
      <c r="IXM251" s="4"/>
      <c r="IXN251" s="9"/>
      <c r="IXO251" s="4"/>
      <c r="IXP251" s="9"/>
      <c r="IXQ251" s="4"/>
      <c r="IXR251" s="9"/>
      <c r="IXS251" s="4"/>
      <c r="IXT251" s="9"/>
      <c r="IXU251" s="4"/>
      <c r="IXV251" s="9"/>
      <c r="IXW251" s="4"/>
      <c r="IXX251" s="9"/>
      <c r="IXY251" s="4"/>
      <c r="IXZ251" s="9"/>
      <c r="IYA251" s="4"/>
      <c r="IYB251" s="9"/>
      <c r="IYC251" s="4"/>
      <c r="IYD251" s="9"/>
      <c r="IYE251" s="4"/>
      <c r="IYF251" s="9"/>
      <c r="IYG251" s="4"/>
      <c r="IYH251" s="9"/>
      <c r="IYI251" s="4"/>
      <c r="IYJ251" s="9"/>
      <c r="IYK251" s="4"/>
      <c r="IYL251" s="9"/>
      <c r="IYM251" s="4"/>
      <c r="IYN251" s="9"/>
      <c r="IYO251" s="4"/>
      <c r="IYP251" s="9"/>
      <c r="IYQ251" s="4"/>
      <c r="IYR251" s="9"/>
      <c r="IYS251" s="4"/>
      <c r="IYT251" s="9"/>
      <c r="IYU251" s="4"/>
      <c r="IYV251" s="9"/>
      <c r="IYW251" s="4"/>
      <c r="IYX251" s="9"/>
      <c r="IYY251" s="4"/>
      <c r="IYZ251" s="9"/>
      <c r="IZA251" s="4"/>
      <c r="IZB251" s="9"/>
      <c r="IZC251" s="4"/>
      <c r="IZD251" s="9"/>
      <c r="IZE251" s="4"/>
      <c r="IZF251" s="9"/>
      <c r="IZG251" s="4"/>
      <c r="IZH251" s="9"/>
      <c r="IZI251" s="4"/>
      <c r="IZJ251" s="9"/>
      <c r="IZK251" s="4"/>
      <c r="IZL251" s="9"/>
      <c r="IZM251" s="4"/>
      <c r="IZN251" s="9"/>
      <c r="IZO251" s="4"/>
      <c r="IZP251" s="9"/>
      <c r="IZQ251" s="4"/>
      <c r="IZR251" s="9"/>
      <c r="IZS251" s="4"/>
      <c r="IZT251" s="9"/>
      <c r="IZU251" s="4"/>
      <c r="IZV251" s="9"/>
      <c r="IZW251" s="4"/>
      <c r="IZX251" s="9"/>
      <c r="IZY251" s="4"/>
      <c r="IZZ251" s="9"/>
      <c r="JAA251" s="4"/>
      <c r="JAB251" s="9"/>
      <c r="JAC251" s="4"/>
      <c r="JAD251" s="9"/>
      <c r="JAE251" s="4"/>
      <c r="JAF251" s="9"/>
      <c r="JAG251" s="4"/>
      <c r="JAH251" s="9"/>
      <c r="JAI251" s="4"/>
      <c r="JAJ251" s="9"/>
      <c r="JAK251" s="4"/>
      <c r="JAL251" s="9"/>
      <c r="JAM251" s="4"/>
      <c r="JAN251" s="9"/>
      <c r="JAO251" s="4"/>
      <c r="JAP251" s="9"/>
      <c r="JAQ251" s="4"/>
      <c r="JAR251" s="9"/>
      <c r="JAS251" s="4"/>
      <c r="JAT251" s="9"/>
      <c r="JAU251" s="4"/>
      <c r="JAV251" s="9"/>
      <c r="JAW251" s="4"/>
      <c r="JAX251" s="9"/>
      <c r="JAY251" s="4"/>
      <c r="JAZ251" s="9"/>
      <c r="JBA251" s="4"/>
      <c r="JBB251" s="9"/>
      <c r="JBC251" s="4"/>
      <c r="JBD251" s="9"/>
      <c r="JBE251" s="4"/>
      <c r="JBF251" s="9"/>
      <c r="JBG251" s="4"/>
      <c r="JBH251" s="9"/>
      <c r="JBI251" s="4"/>
      <c r="JBJ251" s="9"/>
      <c r="JBK251" s="4"/>
      <c r="JBL251" s="9"/>
      <c r="JBM251" s="4"/>
      <c r="JBN251" s="9"/>
      <c r="JBO251" s="4"/>
      <c r="JBP251" s="9"/>
      <c r="JBQ251" s="4"/>
      <c r="JBR251" s="9"/>
      <c r="JBS251" s="4"/>
      <c r="JBT251" s="9"/>
      <c r="JBU251" s="4"/>
      <c r="JBV251" s="9"/>
      <c r="JBW251" s="4"/>
      <c r="JBX251" s="9"/>
      <c r="JBY251" s="4"/>
      <c r="JBZ251" s="9"/>
      <c r="JCA251" s="4"/>
      <c r="JCB251" s="9"/>
      <c r="JCC251" s="4"/>
      <c r="JCD251" s="9"/>
      <c r="JCE251" s="4"/>
      <c r="JCF251" s="9"/>
      <c r="JCG251" s="4"/>
      <c r="JCH251" s="9"/>
      <c r="JCI251" s="4"/>
      <c r="JCJ251" s="9"/>
      <c r="JCK251" s="4"/>
      <c r="JCL251" s="9"/>
      <c r="JCM251" s="4"/>
      <c r="JCN251" s="9"/>
      <c r="JCO251" s="4"/>
      <c r="JCP251" s="9"/>
      <c r="JCQ251" s="4"/>
      <c r="JCR251" s="9"/>
      <c r="JCS251" s="4"/>
      <c r="JCT251" s="9"/>
      <c r="JCU251" s="4"/>
      <c r="JCV251" s="9"/>
      <c r="JCW251" s="4"/>
      <c r="JCX251" s="9"/>
      <c r="JCY251" s="4"/>
      <c r="JCZ251" s="9"/>
      <c r="JDA251" s="4"/>
      <c r="JDB251" s="9"/>
      <c r="JDC251" s="4"/>
      <c r="JDD251" s="9"/>
      <c r="JDE251" s="4"/>
      <c r="JDF251" s="9"/>
      <c r="JDG251" s="4"/>
      <c r="JDH251" s="9"/>
      <c r="JDI251" s="4"/>
      <c r="JDJ251" s="9"/>
      <c r="JDK251" s="4"/>
      <c r="JDL251" s="9"/>
      <c r="JDM251" s="4"/>
      <c r="JDN251" s="9"/>
      <c r="JDO251" s="4"/>
      <c r="JDP251" s="9"/>
      <c r="JDQ251" s="4"/>
      <c r="JDR251" s="9"/>
      <c r="JDS251" s="4"/>
      <c r="JDT251" s="9"/>
      <c r="JDU251" s="4"/>
      <c r="JDV251" s="9"/>
      <c r="JDW251" s="4"/>
      <c r="JDX251" s="9"/>
      <c r="JDY251" s="4"/>
      <c r="JDZ251" s="9"/>
      <c r="JEA251" s="4"/>
      <c r="JEB251" s="9"/>
      <c r="JEC251" s="4"/>
      <c r="JED251" s="9"/>
      <c r="JEE251" s="4"/>
      <c r="JEF251" s="9"/>
      <c r="JEG251" s="4"/>
      <c r="JEH251" s="9"/>
      <c r="JEI251" s="4"/>
      <c r="JEJ251" s="9"/>
      <c r="JEK251" s="4"/>
      <c r="JEL251" s="9"/>
      <c r="JEM251" s="4"/>
      <c r="JEN251" s="9"/>
      <c r="JEO251" s="4"/>
      <c r="JEP251" s="9"/>
      <c r="JEQ251" s="4"/>
      <c r="JER251" s="9"/>
      <c r="JES251" s="4"/>
      <c r="JET251" s="9"/>
      <c r="JEU251" s="4"/>
      <c r="JEV251" s="9"/>
      <c r="JEW251" s="4"/>
      <c r="JEX251" s="9"/>
      <c r="JEY251" s="4"/>
      <c r="JEZ251" s="9"/>
      <c r="JFA251" s="4"/>
      <c r="JFB251" s="9"/>
      <c r="JFC251" s="4"/>
      <c r="JFD251" s="9"/>
      <c r="JFE251" s="4"/>
      <c r="JFF251" s="9"/>
      <c r="JFG251" s="4"/>
      <c r="JFH251" s="9"/>
      <c r="JFI251" s="4"/>
      <c r="JFJ251" s="9"/>
      <c r="JFK251" s="4"/>
      <c r="JFL251" s="9"/>
      <c r="JFM251" s="4"/>
      <c r="JFN251" s="9"/>
      <c r="JFO251" s="4"/>
      <c r="JFP251" s="9"/>
      <c r="JFQ251" s="4"/>
      <c r="JFR251" s="9"/>
      <c r="JFS251" s="4"/>
      <c r="JFT251" s="9"/>
      <c r="JFU251" s="4"/>
      <c r="JFV251" s="9"/>
      <c r="JFW251" s="4"/>
      <c r="JFX251" s="9"/>
      <c r="JFY251" s="4"/>
      <c r="JFZ251" s="9"/>
      <c r="JGA251" s="4"/>
      <c r="JGB251" s="9"/>
      <c r="JGC251" s="4"/>
      <c r="JGD251" s="9"/>
      <c r="JGE251" s="4"/>
      <c r="JGF251" s="9"/>
      <c r="JGG251" s="4"/>
      <c r="JGH251" s="9"/>
      <c r="JGI251" s="4"/>
      <c r="JGJ251" s="9"/>
      <c r="JGK251" s="4"/>
      <c r="JGL251" s="9"/>
      <c r="JGM251" s="4"/>
      <c r="JGN251" s="9"/>
      <c r="JGO251" s="4"/>
      <c r="JGP251" s="9"/>
      <c r="JGQ251" s="4"/>
      <c r="JGR251" s="9"/>
      <c r="JGS251" s="4"/>
      <c r="JGT251" s="9"/>
      <c r="JGU251" s="4"/>
      <c r="JGV251" s="9"/>
      <c r="JGW251" s="4"/>
      <c r="JGX251" s="9"/>
      <c r="JGY251" s="4"/>
      <c r="JGZ251" s="9"/>
      <c r="JHA251" s="4"/>
      <c r="JHB251" s="9"/>
      <c r="JHC251" s="4"/>
      <c r="JHD251" s="9"/>
      <c r="JHE251" s="4"/>
      <c r="JHF251" s="9"/>
      <c r="JHG251" s="4"/>
      <c r="JHH251" s="9"/>
      <c r="JHI251" s="4"/>
      <c r="JHJ251" s="9"/>
      <c r="JHK251" s="4"/>
      <c r="JHL251" s="9"/>
      <c r="JHM251" s="4"/>
      <c r="JHN251" s="9"/>
      <c r="JHO251" s="4"/>
      <c r="JHP251" s="9"/>
      <c r="JHQ251" s="4"/>
      <c r="JHR251" s="9"/>
      <c r="JHS251" s="4"/>
      <c r="JHT251" s="9"/>
      <c r="JHU251" s="4"/>
      <c r="JHV251" s="9"/>
      <c r="JHW251" s="4"/>
      <c r="JHX251" s="9"/>
      <c r="JHY251" s="4"/>
      <c r="JHZ251" s="9"/>
      <c r="JIA251" s="4"/>
      <c r="JIB251" s="9"/>
      <c r="JIC251" s="4"/>
      <c r="JID251" s="9"/>
      <c r="JIE251" s="4"/>
      <c r="JIF251" s="9"/>
      <c r="JIG251" s="4"/>
      <c r="JIH251" s="9"/>
      <c r="JII251" s="4"/>
      <c r="JIJ251" s="9"/>
      <c r="JIK251" s="4"/>
      <c r="JIL251" s="9"/>
      <c r="JIM251" s="4"/>
      <c r="JIN251" s="9"/>
      <c r="JIO251" s="4"/>
      <c r="JIP251" s="9"/>
      <c r="JIQ251" s="4"/>
      <c r="JIR251" s="9"/>
      <c r="JIS251" s="4"/>
      <c r="JIT251" s="9"/>
      <c r="JIU251" s="4"/>
      <c r="JIV251" s="9"/>
      <c r="JIW251" s="4"/>
      <c r="JIX251" s="9"/>
      <c r="JIY251" s="4"/>
      <c r="JIZ251" s="9"/>
      <c r="JJA251" s="4"/>
      <c r="JJB251" s="9"/>
      <c r="JJC251" s="4"/>
      <c r="JJD251" s="9"/>
      <c r="JJE251" s="4"/>
      <c r="JJF251" s="9"/>
      <c r="JJG251" s="4"/>
      <c r="JJH251" s="9"/>
      <c r="JJI251" s="4"/>
      <c r="JJJ251" s="9"/>
      <c r="JJK251" s="4"/>
      <c r="JJL251" s="9"/>
      <c r="JJM251" s="4"/>
      <c r="JJN251" s="9"/>
      <c r="JJO251" s="4"/>
      <c r="JJP251" s="9"/>
      <c r="JJQ251" s="4"/>
      <c r="JJR251" s="9"/>
      <c r="JJS251" s="4"/>
      <c r="JJT251" s="9"/>
      <c r="JJU251" s="4"/>
      <c r="JJV251" s="9"/>
      <c r="JJW251" s="4"/>
      <c r="JJX251" s="9"/>
      <c r="JJY251" s="4"/>
      <c r="JJZ251" s="9"/>
      <c r="JKA251" s="4"/>
      <c r="JKB251" s="9"/>
      <c r="JKC251" s="4"/>
      <c r="JKD251" s="9"/>
      <c r="JKE251" s="4"/>
      <c r="JKF251" s="9"/>
      <c r="JKG251" s="4"/>
      <c r="JKH251" s="9"/>
      <c r="JKI251" s="4"/>
      <c r="JKJ251" s="9"/>
      <c r="JKK251" s="4"/>
      <c r="JKL251" s="9"/>
      <c r="JKM251" s="4"/>
      <c r="JKN251" s="9"/>
      <c r="JKO251" s="4"/>
      <c r="JKP251" s="9"/>
      <c r="JKQ251" s="4"/>
      <c r="JKR251" s="9"/>
      <c r="JKS251" s="4"/>
      <c r="JKT251" s="9"/>
      <c r="JKU251" s="4"/>
      <c r="JKV251" s="9"/>
      <c r="JKW251" s="4"/>
      <c r="JKX251" s="9"/>
      <c r="JKY251" s="4"/>
      <c r="JKZ251" s="9"/>
      <c r="JLA251" s="4"/>
      <c r="JLB251" s="9"/>
      <c r="JLC251" s="4"/>
      <c r="JLD251" s="9"/>
      <c r="JLE251" s="4"/>
      <c r="JLF251" s="9"/>
      <c r="JLG251" s="4"/>
      <c r="JLH251" s="9"/>
      <c r="JLI251" s="4"/>
      <c r="JLJ251" s="9"/>
      <c r="JLK251" s="4"/>
      <c r="JLL251" s="9"/>
      <c r="JLM251" s="4"/>
      <c r="JLN251" s="9"/>
      <c r="JLO251" s="4"/>
      <c r="JLP251" s="9"/>
      <c r="JLQ251" s="4"/>
      <c r="JLR251" s="9"/>
      <c r="JLS251" s="4"/>
      <c r="JLT251" s="9"/>
      <c r="JLU251" s="4"/>
      <c r="JLV251" s="9"/>
      <c r="JLW251" s="4"/>
      <c r="JLX251" s="9"/>
      <c r="JLY251" s="4"/>
      <c r="JLZ251" s="9"/>
      <c r="JMA251" s="4"/>
      <c r="JMB251" s="9"/>
      <c r="JMC251" s="4"/>
      <c r="JMD251" s="9"/>
      <c r="JME251" s="4"/>
      <c r="JMF251" s="9"/>
      <c r="JMG251" s="4"/>
      <c r="JMH251" s="9"/>
      <c r="JMI251" s="4"/>
      <c r="JMJ251" s="9"/>
      <c r="JMK251" s="4"/>
      <c r="JML251" s="9"/>
      <c r="JMM251" s="4"/>
      <c r="JMN251" s="9"/>
      <c r="JMO251" s="4"/>
      <c r="JMP251" s="9"/>
      <c r="JMQ251" s="4"/>
      <c r="JMR251" s="9"/>
      <c r="JMS251" s="4"/>
      <c r="JMT251" s="9"/>
      <c r="JMU251" s="4"/>
      <c r="JMV251" s="9"/>
      <c r="JMW251" s="4"/>
      <c r="JMX251" s="9"/>
      <c r="JMY251" s="4"/>
      <c r="JMZ251" s="9"/>
      <c r="JNA251" s="4"/>
      <c r="JNB251" s="9"/>
      <c r="JNC251" s="4"/>
      <c r="JND251" s="9"/>
      <c r="JNE251" s="4"/>
      <c r="JNF251" s="9"/>
      <c r="JNG251" s="4"/>
      <c r="JNH251" s="9"/>
      <c r="JNI251" s="4"/>
      <c r="JNJ251" s="9"/>
      <c r="JNK251" s="4"/>
      <c r="JNL251" s="9"/>
      <c r="JNM251" s="4"/>
      <c r="JNN251" s="9"/>
      <c r="JNO251" s="4"/>
      <c r="JNP251" s="9"/>
      <c r="JNQ251" s="4"/>
      <c r="JNR251" s="9"/>
      <c r="JNS251" s="4"/>
      <c r="JNT251" s="9"/>
      <c r="JNU251" s="4"/>
      <c r="JNV251" s="9"/>
      <c r="JNW251" s="4"/>
      <c r="JNX251" s="9"/>
      <c r="JNY251" s="4"/>
      <c r="JNZ251" s="9"/>
      <c r="JOA251" s="4"/>
      <c r="JOB251" s="9"/>
      <c r="JOC251" s="4"/>
      <c r="JOD251" s="9"/>
      <c r="JOE251" s="4"/>
      <c r="JOF251" s="9"/>
      <c r="JOG251" s="4"/>
      <c r="JOH251" s="9"/>
      <c r="JOI251" s="4"/>
      <c r="JOJ251" s="9"/>
      <c r="JOK251" s="4"/>
      <c r="JOL251" s="9"/>
      <c r="JOM251" s="4"/>
      <c r="JON251" s="9"/>
      <c r="JOO251" s="4"/>
      <c r="JOP251" s="9"/>
      <c r="JOQ251" s="4"/>
      <c r="JOR251" s="9"/>
      <c r="JOS251" s="4"/>
      <c r="JOT251" s="9"/>
      <c r="JOU251" s="4"/>
      <c r="JOV251" s="9"/>
      <c r="JOW251" s="4"/>
      <c r="JOX251" s="9"/>
      <c r="JOY251" s="4"/>
      <c r="JOZ251" s="9"/>
      <c r="JPA251" s="4"/>
      <c r="JPB251" s="9"/>
      <c r="JPC251" s="4"/>
      <c r="JPD251" s="9"/>
      <c r="JPE251" s="4"/>
      <c r="JPF251" s="9"/>
      <c r="JPG251" s="4"/>
      <c r="JPH251" s="9"/>
      <c r="JPI251" s="4"/>
      <c r="JPJ251" s="9"/>
      <c r="JPK251" s="4"/>
      <c r="JPL251" s="9"/>
      <c r="JPM251" s="4"/>
      <c r="JPN251" s="9"/>
      <c r="JPO251" s="4"/>
      <c r="JPP251" s="9"/>
      <c r="JPQ251" s="4"/>
      <c r="JPR251" s="9"/>
      <c r="JPS251" s="4"/>
      <c r="JPT251" s="9"/>
      <c r="JPU251" s="4"/>
      <c r="JPV251" s="9"/>
      <c r="JPW251" s="4"/>
      <c r="JPX251" s="9"/>
      <c r="JPY251" s="4"/>
      <c r="JPZ251" s="9"/>
      <c r="JQA251" s="4"/>
      <c r="JQB251" s="9"/>
      <c r="JQC251" s="4"/>
      <c r="JQD251" s="9"/>
      <c r="JQE251" s="4"/>
      <c r="JQF251" s="9"/>
      <c r="JQG251" s="4"/>
      <c r="JQH251" s="9"/>
      <c r="JQI251" s="4"/>
      <c r="JQJ251" s="9"/>
      <c r="JQK251" s="4"/>
      <c r="JQL251" s="9"/>
      <c r="JQM251" s="4"/>
      <c r="JQN251" s="9"/>
      <c r="JQO251" s="4"/>
      <c r="JQP251" s="9"/>
      <c r="JQQ251" s="4"/>
      <c r="JQR251" s="9"/>
      <c r="JQS251" s="4"/>
      <c r="JQT251" s="9"/>
      <c r="JQU251" s="4"/>
      <c r="JQV251" s="9"/>
      <c r="JQW251" s="4"/>
      <c r="JQX251" s="9"/>
      <c r="JQY251" s="4"/>
      <c r="JQZ251" s="9"/>
      <c r="JRA251" s="4"/>
      <c r="JRB251" s="9"/>
      <c r="JRC251" s="4"/>
      <c r="JRD251" s="9"/>
      <c r="JRE251" s="4"/>
      <c r="JRF251" s="9"/>
      <c r="JRG251" s="4"/>
      <c r="JRH251" s="9"/>
      <c r="JRI251" s="4"/>
      <c r="JRJ251" s="9"/>
      <c r="JRK251" s="4"/>
      <c r="JRL251" s="9"/>
      <c r="JRM251" s="4"/>
      <c r="JRN251" s="9"/>
      <c r="JRO251" s="4"/>
      <c r="JRP251" s="9"/>
      <c r="JRQ251" s="4"/>
      <c r="JRR251" s="9"/>
      <c r="JRS251" s="4"/>
      <c r="JRT251" s="9"/>
      <c r="JRU251" s="4"/>
      <c r="JRV251" s="9"/>
      <c r="JRW251" s="4"/>
      <c r="JRX251" s="9"/>
      <c r="JRY251" s="4"/>
      <c r="JRZ251" s="9"/>
      <c r="JSA251" s="4"/>
      <c r="JSB251" s="9"/>
      <c r="JSC251" s="4"/>
      <c r="JSD251" s="9"/>
      <c r="JSE251" s="4"/>
      <c r="JSF251" s="9"/>
      <c r="JSG251" s="4"/>
      <c r="JSH251" s="9"/>
      <c r="JSI251" s="4"/>
      <c r="JSJ251" s="9"/>
      <c r="JSK251" s="4"/>
      <c r="JSL251" s="9"/>
      <c r="JSM251" s="4"/>
      <c r="JSN251" s="9"/>
      <c r="JSO251" s="4"/>
      <c r="JSP251" s="9"/>
      <c r="JSQ251" s="4"/>
      <c r="JSR251" s="9"/>
      <c r="JSS251" s="4"/>
      <c r="JST251" s="9"/>
      <c r="JSU251" s="4"/>
      <c r="JSV251" s="9"/>
      <c r="JSW251" s="4"/>
      <c r="JSX251" s="9"/>
      <c r="JSY251" s="4"/>
      <c r="JSZ251" s="9"/>
      <c r="JTA251" s="4"/>
      <c r="JTB251" s="9"/>
      <c r="JTC251" s="4"/>
      <c r="JTD251" s="9"/>
      <c r="JTE251" s="4"/>
      <c r="JTF251" s="9"/>
      <c r="JTG251" s="4"/>
      <c r="JTH251" s="9"/>
      <c r="JTI251" s="4"/>
      <c r="JTJ251" s="9"/>
      <c r="JTK251" s="4"/>
      <c r="JTL251" s="9"/>
      <c r="JTM251" s="4"/>
      <c r="JTN251" s="9"/>
      <c r="JTO251" s="4"/>
      <c r="JTP251" s="9"/>
      <c r="JTQ251" s="4"/>
      <c r="JTR251" s="9"/>
      <c r="JTS251" s="4"/>
      <c r="JTT251" s="9"/>
      <c r="JTU251" s="4"/>
      <c r="JTV251" s="9"/>
      <c r="JTW251" s="4"/>
      <c r="JTX251" s="9"/>
      <c r="JTY251" s="4"/>
      <c r="JTZ251" s="9"/>
      <c r="JUA251" s="4"/>
      <c r="JUB251" s="9"/>
      <c r="JUC251" s="4"/>
      <c r="JUD251" s="9"/>
      <c r="JUE251" s="4"/>
      <c r="JUF251" s="9"/>
      <c r="JUG251" s="4"/>
      <c r="JUH251" s="9"/>
      <c r="JUI251" s="4"/>
      <c r="JUJ251" s="9"/>
      <c r="JUK251" s="4"/>
      <c r="JUL251" s="9"/>
      <c r="JUM251" s="4"/>
      <c r="JUN251" s="9"/>
      <c r="JUO251" s="4"/>
      <c r="JUP251" s="9"/>
      <c r="JUQ251" s="4"/>
      <c r="JUR251" s="9"/>
      <c r="JUS251" s="4"/>
      <c r="JUT251" s="9"/>
      <c r="JUU251" s="4"/>
      <c r="JUV251" s="9"/>
      <c r="JUW251" s="4"/>
      <c r="JUX251" s="9"/>
      <c r="JUY251" s="4"/>
      <c r="JUZ251" s="9"/>
      <c r="JVA251" s="4"/>
      <c r="JVB251" s="9"/>
      <c r="JVC251" s="4"/>
      <c r="JVD251" s="9"/>
      <c r="JVE251" s="4"/>
      <c r="JVF251" s="9"/>
      <c r="JVG251" s="4"/>
      <c r="JVH251" s="9"/>
      <c r="JVI251" s="4"/>
      <c r="JVJ251" s="9"/>
      <c r="JVK251" s="4"/>
      <c r="JVL251" s="9"/>
      <c r="JVM251" s="4"/>
      <c r="JVN251" s="9"/>
      <c r="JVO251" s="4"/>
      <c r="JVP251" s="9"/>
      <c r="JVQ251" s="4"/>
      <c r="JVR251" s="9"/>
      <c r="JVS251" s="4"/>
      <c r="JVT251" s="9"/>
      <c r="JVU251" s="4"/>
      <c r="JVV251" s="9"/>
      <c r="JVW251" s="4"/>
      <c r="JVX251" s="9"/>
      <c r="JVY251" s="4"/>
      <c r="JVZ251" s="9"/>
      <c r="JWA251" s="4"/>
      <c r="JWB251" s="9"/>
      <c r="JWC251" s="4"/>
      <c r="JWD251" s="9"/>
      <c r="JWE251" s="4"/>
      <c r="JWF251" s="9"/>
      <c r="JWG251" s="4"/>
      <c r="JWH251" s="9"/>
      <c r="JWI251" s="4"/>
      <c r="JWJ251" s="9"/>
      <c r="JWK251" s="4"/>
      <c r="JWL251" s="9"/>
      <c r="JWM251" s="4"/>
      <c r="JWN251" s="9"/>
      <c r="JWO251" s="4"/>
      <c r="JWP251" s="9"/>
      <c r="JWQ251" s="4"/>
      <c r="JWR251" s="9"/>
      <c r="JWS251" s="4"/>
      <c r="JWT251" s="9"/>
      <c r="JWU251" s="4"/>
      <c r="JWV251" s="9"/>
      <c r="JWW251" s="4"/>
      <c r="JWX251" s="9"/>
      <c r="JWY251" s="4"/>
      <c r="JWZ251" s="9"/>
      <c r="JXA251" s="4"/>
      <c r="JXB251" s="9"/>
      <c r="JXC251" s="4"/>
      <c r="JXD251" s="9"/>
      <c r="JXE251" s="4"/>
      <c r="JXF251" s="9"/>
      <c r="JXG251" s="4"/>
      <c r="JXH251" s="9"/>
      <c r="JXI251" s="4"/>
      <c r="JXJ251" s="9"/>
      <c r="JXK251" s="4"/>
      <c r="JXL251" s="9"/>
      <c r="JXM251" s="4"/>
      <c r="JXN251" s="9"/>
      <c r="JXO251" s="4"/>
      <c r="JXP251" s="9"/>
      <c r="JXQ251" s="4"/>
      <c r="JXR251" s="9"/>
      <c r="JXS251" s="4"/>
      <c r="JXT251" s="9"/>
      <c r="JXU251" s="4"/>
      <c r="JXV251" s="9"/>
      <c r="JXW251" s="4"/>
      <c r="JXX251" s="9"/>
      <c r="JXY251" s="4"/>
      <c r="JXZ251" s="9"/>
      <c r="JYA251" s="4"/>
      <c r="JYB251" s="9"/>
      <c r="JYC251" s="4"/>
      <c r="JYD251" s="9"/>
      <c r="JYE251" s="4"/>
      <c r="JYF251" s="9"/>
      <c r="JYG251" s="4"/>
      <c r="JYH251" s="9"/>
      <c r="JYI251" s="4"/>
      <c r="JYJ251" s="9"/>
      <c r="JYK251" s="4"/>
      <c r="JYL251" s="9"/>
      <c r="JYM251" s="4"/>
      <c r="JYN251" s="9"/>
      <c r="JYO251" s="4"/>
      <c r="JYP251" s="9"/>
      <c r="JYQ251" s="4"/>
      <c r="JYR251" s="9"/>
      <c r="JYS251" s="4"/>
      <c r="JYT251" s="9"/>
      <c r="JYU251" s="4"/>
      <c r="JYV251" s="9"/>
      <c r="JYW251" s="4"/>
      <c r="JYX251" s="9"/>
      <c r="JYY251" s="4"/>
      <c r="JYZ251" s="9"/>
      <c r="JZA251" s="4"/>
      <c r="JZB251" s="9"/>
      <c r="JZC251" s="4"/>
      <c r="JZD251" s="9"/>
      <c r="JZE251" s="4"/>
      <c r="JZF251" s="9"/>
      <c r="JZG251" s="4"/>
      <c r="JZH251" s="9"/>
      <c r="JZI251" s="4"/>
      <c r="JZJ251" s="9"/>
      <c r="JZK251" s="4"/>
      <c r="JZL251" s="9"/>
      <c r="JZM251" s="4"/>
      <c r="JZN251" s="9"/>
      <c r="JZO251" s="4"/>
      <c r="JZP251" s="9"/>
      <c r="JZQ251" s="4"/>
      <c r="JZR251" s="9"/>
      <c r="JZS251" s="4"/>
      <c r="JZT251" s="9"/>
      <c r="JZU251" s="4"/>
      <c r="JZV251" s="9"/>
      <c r="JZW251" s="4"/>
      <c r="JZX251" s="9"/>
      <c r="JZY251" s="4"/>
      <c r="JZZ251" s="9"/>
      <c r="KAA251" s="4"/>
      <c r="KAB251" s="9"/>
      <c r="KAC251" s="4"/>
      <c r="KAD251" s="9"/>
      <c r="KAE251" s="4"/>
      <c r="KAF251" s="9"/>
      <c r="KAG251" s="4"/>
      <c r="KAH251" s="9"/>
      <c r="KAI251" s="4"/>
      <c r="KAJ251" s="9"/>
      <c r="KAK251" s="4"/>
      <c r="KAL251" s="9"/>
      <c r="KAM251" s="4"/>
      <c r="KAN251" s="9"/>
      <c r="KAO251" s="4"/>
      <c r="KAP251" s="9"/>
      <c r="KAQ251" s="4"/>
      <c r="KAR251" s="9"/>
      <c r="KAS251" s="4"/>
      <c r="KAT251" s="9"/>
      <c r="KAU251" s="4"/>
      <c r="KAV251" s="9"/>
      <c r="KAW251" s="4"/>
      <c r="KAX251" s="9"/>
      <c r="KAY251" s="4"/>
      <c r="KAZ251" s="9"/>
      <c r="KBA251" s="4"/>
      <c r="KBB251" s="9"/>
      <c r="KBC251" s="4"/>
      <c r="KBD251" s="9"/>
      <c r="KBE251" s="4"/>
      <c r="KBF251" s="9"/>
      <c r="KBG251" s="4"/>
      <c r="KBH251" s="9"/>
      <c r="KBI251" s="4"/>
      <c r="KBJ251" s="9"/>
      <c r="KBK251" s="4"/>
      <c r="KBL251" s="9"/>
      <c r="KBM251" s="4"/>
      <c r="KBN251" s="9"/>
      <c r="KBO251" s="4"/>
      <c r="KBP251" s="9"/>
      <c r="KBQ251" s="4"/>
      <c r="KBR251" s="9"/>
      <c r="KBS251" s="4"/>
      <c r="KBT251" s="9"/>
      <c r="KBU251" s="4"/>
      <c r="KBV251" s="9"/>
      <c r="KBW251" s="4"/>
      <c r="KBX251" s="9"/>
      <c r="KBY251" s="4"/>
      <c r="KBZ251" s="9"/>
      <c r="KCA251" s="4"/>
      <c r="KCB251" s="9"/>
      <c r="KCC251" s="4"/>
      <c r="KCD251" s="9"/>
      <c r="KCE251" s="4"/>
      <c r="KCF251" s="9"/>
      <c r="KCG251" s="4"/>
      <c r="KCH251" s="9"/>
      <c r="KCI251" s="4"/>
      <c r="KCJ251" s="9"/>
      <c r="KCK251" s="4"/>
      <c r="KCL251" s="9"/>
      <c r="KCM251" s="4"/>
      <c r="KCN251" s="9"/>
      <c r="KCO251" s="4"/>
      <c r="KCP251" s="9"/>
      <c r="KCQ251" s="4"/>
      <c r="KCR251" s="9"/>
      <c r="KCS251" s="4"/>
      <c r="KCT251" s="9"/>
      <c r="KCU251" s="4"/>
      <c r="KCV251" s="9"/>
      <c r="KCW251" s="4"/>
      <c r="KCX251" s="9"/>
      <c r="KCY251" s="4"/>
      <c r="KCZ251" s="9"/>
      <c r="KDA251" s="4"/>
      <c r="KDB251" s="9"/>
      <c r="KDC251" s="4"/>
      <c r="KDD251" s="9"/>
      <c r="KDE251" s="4"/>
      <c r="KDF251" s="9"/>
      <c r="KDG251" s="4"/>
      <c r="KDH251" s="9"/>
      <c r="KDI251" s="4"/>
      <c r="KDJ251" s="9"/>
      <c r="KDK251" s="4"/>
      <c r="KDL251" s="9"/>
      <c r="KDM251" s="4"/>
      <c r="KDN251" s="9"/>
      <c r="KDO251" s="4"/>
      <c r="KDP251" s="9"/>
      <c r="KDQ251" s="4"/>
      <c r="KDR251" s="9"/>
      <c r="KDS251" s="4"/>
      <c r="KDT251" s="9"/>
      <c r="KDU251" s="4"/>
      <c r="KDV251" s="9"/>
      <c r="KDW251" s="4"/>
      <c r="KDX251" s="9"/>
      <c r="KDY251" s="4"/>
      <c r="KDZ251" s="9"/>
      <c r="KEA251" s="4"/>
      <c r="KEB251" s="9"/>
      <c r="KEC251" s="4"/>
      <c r="KED251" s="9"/>
      <c r="KEE251" s="4"/>
      <c r="KEF251" s="9"/>
      <c r="KEG251" s="4"/>
      <c r="KEH251" s="9"/>
      <c r="KEI251" s="4"/>
      <c r="KEJ251" s="9"/>
      <c r="KEK251" s="4"/>
      <c r="KEL251" s="9"/>
      <c r="KEM251" s="4"/>
      <c r="KEN251" s="9"/>
      <c r="KEO251" s="4"/>
      <c r="KEP251" s="9"/>
      <c r="KEQ251" s="4"/>
      <c r="KER251" s="9"/>
      <c r="KES251" s="4"/>
      <c r="KET251" s="9"/>
      <c r="KEU251" s="4"/>
      <c r="KEV251" s="9"/>
      <c r="KEW251" s="4"/>
      <c r="KEX251" s="9"/>
      <c r="KEY251" s="4"/>
      <c r="KEZ251" s="9"/>
      <c r="KFA251" s="4"/>
      <c r="KFB251" s="9"/>
      <c r="KFC251" s="4"/>
      <c r="KFD251" s="9"/>
      <c r="KFE251" s="4"/>
      <c r="KFF251" s="9"/>
      <c r="KFG251" s="4"/>
      <c r="KFH251" s="9"/>
      <c r="KFI251" s="4"/>
      <c r="KFJ251" s="9"/>
      <c r="KFK251" s="4"/>
      <c r="KFL251" s="9"/>
      <c r="KFM251" s="4"/>
      <c r="KFN251" s="9"/>
      <c r="KFO251" s="4"/>
      <c r="KFP251" s="9"/>
      <c r="KFQ251" s="4"/>
      <c r="KFR251" s="9"/>
      <c r="KFS251" s="4"/>
      <c r="KFT251" s="9"/>
      <c r="KFU251" s="4"/>
      <c r="KFV251" s="9"/>
      <c r="KFW251" s="4"/>
      <c r="KFX251" s="9"/>
      <c r="KFY251" s="4"/>
      <c r="KFZ251" s="9"/>
      <c r="KGA251" s="4"/>
      <c r="KGB251" s="9"/>
      <c r="KGC251" s="4"/>
      <c r="KGD251" s="9"/>
      <c r="KGE251" s="4"/>
      <c r="KGF251" s="9"/>
      <c r="KGG251" s="4"/>
      <c r="KGH251" s="9"/>
      <c r="KGI251" s="4"/>
      <c r="KGJ251" s="9"/>
      <c r="KGK251" s="4"/>
      <c r="KGL251" s="9"/>
      <c r="KGM251" s="4"/>
      <c r="KGN251" s="9"/>
      <c r="KGO251" s="4"/>
      <c r="KGP251" s="9"/>
      <c r="KGQ251" s="4"/>
      <c r="KGR251" s="9"/>
      <c r="KGS251" s="4"/>
      <c r="KGT251" s="9"/>
      <c r="KGU251" s="4"/>
      <c r="KGV251" s="9"/>
      <c r="KGW251" s="4"/>
      <c r="KGX251" s="9"/>
      <c r="KGY251" s="4"/>
      <c r="KGZ251" s="9"/>
      <c r="KHA251" s="4"/>
      <c r="KHB251" s="9"/>
      <c r="KHC251" s="4"/>
      <c r="KHD251" s="9"/>
      <c r="KHE251" s="4"/>
      <c r="KHF251" s="9"/>
      <c r="KHG251" s="4"/>
      <c r="KHH251" s="9"/>
      <c r="KHI251" s="4"/>
      <c r="KHJ251" s="9"/>
      <c r="KHK251" s="4"/>
      <c r="KHL251" s="9"/>
      <c r="KHM251" s="4"/>
      <c r="KHN251" s="9"/>
      <c r="KHO251" s="4"/>
      <c r="KHP251" s="9"/>
      <c r="KHQ251" s="4"/>
      <c r="KHR251" s="9"/>
      <c r="KHS251" s="4"/>
      <c r="KHT251" s="9"/>
      <c r="KHU251" s="4"/>
      <c r="KHV251" s="9"/>
      <c r="KHW251" s="4"/>
      <c r="KHX251" s="9"/>
      <c r="KHY251" s="4"/>
      <c r="KHZ251" s="9"/>
      <c r="KIA251" s="4"/>
      <c r="KIB251" s="9"/>
      <c r="KIC251" s="4"/>
      <c r="KID251" s="9"/>
      <c r="KIE251" s="4"/>
      <c r="KIF251" s="9"/>
      <c r="KIG251" s="4"/>
      <c r="KIH251" s="9"/>
      <c r="KII251" s="4"/>
      <c r="KIJ251" s="9"/>
      <c r="KIK251" s="4"/>
      <c r="KIL251" s="9"/>
      <c r="KIM251" s="4"/>
      <c r="KIN251" s="9"/>
      <c r="KIO251" s="4"/>
      <c r="KIP251" s="9"/>
      <c r="KIQ251" s="4"/>
      <c r="KIR251" s="9"/>
      <c r="KIS251" s="4"/>
      <c r="KIT251" s="9"/>
      <c r="KIU251" s="4"/>
      <c r="KIV251" s="9"/>
      <c r="KIW251" s="4"/>
      <c r="KIX251" s="9"/>
      <c r="KIY251" s="4"/>
      <c r="KIZ251" s="9"/>
      <c r="KJA251" s="4"/>
      <c r="KJB251" s="9"/>
      <c r="KJC251" s="4"/>
      <c r="KJD251" s="9"/>
      <c r="KJE251" s="4"/>
      <c r="KJF251" s="9"/>
      <c r="KJG251" s="4"/>
      <c r="KJH251" s="9"/>
      <c r="KJI251" s="4"/>
      <c r="KJJ251" s="9"/>
      <c r="KJK251" s="4"/>
      <c r="KJL251" s="9"/>
      <c r="KJM251" s="4"/>
      <c r="KJN251" s="9"/>
      <c r="KJO251" s="4"/>
      <c r="KJP251" s="9"/>
      <c r="KJQ251" s="4"/>
      <c r="KJR251" s="9"/>
      <c r="KJS251" s="4"/>
      <c r="KJT251" s="9"/>
      <c r="KJU251" s="4"/>
      <c r="KJV251" s="9"/>
      <c r="KJW251" s="4"/>
      <c r="KJX251" s="9"/>
      <c r="KJY251" s="4"/>
      <c r="KJZ251" s="9"/>
      <c r="KKA251" s="4"/>
      <c r="KKB251" s="9"/>
      <c r="KKC251" s="4"/>
      <c r="KKD251" s="9"/>
      <c r="KKE251" s="4"/>
      <c r="KKF251" s="9"/>
      <c r="KKG251" s="4"/>
      <c r="KKH251" s="9"/>
      <c r="KKI251" s="4"/>
      <c r="KKJ251" s="9"/>
      <c r="KKK251" s="4"/>
      <c r="KKL251" s="9"/>
      <c r="KKM251" s="4"/>
      <c r="KKN251" s="9"/>
      <c r="KKO251" s="4"/>
      <c r="KKP251" s="9"/>
      <c r="KKQ251" s="4"/>
      <c r="KKR251" s="9"/>
      <c r="KKS251" s="4"/>
      <c r="KKT251" s="9"/>
      <c r="KKU251" s="4"/>
      <c r="KKV251" s="9"/>
      <c r="KKW251" s="4"/>
      <c r="KKX251" s="9"/>
      <c r="KKY251" s="4"/>
      <c r="KKZ251" s="9"/>
      <c r="KLA251" s="4"/>
      <c r="KLB251" s="9"/>
      <c r="KLC251" s="4"/>
      <c r="KLD251" s="9"/>
      <c r="KLE251" s="4"/>
      <c r="KLF251" s="9"/>
      <c r="KLG251" s="4"/>
      <c r="KLH251" s="9"/>
      <c r="KLI251" s="4"/>
      <c r="KLJ251" s="9"/>
      <c r="KLK251" s="4"/>
      <c r="KLL251" s="9"/>
      <c r="KLM251" s="4"/>
      <c r="KLN251" s="9"/>
      <c r="KLO251" s="4"/>
      <c r="KLP251" s="9"/>
      <c r="KLQ251" s="4"/>
      <c r="KLR251" s="9"/>
      <c r="KLS251" s="4"/>
      <c r="KLT251" s="9"/>
      <c r="KLU251" s="4"/>
      <c r="KLV251" s="9"/>
      <c r="KLW251" s="4"/>
      <c r="KLX251" s="9"/>
      <c r="KLY251" s="4"/>
      <c r="KLZ251" s="9"/>
      <c r="KMA251" s="4"/>
      <c r="KMB251" s="9"/>
      <c r="KMC251" s="4"/>
      <c r="KMD251" s="9"/>
      <c r="KME251" s="4"/>
      <c r="KMF251" s="9"/>
      <c r="KMG251" s="4"/>
      <c r="KMH251" s="9"/>
      <c r="KMI251" s="4"/>
      <c r="KMJ251" s="9"/>
      <c r="KMK251" s="4"/>
      <c r="KML251" s="9"/>
      <c r="KMM251" s="4"/>
      <c r="KMN251" s="9"/>
      <c r="KMO251" s="4"/>
      <c r="KMP251" s="9"/>
      <c r="KMQ251" s="4"/>
      <c r="KMR251" s="9"/>
      <c r="KMS251" s="4"/>
      <c r="KMT251" s="9"/>
      <c r="KMU251" s="4"/>
      <c r="KMV251" s="9"/>
      <c r="KMW251" s="4"/>
      <c r="KMX251" s="9"/>
      <c r="KMY251" s="4"/>
      <c r="KMZ251" s="9"/>
      <c r="KNA251" s="4"/>
      <c r="KNB251" s="9"/>
      <c r="KNC251" s="4"/>
      <c r="KND251" s="9"/>
      <c r="KNE251" s="4"/>
      <c r="KNF251" s="9"/>
      <c r="KNG251" s="4"/>
      <c r="KNH251" s="9"/>
      <c r="KNI251" s="4"/>
      <c r="KNJ251" s="9"/>
      <c r="KNK251" s="4"/>
      <c r="KNL251" s="9"/>
      <c r="KNM251" s="4"/>
      <c r="KNN251" s="9"/>
      <c r="KNO251" s="4"/>
      <c r="KNP251" s="9"/>
      <c r="KNQ251" s="4"/>
      <c r="KNR251" s="9"/>
      <c r="KNS251" s="4"/>
      <c r="KNT251" s="9"/>
      <c r="KNU251" s="4"/>
      <c r="KNV251" s="9"/>
      <c r="KNW251" s="4"/>
      <c r="KNX251" s="9"/>
      <c r="KNY251" s="4"/>
      <c r="KNZ251" s="9"/>
      <c r="KOA251" s="4"/>
      <c r="KOB251" s="9"/>
      <c r="KOC251" s="4"/>
      <c r="KOD251" s="9"/>
      <c r="KOE251" s="4"/>
      <c r="KOF251" s="9"/>
      <c r="KOG251" s="4"/>
      <c r="KOH251" s="9"/>
      <c r="KOI251" s="4"/>
      <c r="KOJ251" s="9"/>
      <c r="KOK251" s="4"/>
      <c r="KOL251" s="9"/>
      <c r="KOM251" s="4"/>
      <c r="KON251" s="9"/>
      <c r="KOO251" s="4"/>
      <c r="KOP251" s="9"/>
      <c r="KOQ251" s="4"/>
      <c r="KOR251" s="9"/>
      <c r="KOS251" s="4"/>
      <c r="KOT251" s="9"/>
      <c r="KOU251" s="4"/>
      <c r="KOV251" s="9"/>
      <c r="KOW251" s="4"/>
      <c r="KOX251" s="9"/>
      <c r="KOY251" s="4"/>
      <c r="KOZ251" s="9"/>
      <c r="KPA251" s="4"/>
      <c r="KPB251" s="9"/>
      <c r="KPC251" s="4"/>
      <c r="KPD251" s="9"/>
      <c r="KPE251" s="4"/>
      <c r="KPF251" s="9"/>
      <c r="KPG251" s="4"/>
      <c r="KPH251" s="9"/>
      <c r="KPI251" s="4"/>
      <c r="KPJ251" s="9"/>
      <c r="KPK251" s="4"/>
      <c r="KPL251" s="9"/>
      <c r="KPM251" s="4"/>
      <c r="KPN251" s="9"/>
      <c r="KPO251" s="4"/>
      <c r="KPP251" s="9"/>
      <c r="KPQ251" s="4"/>
      <c r="KPR251" s="9"/>
      <c r="KPS251" s="4"/>
      <c r="KPT251" s="9"/>
      <c r="KPU251" s="4"/>
      <c r="KPV251" s="9"/>
      <c r="KPW251" s="4"/>
      <c r="KPX251" s="9"/>
      <c r="KPY251" s="4"/>
      <c r="KPZ251" s="9"/>
      <c r="KQA251" s="4"/>
      <c r="KQB251" s="9"/>
      <c r="KQC251" s="4"/>
      <c r="KQD251" s="9"/>
      <c r="KQE251" s="4"/>
      <c r="KQF251" s="9"/>
      <c r="KQG251" s="4"/>
      <c r="KQH251" s="9"/>
      <c r="KQI251" s="4"/>
      <c r="KQJ251" s="9"/>
      <c r="KQK251" s="4"/>
      <c r="KQL251" s="9"/>
      <c r="KQM251" s="4"/>
      <c r="KQN251" s="9"/>
      <c r="KQO251" s="4"/>
      <c r="KQP251" s="9"/>
      <c r="KQQ251" s="4"/>
      <c r="KQR251" s="9"/>
      <c r="KQS251" s="4"/>
      <c r="KQT251" s="9"/>
      <c r="KQU251" s="4"/>
      <c r="KQV251" s="9"/>
      <c r="KQW251" s="4"/>
      <c r="KQX251" s="9"/>
      <c r="KQY251" s="4"/>
      <c r="KQZ251" s="9"/>
      <c r="KRA251" s="4"/>
      <c r="KRB251" s="9"/>
      <c r="KRC251" s="4"/>
      <c r="KRD251" s="9"/>
      <c r="KRE251" s="4"/>
      <c r="KRF251" s="9"/>
      <c r="KRG251" s="4"/>
      <c r="KRH251" s="9"/>
      <c r="KRI251" s="4"/>
      <c r="KRJ251" s="9"/>
      <c r="KRK251" s="4"/>
      <c r="KRL251" s="9"/>
      <c r="KRM251" s="4"/>
      <c r="KRN251" s="9"/>
      <c r="KRO251" s="4"/>
      <c r="KRP251" s="9"/>
      <c r="KRQ251" s="4"/>
      <c r="KRR251" s="9"/>
      <c r="KRS251" s="4"/>
      <c r="KRT251" s="9"/>
      <c r="KRU251" s="4"/>
      <c r="KRV251" s="9"/>
      <c r="KRW251" s="4"/>
      <c r="KRX251" s="9"/>
      <c r="KRY251" s="4"/>
      <c r="KRZ251" s="9"/>
      <c r="KSA251" s="4"/>
      <c r="KSB251" s="9"/>
      <c r="KSC251" s="4"/>
      <c r="KSD251" s="9"/>
      <c r="KSE251" s="4"/>
      <c r="KSF251" s="9"/>
      <c r="KSG251" s="4"/>
      <c r="KSH251" s="9"/>
      <c r="KSI251" s="4"/>
      <c r="KSJ251" s="9"/>
      <c r="KSK251" s="4"/>
      <c r="KSL251" s="9"/>
      <c r="KSM251" s="4"/>
      <c r="KSN251" s="9"/>
      <c r="KSO251" s="4"/>
      <c r="KSP251" s="9"/>
      <c r="KSQ251" s="4"/>
      <c r="KSR251" s="9"/>
      <c r="KSS251" s="4"/>
      <c r="KST251" s="9"/>
      <c r="KSU251" s="4"/>
      <c r="KSV251" s="9"/>
      <c r="KSW251" s="4"/>
      <c r="KSX251" s="9"/>
      <c r="KSY251" s="4"/>
      <c r="KSZ251" s="9"/>
      <c r="KTA251" s="4"/>
      <c r="KTB251" s="9"/>
      <c r="KTC251" s="4"/>
      <c r="KTD251" s="9"/>
      <c r="KTE251" s="4"/>
      <c r="KTF251" s="9"/>
      <c r="KTG251" s="4"/>
      <c r="KTH251" s="9"/>
      <c r="KTI251" s="4"/>
      <c r="KTJ251" s="9"/>
      <c r="KTK251" s="4"/>
      <c r="KTL251" s="9"/>
      <c r="KTM251" s="4"/>
      <c r="KTN251" s="9"/>
      <c r="KTO251" s="4"/>
      <c r="KTP251" s="9"/>
      <c r="KTQ251" s="4"/>
      <c r="KTR251" s="9"/>
      <c r="KTS251" s="4"/>
      <c r="KTT251" s="9"/>
      <c r="KTU251" s="4"/>
      <c r="KTV251" s="9"/>
      <c r="KTW251" s="4"/>
      <c r="KTX251" s="9"/>
      <c r="KTY251" s="4"/>
      <c r="KTZ251" s="9"/>
      <c r="KUA251" s="4"/>
      <c r="KUB251" s="9"/>
      <c r="KUC251" s="4"/>
      <c r="KUD251" s="9"/>
      <c r="KUE251" s="4"/>
      <c r="KUF251" s="9"/>
      <c r="KUG251" s="4"/>
      <c r="KUH251" s="9"/>
      <c r="KUI251" s="4"/>
      <c r="KUJ251" s="9"/>
      <c r="KUK251" s="4"/>
      <c r="KUL251" s="9"/>
      <c r="KUM251" s="4"/>
      <c r="KUN251" s="9"/>
      <c r="KUO251" s="4"/>
      <c r="KUP251" s="9"/>
      <c r="KUQ251" s="4"/>
      <c r="KUR251" s="9"/>
      <c r="KUS251" s="4"/>
      <c r="KUT251" s="9"/>
      <c r="KUU251" s="4"/>
      <c r="KUV251" s="9"/>
      <c r="KUW251" s="4"/>
      <c r="KUX251" s="9"/>
      <c r="KUY251" s="4"/>
      <c r="KUZ251" s="9"/>
      <c r="KVA251" s="4"/>
      <c r="KVB251" s="9"/>
      <c r="KVC251" s="4"/>
      <c r="KVD251" s="9"/>
      <c r="KVE251" s="4"/>
      <c r="KVF251" s="9"/>
      <c r="KVG251" s="4"/>
      <c r="KVH251" s="9"/>
      <c r="KVI251" s="4"/>
      <c r="KVJ251" s="9"/>
      <c r="KVK251" s="4"/>
      <c r="KVL251" s="9"/>
      <c r="KVM251" s="4"/>
      <c r="KVN251" s="9"/>
      <c r="KVO251" s="4"/>
      <c r="KVP251" s="9"/>
      <c r="KVQ251" s="4"/>
      <c r="KVR251" s="9"/>
      <c r="KVS251" s="4"/>
      <c r="KVT251" s="9"/>
      <c r="KVU251" s="4"/>
      <c r="KVV251" s="9"/>
      <c r="KVW251" s="4"/>
      <c r="KVX251" s="9"/>
      <c r="KVY251" s="4"/>
      <c r="KVZ251" s="9"/>
      <c r="KWA251" s="4"/>
      <c r="KWB251" s="9"/>
      <c r="KWC251" s="4"/>
      <c r="KWD251" s="9"/>
      <c r="KWE251" s="4"/>
      <c r="KWF251" s="9"/>
      <c r="KWG251" s="4"/>
      <c r="KWH251" s="9"/>
      <c r="KWI251" s="4"/>
      <c r="KWJ251" s="9"/>
      <c r="KWK251" s="4"/>
      <c r="KWL251" s="9"/>
      <c r="KWM251" s="4"/>
      <c r="KWN251" s="9"/>
      <c r="KWO251" s="4"/>
      <c r="KWP251" s="9"/>
      <c r="KWQ251" s="4"/>
      <c r="KWR251" s="9"/>
      <c r="KWS251" s="4"/>
      <c r="KWT251" s="9"/>
      <c r="KWU251" s="4"/>
      <c r="KWV251" s="9"/>
      <c r="KWW251" s="4"/>
      <c r="KWX251" s="9"/>
      <c r="KWY251" s="4"/>
      <c r="KWZ251" s="9"/>
      <c r="KXA251" s="4"/>
      <c r="KXB251" s="9"/>
      <c r="KXC251" s="4"/>
      <c r="KXD251" s="9"/>
      <c r="KXE251" s="4"/>
      <c r="KXF251" s="9"/>
      <c r="KXG251" s="4"/>
      <c r="KXH251" s="9"/>
      <c r="KXI251" s="4"/>
      <c r="KXJ251" s="9"/>
      <c r="KXK251" s="4"/>
      <c r="KXL251" s="9"/>
      <c r="KXM251" s="4"/>
      <c r="KXN251" s="9"/>
      <c r="KXO251" s="4"/>
      <c r="KXP251" s="9"/>
      <c r="KXQ251" s="4"/>
      <c r="KXR251" s="9"/>
      <c r="KXS251" s="4"/>
      <c r="KXT251" s="9"/>
      <c r="KXU251" s="4"/>
      <c r="KXV251" s="9"/>
      <c r="KXW251" s="4"/>
      <c r="KXX251" s="9"/>
      <c r="KXY251" s="4"/>
      <c r="KXZ251" s="9"/>
      <c r="KYA251" s="4"/>
      <c r="KYB251" s="9"/>
      <c r="KYC251" s="4"/>
      <c r="KYD251" s="9"/>
      <c r="KYE251" s="4"/>
      <c r="KYF251" s="9"/>
      <c r="KYG251" s="4"/>
      <c r="KYH251" s="9"/>
      <c r="KYI251" s="4"/>
      <c r="KYJ251" s="9"/>
      <c r="KYK251" s="4"/>
      <c r="KYL251" s="9"/>
      <c r="KYM251" s="4"/>
      <c r="KYN251" s="9"/>
      <c r="KYO251" s="4"/>
      <c r="KYP251" s="9"/>
      <c r="KYQ251" s="4"/>
      <c r="KYR251" s="9"/>
      <c r="KYS251" s="4"/>
      <c r="KYT251" s="9"/>
      <c r="KYU251" s="4"/>
      <c r="KYV251" s="9"/>
      <c r="KYW251" s="4"/>
      <c r="KYX251" s="9"/>
      <c r="KYY251" s="4"/>
      <c r="KYZ251" s="9"/>
      <c r="KZA251" s="4"/>
      <c r="KZB251" s="9"/>
      <c r="KZC251" s="4"/>
      <c r="KZD251" s="9"/>
      <c r="KZE251" s="4"/>
      <c r="KZF251" s="9"/>
      <c r="KZG251" s="4"/>
      <c r="KZH251" s="9"/>
      <c r="KZI251" s="4"/>
      <c r="KZJ251" s="9"/>
      <c r="KZK251" s="4"/>
      <c r="KZL251" s="9"/>
      <c r="KZM251" s="4"/>
      <c r="KZN251" s="9"/>
      <c r="KZO251" s="4"/>
      <c r="KZP251" s="9"/>
      <c r="KZQ251" s="4"/>
      <c r="KZR251" s="9"/>
      <c r="KZS251" s="4"/>
      <c r="KZT251" s="9"/>
      <c r="KZU251" s="4"/>
      <c r="KZV251" s="9"/>
      <c r="KZW251" s="4"/>
      <c r="KZX251" s="9"/>
      <c r="KZY251" s="4"/>
      <c r="KZZ251" s="9"/>
      <c r="LAA251" s="4"/>
      <c r="LAB251" s="9"/>
      <c r="LAC251" s="4"/>
      <c r="LAD251" s="9"/>
      <c r="LAE251" s="4"/>
      <c r="LAF251" s="9"/>
      <c r="LAG251" s="4"/>
      <c r="LAH251" s="9"/>
      <c r="LAI251" s="4"/>
      <c r="LAJ251" s="9"/>
      <c r="LAK251" s="4"/>
      <c r="LAL251" s="9"/>
      <c r="LAM251" s="4"/>
      <c r="LAN251" s="9"/>
      <c r="LAO251" s="4"/>
      <c r="LAP251" s="9"/>
      <c r="LAQ251" s="4"/>
      <c r="LAR251" s="9"/>
      <c r="LAS251" s="4"/>
      <c r="LAT251" s="9"/>
      <c r="LAU251" s="4"/>
      <c r="LAV251" s="9"/>
      <c r="LAW251" s="4"/>
      <c r="LAX251" s="9"/>
      <c r="LAY251" s="4"/>
      <c r="LAZ251" s="9"/>
      <c r="LBA251" s="4"/>
      <c r="LBB251" s="9"/>
      <c r="LBC251" s="4"/>
      <c r="LBD251" s="9"/>
      <c r="LBE251" s="4"/>
      <c r="LBF251" s="9"/>
      <c r="LBG251" s="4"/>
      <c r="LBH251" s="9"/>
      <c r="LBI251" s="4"/>
      <c r="LBJ251" s="9"/>
      <c r="LBK251" s="4"/>
      <c r="LBL251" s="9"/>
      <c r="LBM251" s="4"/>
      <c r="LBN251" s="9"/>
      <c r="LBO251" s="4"/>
      <c r="LBP251" s="9"/>
      <c r="LBQ251" s="4"/>
      <c r="LBR251" s="9"/>
      <c r="LBS251" s="4"/>
      <c r="LBT251" s="9"/>
      <c r="LBU251" s="4"/>
      <c r="LBV251" s="9"/>
      <c r="LBW251" s="4"/>
      <c r="LBX251" s="9"/>
      <c r="LBY251" s="4"/>
      <c r="LBZ251" s="9"/>
      <c r="LCA251" s="4"/>
      <c r="LCB251" s="9"/>
      <c r="LCC251" s="4"/>
      <c r="LCD251" s="9"/>
      <c r="LCE251" s="4"/>
      <c r="LCF251" s="9"/>
      <c r="LCG251" s="4"/>
      <c r="LCH251" s="9"/>
      <c r="LCI251" s="4"/>
      <c r="LCJ251" s="9"/>
      <c r="LCK251" s="4"/>
      <c r="LCL251" s="9"/>
      <c r="LCM251" s="4"/>
      <c r="LCN251" s="9"/>
      <c r="LCO251" s="4"/>
      <c r="LCP251" s="9"/>
      <c r="LCQ251" s="4"/>
      <c r="LCR251" s="9"/>
      <c r="LCS251" s="4"/>
      <c r="LCT251" s="9"/>
      <c r="LCU251" s="4"/>
      <c r="LCV251" s="9"/>
      <c r="LCW251" s="4"/>
      <c r="LCX251" s="9"/>
      <c r="LCY251" s="4"/>
      <c r="LCZ251" s="9"/>
      <c r="LDA251" s="4"/>
      <c r="LDB251" s="9"/>
      <c r="LDC251" s="4"/>
      <c r="LDD251" s="9"/>
      <c r="LDE251" s="4"/>
      <c r="LDF251" s="9"/>
      <c r="LDG251" s="4"/>
      <c r="LDH251" s="9"/>
      <c r="LDI251" s="4"/>
      <c r="LDJ251" s="9"/>
      <c r="LDK251" s="4"/>
      <c r="LDL251" s="9"/>
      <c r="LDM251" s="4"/>
      <c r="LDN251" s="9"/>
      <c r="LDO251" s="4"/>
      <c r="LDP251" s="9"/>
      <c r="LDQ251" s="4"/>
      <c r="LDR251" s="9"/>
      <c r="LDS251" s="4"/>
      <c r="LDT251" s="9"/>
      <c r="LDU251" s="4"/>
      <c r="LDV251" s="9"/>
      <c r="LDW251" s="4"/>
      <c r="LDX251" s="9"/>
      <c r="LDY251" s="4"/>
      <c r="LDZ251" s="9"/>
      <c r="LEA251" s="4"/>
      <c r="LEB251" s="9"/>
      <c r="LEC251" s="4"/>
      <c r="LED251" s="9"/>
      <c r="LEE251" s="4"/>
      <c r="LEF251" s="9"/>
      <c r="LEG251" s="4"/>
      <c r="LEH251" s="9"/>
      <c r="LEI251" s="4"/>
      <c r="LEJ251" s="9"/>
      <c r="LEK251" s="4"/>
      <c r="LEL251" s="9"/>
      <c r="LEM251" s="4"/>
      <c r="LEN251" s="9"/>
      <c r="LEO251" s="4"/>
      <c r="LEP251" s="9"/>
      <c r="LEQ251" s="4"/>
      <c r="LER251" s="9"/>
      <c r="LES251" s="4"/>
      <c r="LET251" s="9"/>
      <c r="LEU251" s="4"/>
      <c r="LEV251" s="9"/>
      <c r="LEW251" s="4"/>
      <c r="LEX251" s="9"/>
      <c r="LEY251" s="4"/>
      <c r="LEZ251" s="9"/>
      <c r="LFA251" s="4"/>
      <c r="LFB251" s="9"/>
      <c r="LFC251" s="4"/>
      <c r="LFD251" s="9"/>
      <c r="LFE251" s="4"/>
      <c r="LFF251" s="9"/>
      <c r="LFG251" s="4"/>
      <c r="LFH251" s="9"/>
      <c r="LFI251" s="4"/>
      <c r="LFJ251" s="9"/>
      <c r="LFK251" s="4"/>
      <c r="LFL251" s="9"/>
      <c r="LFM251" s="4"/>
      <c r="LFN251" s="9"/>
      <c r="LFO251" s="4"/>
      <c r="LFP251" s="9"/>
      <c r="LFQ251" s="4"/>
      <c r="LFR251" s="9"/>
      <c r="LFS251" s="4"/>
      <c r="LFT251" s="9"/>
      <c r="LFU251" s="4"/>
      <c r="LFV251" s="9"/>
      <c r="LFW251" s="4"/>
      <c r="LFX251" s="9"/>
      <c r="LFY251" s="4"/>
      <c r="LFZ251" s="9"/>
      <c r="LGA251" s="4"/>
      <c r="LGB251" s="9"/>
      <c r="LGC251" s="4"/>
      <c r="LGD251" s="9"/>
      <c r="LGE251" s="4"/>
      <c r="LGF251" s="9"/>
      <c r="LGG251" s="4"/>
      <c r="LGH251" s="9"/>
      <c r="LGI251" s="4"/>
      <c r="LGJ251" s="9"/>
      <c r="LGK251" s="4"/>
      <c r="LGL251" s="9"/>
      <c r="LGM251" s="4"/>
      <c r="LGN251" s="9"/>
      <c r="LGO251" s="4"/>
      <c r="LGP251" s="9"/>
      <c r="LGQ251" s="4"/>
      <c r="LGR251" s="9"/>
      <c r="LGS251" s="4"/>
      <c r="LGT251" s="9"/>
      <c r="LGU251" s="4"/>
      <c r="LGV251" s="9"/>
      <c r="LGW251" s="4"/>
      <c r="LGX251" s="9"/>
      <c r="LGY251" s="4"/>
      <c r="LGZ251" s="9"/>
      <c r="LHA251" s="4"/>
      <c r="LHB251" s="9"/>
      <c r="LHC251" s="4"/>
      <c r="LHD251" s="9"/>
      <c r="LHE251" s="4"/>
      <c r="LHF251" s="9"/>
      <c r="LHG251" s="4"/>
      <c r="LHH251" s="9"/>
      <c r="LHI251" s="4"/>
      <c r="LHJ251" s="9"/>
      <c r="LHK251" s="4"/>
      <c r="LHL251" s="9"/>
      <c r="LHM251" s="4"/>
      <c r="LHN251" s="9"/>
      <c r="LHO251" s="4"/>
      <c r="LHP251" s="9"/>
      <c r="LHQ251" s="4"/>
      <c r="LHR251" s="9"/>
      <c r="LHS251" s="4"/>
      <c r="LHT251" s="9"/>
      <c r="LHU251" s="4"/>
      <c r="LHV251" s="9"/>
      <c r="LHW251" s="4"/>
      <c r="LHX251" s="9"/>
      <c r="LHY251" s="4"/>
      <c r="LHZ251" s="9"/>
      <c r="LIA251" s="4"/>
      <c r="LIB251" s="9"/>
      <c r="LIC251" s="4"/>
      <c r="LID251" s="9"/>
      <c r="LIE251" s="4"/>
      <c r="LIF251" s="9"/>
      <c r="LIG251" s="4"/>
      <c r="LIH251" s="9"/>
      <c r="LII251" s="4"/>
      <c r="LIJ251" s="9"/>
      <c r="LIK251" s="4"/>
      <c r="LIL251" s="9"/>
      <c r="LIM251" s="4"/>
      <c r="LIN251" s="9"/>
      <c r="LIO251" s="4"/>
      <c r="LIP251" s="9"/>
      <c r="LIQ251" s="4"/>
      <c r="LIR251" s="9"/>
      <c r="LIS251" s="4"/>
      <c r="LIT251" s="9"/>
      <c r="LIU251" s="4"/>
      <c r="LIV251" s="9"/>
      <c r="LIW251" s="4"/>
      <c r="LIX251" s="9"/>
      <c r="LIY251" s="4"/>
      <c r="LIZ251" s="9"/>
      <c r="LJA251" s="4"/>
      <c r="LJB251" s="9"/>
      <c r="LJC251" s="4"/>
      <c r="LJD251" s="9"/>
      <c r="LJE251" s="4"/>
      <c r="LJF251" s="9"/>
      <c r="LJG251" s="4"/>
      <c r="LJH251" s="9"/>
      <c r="LJI251" s="4"/>
      <c r="LJJ251" s="9"/>
      <c r="LJK251" s="4"/>
      <c r="LJL251" s="9"/>
      <c r="LJM251" s="4"/>
      <c r="LJN251" s="9"/>
      <c r="LJO251" s="4"/>
      <c r="LJP251" s="9"/>
      <c r="LJQ251" s="4"/>
      <c r="LJR251" s="9"/>
      <c r="LJS251" s="4"/>
      <c r="LJT251" s="9"/>
      <c r="LJU251" s="4"/>
      <c r="LJV251" s="9"/>
      <c r="LJW251" s="4"/>
      <c r="LJX251" s="9"/>
      <c r="LJY251" s="4"/>
      <c r="LJZ251" s="9"/>
      <c r="LKA251" s="4"/>
      <c r="LKB251" s="9"/>
      <c r="LKC251" s="4"/>
      <c r="LKD251" s="9"/>
      <c r="LKE251" s="4"/>
      <c r="LKF251" s="9"/>
      <c r="LKG251" s="4"/>
      <c r="LKH251" s="9"/>
      <c r="LKI251" s="4"/>
      <c r="LKJ251" s="9"/>
      <c r="LKK251" s="4"/>
      <c r="LKL251" s="9"/>
      <c r="LKM251" s="4"/>
      <c r="LKN251" s="9"/>
      <c r="LKO251" s="4"/>
      <c r="LKP251" s="9"/>
      <c r="LKQ251" s="4"/>
      <c r="LKR251" s="9"/>
      <c r="LKS251" s="4"/>
      <c r="LKT251" s="9"/>
      <c r="LKU251" s="4"/>
      <c r="LKV251" s="9"/>
      <c r="LKW251" s="4"/>
      <c r="LKX251" s="9"/>
      <c r="LKY251" s="4"/>
      <c r="LKZ251" s="9"/>
      <c r="LLA251" s="4"/>
      <c r="LLB251" s="9"/>
      <c r="LLC251" s="4"/>
      <c r="LLD251" s="9"/>
      <c r="LLE251" s="4"/>
      <c r="LLF251" s="9"/>
      <c r="LLG251" s="4"/>
      <c r="LLH251" s="9"/>
      <c r="LLI251" s="4"/>
      <c r="LLJ251" s="9"/>
      <c r="LLK251" s="4"/>
      <c r="LLL251" s="9"/>
      <c r="LLM251" s="4"/>
      <c r="LLN251" s="9"/>
      <c r="LLO251" s="4"/>
      <c r="LLP251" s="9"/>
      <c r="LLQ251" s="4"/>
      <c r="LLR251" s="9"/>
      <c r="LLS251" s="4"/>
      <c r="LLT251" s="9"/>
      <c r="LLU251" s="4"/>
      <c r="LLV251" s="9"/>
      <c r="LLW251" s="4"/>
      <c r="LLX251" s="9"/>
      <c r="LLY251" s="4"/>
      <c r="LLZ251" s="9"/>
      <c r="LMA251" s="4"/>
      <c r="LMB251" s="9"/>
      <c r="LMC251" s="4"/>
      <c r="LMD251" s="9"/>
      <c r="LME251" s="4"/>
      <c r="LMF251" s="9"/>
      <c r="LMG251" s="4"/>
      <c r="LMH251" s="9"/>
      <c r="LMI251" s="4"/>
      <c r="LMJ251" s="9"/>
      <c r="LMK251" s="4"/>
      <c r="LML251" s="9"/>
      <c r="LMM251" s="4"/>
      <c r="LMN251" s="9"/>
      <c r="LMO251" s="4"/>
      <c r="LMP251" s="9"/>
      <c r="LMQ251" s="4"/>
      <c r="LMR251" s="9"/>
      <c r="LMS251" s="4"/>
      <c r="LMT251" s="9"/>
      <c r="LMU251" s="4"/>
      <c r="LMV251" s="9"/>
      <c r="LMW251" s="4"/>
      <c r="LMX251" s="9"/>
      <c r="LMY251" s="4"/>
      <c r="LMZ251" s="9"/>
      <c r="LNA251" s="4"/>
      <c r="LNB251" s="9"/>
      <c r="LNC251" s="4"/>
      <c r="LND251" s="9"/>
      <c r="LNE251" s="4"/>
      <c r="LNF251" s="9"/>
      <c r="LNG251" s="4"/>
      <c r="LNH251" s="9"/>
      <c r="LNI251" s="4"/>
      <c r="LNJ251" s="9"/>
      <c r="LNK251" s="4"/>
      <c r="LNL251" s="9"/>
      <c r="LNM251" s="4"/>
      <c r="LNN251" s="9"/>
      <c r="LNO251" s="4"/>
      <c r="LNP251" s="9"/>
      <c r="LNQ251" s="4"/>
      <c r="LNR251" s="9"/>
      <c r="LNS251" s="4"/>
      <c r="LNT251" s="9"/>
      <c r="LNU251" s="4"/>
      <c r="LNV251" s="9"/>
      <c r="LNW251" s="4"/>
      <c r="LNX251" s="9"/>
      <c r="LNY251" s="4"/>
      <c r="LNZ251" s="9"/>
      <c r="LOA251" s="4"/>
      <c r="LOB251" s="9"/>
      <c r="LOC251" s="4"/>
      <c r="LOD251" s="9"/>
      <c r="LOE251" s="4"/>
      <c r="LOF251" s="9"/>
      <c r="LOG251" s="4"/>
      <c r="LOH251" s="9"/>
      <c r="LOI251" s="4"/>
      <c r="LOJ251" s="9"/>
      <c r="LOK251" s="4"/>
      <c r="LOL251" s="9"/>
      <c r="LOM251" s="4"/>
      <c r="LON251" s="9"/>
      <c r="LOO251" s="4"/>
      <c r="LOP251" s="9"/>
      <c r="LOQ251" s="4"/>
      <c r="LOR251" s="9"/>
      <c r="LOS251" s="4"/>
      <c r="LOT251" s="9"/>
      <c r="LOU251" s="4"/>
      <c r="LOV251" s="9"/>
      <c r="LOW251" s="4"/>
      <c r="LOX251" s="9"/>
      <c r="LOY251" s="4"/>
      <c r="LOZ251" s="9"/>
      <c r="LPA251" s="4"/>
      <c r="LPB251" s="9"/>
      <c r="LPC251" s="4"/>
      <c r="LPD251" s="9"/>
      <c r="LPE251" s="4"/>
      <c r="LPF251" s="9"/>
      <c r="LPG251" s="4"/>
      <c r="LPH251" s="9"/>
      <c r="LPI251" s="4"/>
      <c r="LPJ251" s="9"/>
      <c r="LPK251" s="4"/>
      <c r="LPL251" s="9"/>
      <c r="LPM251" s="4"/>
      <c r="LPN251" s="9"/>
      <c r="LPO251" s="4"/>
      <c r="LPP251" s="9"/>
      <c r="LPQ251" s="4"/>
      <c r="LPR251" s="9"/>
      <c r="LPS251" s="4"/>
      <c r="LPT251" s="9"/>
      <c r="LPU251" s="4"/>
      <c r="LPV251" s="9"/>
      <c r="LPW251" s="4"/>
      <c r="LPX251" s="9"/>
      <c r="LPY251" s="4"/>
      <c r="LPZ251" s="9"/>
      <c r="LQA251" s="4"/>
      <c r="LQB251" s="9"/>
      <c r="LQC251" s="4"/>
      <c r="LQD251" s="9"/>
      <c r="LQE251" s="4"/>
      <c r="LQF251" s="9"/>
      <c r="LQG251" s="4"/>
      <c r="LQH251" s="9"/>
      <c r="LQI251" s="4"/>
      <c r="LQJ251" s="9"/>
      <c r="LQK251" s="4"/>
      <c r="LQL251" s="9"/>
      <c r="LQM251" s="4"/>
      <c r="LQN251" s="9"/>
      <c r="LQO251" s="4"/>
      <c r="LQP251" s="9"/>
      <c r="LQQ251" s="4"/>
      <c r="LQR251" s="9"/>
      <c r="LQS251" s="4"/>
      <c r="LQT251" s="9"/>
      <c r="LQU251" s="4"/>
      <c r="LQV251" s="9"/>
      <c r="LQW251" s="4"/>
      <c r="LQX251" s="9"/>
      <c r="LQY251" s="4"/>
      <c r="LQZ251" s="9"/>
      <c r="LRA251" s="4"/>
      <c r="LRB251" s="9"/>
      <c r="LRC251" s="4"/>
      <c r="LRD251" s="9"/>
      <c r="LRE251" s="4"/>
      <c r="LRF251" s="9"/>
      <c r="LRG251" s="4"/>
      <c r="LRH251" s="9"/>
      <c r="LRI251" s="4"/>
      <c r="LRJ251" s="9"/>
      <c r="LRK251" s="4"/>
      <c r="LRL251" s="9"/>
      <c r="LRM251" s="4"/>
      <c r="LRN251" s="9"/>
      <c r="LRO251" s="4"/>
      <c r="LRP251" s="9"/>
      <c r="LRQ251" s="4"/>
      <c r="LRR251" s="9"/>
      <c r="LRS251" s="4"/>
      <c r="LRT251" s="9"/>
      <c r="LRU251" s="4"/>
      <c r="LRV251" s="9"/>
      <c r="LRW251" s="4"/>
      <c r="LRX251" s="9"/>
      <c r="LRY251" s="4"/>
      <c r="LRZ251" s="9"/>
      <c r="LSA251" s="4"/>
      <c r="LSB251" s="9"/>
      <c r="LSC251" s="4"/>
      <c r="LSD251" s="9"/>
      <c r="LSE251" s="4"/>
      <c r="LSF251" s="9"/>
      <c r="LSG251" s="4"/>
      <c r="LSH251" s="9"/>
      <c r="LSI251" s="4"/>
      <c r="LSJ251" s="9"/>
      <c r="LSK251" s="4"/>
      <c r="LSL251" s="9"/>
      <c r="LSM251" s="4"/>
      <c r="LSN251" s="9"/>
      <c r="LSO251" s="4"/>
      <c r="LSP251" s="9"/>
      <c r="LSQ251" s="4"/>
      <c r="LSR251" s="9"/>
      <c r="LSS251" s="4"/>
      <c r="LST251" s="9"/>
      <c r="LSU251" s="4"/>
      <c r="LSV251" s="9"/>
      <c r="LSW251" s="4"/>
      <c r="LSX251" s="9"/>
      <c r="LSY251" s="4"/>
      <c r="LSZ251" s="9"/>
      <c r="LTA251" s="4"/>
      <c r="LTB251" s="9"/>
      <c r="LTC251" s="4"/>
      <c r="LTD251" s="9"/>
      <c r="LTE251" s="4"/>
      <c r="LTF251" s="9"/>
      <c r="LTG251" s="4"/>
      <c r="LTH251" s="9"/>
      <c r="LTI251" s="4"/>
      <c r="LTJ251" s="9"/>
      <c r="LTK251" s="4"/>
      <c r="LTL251" s="9"/>
      <c r="LTM251" s="4"/>
      <c r="LTN251" s="9"/>
      <c r="LTO251" s="4"/>
      <c r="LTP251" s="9"/>
      <c r="LTQ251" s="4"/>
      <c r="LTR251" s="9"/>
      <c r="LTS251" s="4"/>
      <c r="LTT251" s="9"/>
      <c r="LTU251" s="4"/>
      <c r="LTV251" s="9"/>
      <c r="LTW251" s="4"/>
      <c r="LTX251" s="9"/>
      <c r="LTY251" s="4"/>
      <c r="LTZ251" s="9"/>
      <c r="LUA251" s="4"/>
      <c r="LUB251" s="9"/>
      <c r="LUC251" s="4"/>
      <c r="LUD251" s="9"/>
      <c r="LUE251" s="4"/>
      <c r="LUF251" s="9"/>
      <c r="LUG251" s="4"/>
      <c r="LUH251" s="9"/>
      <c r="LUI251" s="4"/>
      <c r="LUJ251" s="9"/>
      <c r="LUK251" s="4"/>
      <c r="LUL251" s="9"/>
      <c r="LUM251" s="4"/>
      <c r="LUN251" s="9"/>
      <c r="LUO251" s="4"/>
      <c r="LUP251" s="9"/>
      <c r="LUQ251" s="4"/>
      <c r="LUR251" s="9"/>
      <c r="LUS251" s="4"/>
      <c r="LUT251" s="9"/>
      <c r="LUU251" s="4"/>
      <c r="LUV251" s="9"/>
      <c r="LUW251" s="4"/>
      <c r="LUX251" s="9"/>
      <c r="LUY251" s="4"/>
      <c r="LUZ251" s="9"/>
      <c r="LVA251" s="4"/>
      <c r="LVB251" s="9"/>
      <c r="LVC251" s="4"/>
      <c r="LVD251" s="9"/>
      <c r="LVE251" s="4"/>
      <c r="LVF251" s="9"/>
      <c r="LVG251" s="4"/>
      <c r="LVH251" s="9"/>
      <c r="LVI251" s="4"/>
      <c r="LVJ251" s="9"/>
      <c r="LVK251" s="4"/>
      <c r="LVL251" s="9"/>
      <c r="LVM251" s="4"/>
      <c r="LVN251" s="9"/>
      <c r="LVO251" s="4"/>
      <c r="LVP251" s="9"/>
      <c r="LVQ251" s="4"/>
      <c r="LVR251" s="9"/>
      <c r="LVS251" s="4"/>
      <c r="LVT251" s="9"/>
      <c r="LVU251" s="4"/>
      <c r="LVV251" s="9"/>
      <c r="LVW251" s="4"/>
      <c r="LVX251" s="9"/>
      <c r="LVY251" s="4"/>
      <c r="LVZ251" s="9"/>
      <c r="LWA251" s="4"/>
      <c r="LWB251" s="9"/>
      <c r="LWC251" s="4"/>
      <c r="LWD251" s="9"/>
      <c r="LWE251" s="4"/>
      <c r="LWF251" s="9"/>
      <c r="LWG251" s="4"/>
      <c r="LWH251" s="9"/>
      <c r="LWI251" s="4"/>
      <c r="LWJ251" s="9"/>
      <c r="LWK251" s="4"/>
      <c r="LWL251" s="9"/>
      <c r="LWM251" s="4"/>
      <c r="LWN251" s="9"/>
      <c r="LWO251" s="4"/>
      <c r="LWP251" s="9"/>
      <c r="LWQ251" s="4"/>
      <c r="LWR251" s="9"/>
      <c r="LWS251" s="4"/>
      <c r="LWT251" s="9"/>
      <c r="LWU251" s="4"/>
      <c r="LWV251" s="9"/>
      <c r="LWW251" s="4"/>
      <c r="LWX251" s="9"/>
      <c r="LWY251" s="4"/>
      <c r="LWZ251" s="9"/>
      <c r="LXA251" s="4"/>
      <c r="LXB251" s="9"/>
      <c r="LXC251" s="4"/>
      <c r="LXD251" s="9"/>
      <c r="LXE251" s="4"/>
      <c r="LXF251" s="9"/>
      <c r="LXG251" s="4"/>
      <c r="LXH251" s="9"/>
      <c r="LXI251" s="4"/>
      <c r="LXJ251" s="9"/>
      <c r="LXK251" s="4"/>
      <c r="LXL251" s="9"/>
      <c r="LXM251" s="4"/>
      <c r="LXN251" s="9"/>
      <c r="LXO251" s="4"/>
      <c r="LXP251" s="9"/>
      <c r="LXQ251" s="4"/>
      <c r="LXR251" s="9"/>
      <c r="LXS251" s="4"/>
      <c r="LXT251" s="9"/>
      <c r="LXU251" s="4"/>
      <c r="LXV251" s="9"/>
      <c r="LXW251" s="4"/>
      <c r="LXX251" s="9"/>
      <c r="LXY251" s="4"/>
      <c r="LXZ251" s="9"/>
      <c r="LYA251" s="4"/>
      <c r="LYB251" s="9"/>
      <c r="LYC251" s="4"/>
      <c r="LYD251" s="9"/>
      <c r="LYE251" s="4"/>
      <c r="LYF251" s="9"/>
      <c r="LYG251" s="4"/>
      <c r="LYH251" s="9"/>
      <c r="LYI251" s="4"/>
      <c r="LYJ251" s="9"/>
      <c r="LYK251" s="4"/>
      <c r="LYL251" s="9"/>
      <c r="LYM251" s="4"/>
      <c r="LYN251" s="9"/>
      <c r="LYO251" s="4"/>
      <c r="LYP251" s="9"/>
      <c r="LYQ251" s="4"/>
      <c r="LYR251" s="9"/>
      <c r="LYS251" s="4"/>
      <c r="LYT251" s="9"/>
      <c r="LYU251" s="4"/>
      <c r="LYV251" s="9"/>
      <c r="LYW251" s="4"/>
      <c r="LYX251" s="9"/>
      <c r="LYY251" s="4"/>
      <c r="LYZ251" s="9"/>
      <c r="LZA251" s="4"/>
      <c r="LZB251" s="9"/>
      <c r="LZC251" s="4"/>
      <c r="LZD251" s="9"/>
      <c r="LZE251" s="4"/>
      <c r="LZF251" s="9"/>
      <c r="LZG251" s="4"/>
      <c r="LZH251" s="9"/>
      <c r="LZI251" s="4"/>
      <c r="LZJ251" s="9"/>
      <c r="LZK251" s="4"/>
      <c r="LZL251" s="9"/>
      <c r="LZM251" s="4"/>
      <c r="LZN251" s="9"/>
      <c r="LZO251" s="4"/>
      <c r="LZP251" s="9"/>
      <c r="LZQ251" s="4"/>
      <c r="LZR251" s="9"/>
      <c r="LZS251" s="4"/>
      <c r="LZT251" s="9"/>
      <c r="LZU251" s="4"/>
      <c r="LZV251" s="9"/>
      <c r="LZW251" s="4"/>
      <c r="LZX251" s="9"/>
      <c r="LZY251" s="4"/>
      <c r="LZZ251" s="9"/>
      <c r="MAA251" s="4"/>
      <c r="MAB251" s="9"/>
      <c r="MAC251" s="4"/>
      <c r="MAD251" s="9"/>
      <c r="MAE251" s="4"/>
      <c r="MAF251" s="9"/>
      <c r="MAG251" s="4"/>
      <c r="MAH251" s="9"/>
      <c r="MAI251" s="4"/>
      <c r="MAJ251" s="9"/>
      <c r="MAK251" s="4"/>
      <c r="MAL251" s="9"/>
      <c r="MAM251" s="4"/>
      <c r="MAN251" s="9"/>
      <c r="MAO251" s="4"/>
      <c r="MAP251" s="9"/>
      <c r="MAQ251" s="4"/>
      <c r="MAR251" s="9"/>
      <c r="MAS251" s="4"/>
      <c r="MAT251" s="9"/>
      <c r="MAU251" s="4"/>
      <c r="MAV251" s="9"/>
      <c r="MAW251" s="4"/>
      <c r="MAX251" s="9"/>
      <c r="MAY251" s="4"/>
      <c r="MAZ251" s="9"/>
      <c r="MBA251" s="4"/>
      <c r="MBB251" s="9"/>
      <c r="MBC251" s="4"/>
      <c r="MBD251" s="9"/>
      <c r="MBE251" s="4"/>
      <c r="MBF251" s="9"/>
      <c r="MBG251" s="4"/>
      <c r="MBH251" s="9"/>
      <c r="MBI251" s="4"/>
      <c r="MBJ251" s="9"/>
      <c r="MBK251" s="4"/>
      <c r="MBL251" s="9"/>
      <c r="MBM251" s="4"/>
      <c r="MBN251" s="9"/>
      <c r="MBO251" s="4"/>
      <c r="MBP251" s="9"/>
      <c r="MBQ251" s="4"/>
      <c r="MBR251" s="9"/>
      <c r="MBS251" s="4"/>
      <c r="MBT251" s="9"/>
      <c r="MBU251" s="4"/>
      <c r="MBV251" s="9"/>
      <c r="MBW251" s="4"/>
      <c r="MBX251" s="9"/>
      <c r="MBY251" s="4"/>
      <c r="MBZ251" s="9"/>
      <c r="MCA251" s="4"/>
      <c r="MCB251" s="9"/>
      <c r="MCC251" s="4"/>
      <c r="MCD251" s="9"/>
      <c r="MCE251" s="4"/>
      <c r="MCF251" s="9"/>
      <c r="MCG251" s="4"/>
      <c r="MCH251" s="9"/>
      <c r="MCI251" s="4"/>
      <c r="MCJ251" s="9"/>
      <c r="MCK251" s="4"/>
      <c r="MCL251" s="9"/>
      <c r="MCM251" s="4"/>
      <c r="MCN251" s="9"/>
      <c r="MCO251" s="4"/>
      <c r="MCP251" s="9"/>
      <c r="MCQ251" s="4"/>
      <c r="MCR251" s="9"/>
      <c r="MCS251" s="4"/>
      <c r="MCT251" s="9"/>
      <c r="MCU251" s="4"/>
      <c r="MCV251" s="9"/>
      <c r="MCW251" s="4"/>
      <c r="MCX251" s="9"/>
      <c r="MCY251" s="4"/>
      <c r="MCZ251" s="9"/>
      <c r="MDA251" s="4"/>
      <c r="MDB251" s="9"/>
      <c r="MDC251" s="4"/>
      <c r="MDD251" s="9"/>
      <c r="MDE251" s="4"/>
      <c r="MDF251" s="9"/>
      <c r="MDG251" s="4"/>
      <c r="MDH251" s="9"/>
      <c r="MDI251" s="4"/>
      <c r="MDJ251" s="9"/>
      <c r="MDK251" s="4"/>
      <c r="MDL251" s="9"/>
      <c r="MDM251" s="4"/>
      <c r="MDN251" s="9"/>
      <c r="MDO251" s="4"/>
      <c r="MDP251" s="9"/>
      <c r="MDQ251" s="4"/>
      <c r="MDR251" s="9"/>
      <c r="MDS251" s="4"/>
      <c r="MDT251" s="9"/>
      <c r="MDU251" s="4"/>
      <c r="MDV251" s="9"/>
      <c r="MDW251" s="4"/>
      <c r="MDX251" s="9"/>
      <c r="MDY251" s="4"/>
      <c r="MDZ251" s="9"/>
      <c r="MEA251" s="4"/>
      <c r="MEB251" s="9"/>
      <c r="MEC251" s="4"/>
      <c r="MED251" s="9"/>
      <c r="MEE251" s="4"/>
      <c r="MEF251" s="9"/>
      <c r="MEG251" s="4"/>
      <c r="MEH251" s="9"/>
      <c r="MEI251" s="4"/>
      <c r="MEJ251" s="9"/>
      <c r="MEK251" s="4"/>
      <c r="MEL251" s="9"/>
      <c r="MEM251" s="4"/>
      <c r="MEN251" s="9"/>
      <c r="MEO251" s="4"/>
      <c r="MEP251" s="9"/>
      <c r="MEQ251" s="4"/>
      <c r="MER251" s="9"/>
      <c r="MES251" s="4"/>
      <c r="MET251" s="9"/>
      <c r="MEU251" s="4"/>
      <c r="MEV251" s="9"/>
      <c r="MEW251" s="4"/>
      <c r="MEX251" s="9"/>
      <c r="MEY251" s="4"/>
      <c r="MEZ251" s="9"/>
      <c r="MFA251" s="4"/>
      <c r="MFB251" s="9"/>
      <c r="MFC251" s="4"/>
      <c r="MFD251" s="9"/>
      <c r="MFE251" s="4"/>
      <c r="MFF251" s="9"/>
      <c r="MFG251" s="4"/>
      <c r="MFH251" s="9"/>
      <c r="MFI251" s="4"/>
      <c r="MFJ251" s="9"/>
      <c r="MFK251" s="4"/>
      <c r="MFL251" s="9"/>
      <c r="MFM251" s="4"/>
      <c r="MFN251" s="9"/>
      <c r="MFO251" s="4"/>
      <c r="MFP251" s="9"/>
      <c r="MFQ251" s="4"/>
      <c r="MFR251" s="9"/>
      <c r="MFS251" s="4"/>
      <c r="MFT251" s="9"/>
      <c r="MFU251" s="4"/>
      <c r="MFV251" s="9"/>
      <c r="MFW251" s="4"/>
      <c r="MFX251" s="9"/>
      <c r="MFY251" s="4"/>
      <c r="MFZ251" s="9"/>
      <c r="MGA251" s="4"/>
      <c r="MGB251" s="9"/>
      <c r="MGC251" s="4"/>
      <c r="MGD251" s="9"/>
      <c r="MGE251" s="4"/>
      <c r="MGF251" s="9"/>
      <c r="MGG251" s="4"/>
      <c r="MGH251" s="9"/>
      <c r="MGI251" s="4"/>
      <c r="MGJ251" s="9"/>
      <c r="MGK251" s="4"/>
      <c r="MGL251" s="9"/>
      <c r="MGM251" s="4"/>
      <c r="MGN251" s="9"/>
      <c r="MGO251" s="4"/>
      <c r="MGP251" s="9"/>
      <c r="MGQ251" s="4"/>
      <c r="MGR251" s="9"/>
      <c r="MGS251" s="4"/>
      <c r="MGT251" s="9"/>
      <c r="MGU251" s="4"/>
      <c r="MGV251" s="9"/>
      <c r="MGW251" s="4"/>
      <c r="MGX251" s="9"/>
      <c r="MGY251" s="4"/>
      <c r="MGZ251" s="9"/>
      <c r="MHA251" s="4"/>
      <c r="MHB251" s="9"/>
      <c r="MHC251" s="4"/>
      <c r="MHD251" s="9"/>
      <c r="MHE251" s="4"/>
      <c r="MHF251" s="9"/>
      <c r="MHG251" s="4"/>
      <c r="MHH251" s="9"/>
      <c r="MHI251" s="4"/>
      <c r="MHJ251" s="9"/>
      <c r="MHK251" s="4"/>
      <c r="MHL251" s="9"/>
      <c r="MHM251" s="4"/>
      <c r="MHN251" s="9"/>
      <c r="MHO251" s="4"/>
      <c r="MHP251" s="9"/>
      <c r="MHQ251" s="4"/>
      <c r="MHR251" s="9"/>
      <c r="MHS251" s="4"/>
      <c r="MHT251" s="9"/>
      <c r="MHU251" s="4"/>
      <c r="MHV251" s="9"/>
      <c r="MHW251" s="4"/>
      <c r="MHX251" s="9"/>
      <c r="MHY251" s="4"/>
      <c r="MHZ251" s="9"/>
      <c r="MIA251" s="4"/>
      <c r="MIB251" s="9"/>
      <c r="MIC251" s="4"/>
      <c r="MID251" s="9"/>
      <c r="MIE251" s="4"/>
      <c r="MIF251" s="9"/>
      <c r="MIG251" s="4"/>
      <c r="MIH251" s="9"/>
      <c r="MII251" s="4"/>
      <c r="MIJ251" s="9"/>
      <c r="MIK251" s="4"/>
      <c r="MIL251" s="9"/>
      <c r="MIM251" s="4"/>
      <c r="MIN251" s="9"/>
      <c r="MIO251" s="4"/>
      <c r="MIP251" s="9"/>
      <c r="MIQ251" s="4"/>
      <c r="MIR251" s="9"/>
      <c r="MIS251" s="4"/>
      <c r="MIT251" s="9"/>
      <c r="MIU251" s="4"/>
      <c r="MIV251" s="9"/>
      <c r="MIW251" s="4"/>
      <c r="MIX251" s="9"/>
      <c r="MIY251" s="4"/>
      <c r="MIZ251" s="9"/>
      <c r="MJA251" s="4"/>
      <c r="MJB251" s="9"/>
      <c r="MJC251" s="4"/>
      <c r="MJD251" s="9"/>
      <c r="MJE251" s="4"/>
      <c r="MJF251" s="9"/>
      <c r="MJG251" s="4"/>
      <c r="MJH251" s="9"/>
      <c r="MJI251" s="4"/>
      <c r="MJJ251" s="9"/>
      <c r="MJK251" s="4"/>
      <c r="MJL251" s="9"/>
      <c r="MJM251" s="4"/>
      <c r="MJN251" s="9"/>
      <c r="MJO251" s="4"/>
      <c r="MJP251" s="9"/>
      <c r="MJQ251" s="4"/>
      <c r="MJR251" s="9"/>
      <c r="MJS251" s="4"/>
      <c r="MJT251" s="9"/>
      <c r="MJU251" s="4"/>
      <c r="MJV251" s="9"/>
      <c r="MJW251" s="4"/>
      <c r="MJX251" s="9"/>
      <c r="MJY251" s="4"/>
      <c r="MJZ251" s="9"/>
      <c r="MKA251" s="4"/>
      <c r="MKB251" s="9"/>
      <c r="MKC251" s="4"/>
      <c r="MKD251" s="9"/>
      <c r="MKE251" s="4"/>
      <c r="MKF251" s="9"/>
      <c r="MKG251" s="4"/>
      <c r="MKH251" s="9"/>
      <c r="MKI251" s="4"/>
      <c r="MKJ251" s="9"/>
      <c r="MKK251" s="4"/>
      <c r="MKL251" s="9"/>
      <c r="MKM251" s="4"/>
      <c r="MKN251" s="9"/>
      <c r="MKO251" s="4"/>
      <c r="MKP251" s="9"/>
      <c r="MKQ251" s="4"/>
      <c r="MKR251" s="9"/>
      <c r="MKS251" s="4"/>
      <c r="MKT251" s="9"/>
      <c r="MKU251" s="4"/>
      <c r="MKV251" s="9"/>
      <c r="MKW251" s="4"/>
      <c r="MKX251" s="9"/>
      <c r="MKY251" s="4"/>
      <c r="MKZ251" s="9"/>
      <c r="MLA251" s="4"/>
      <c r="MLB251" s="9"/>
      <c r="MLC251" s="4"/>
      <c r="MLD251" s="9"/>
      <c r="MLE251" s="4"/>
      <c r="MLF251" s="9"/>
      <c r="MLG251" s="4"/>
      <c r="MLH251" s="9"/>
      <c r="MLI251" s="4"/>
      <c r="MLJ251" s="9"/>
      <c r="MLK251" s="4"/>
      <c r="MLL251" s="9"/>
      <c r="MLM251" s="4"/>
      <c r="MLN251" s="9"/>
      <c r="MLO251" s="4"/>
      <c r="MLP251" s="9"/>
      <c r="MLQ251" s="4"/>
      <c r="MLR251" s="9"/>
      <c r="MLS251" s="4"/>
      <c r="MLT251" s="9"/>
      <c r="MLU251" s="4"/>
      <c r="MLV251" s="9"/>
      <c r="MLW251" s="4"/>
      <c r="MLX251" s="9"/>
      <c r="MLY251" s="4"/>
      <c r="MLZ251" s="9"/>
      <c r="MMA251" s="4"/>
      <c r="MMB251" s="9"/>
      <c r="MMC251" s="4"/>
      <c r="MMD251" s="9"/>
      <c r="MME251" s="4"/>
      <c r="MMF251" s="9"/>
      <c r="MMG251" s="4"/>
      <c r="MMH251" s="9"/>
      <c r="MMI251" s="4"/>
      <c r="MMJ251" s="9"/>
      <c r="MMK251" s="4"/>
      <c r="MML251" s="9"/>
      <c r="MMM251" s="4"/>
      <c r="MMN251" s="9"/>
      <c r="MMO251" s="4"/>
      <c r="MMP251" s="9"/>
      <c r="MMQ251" s="4"/>
      <c r="MMR251" s="9"/>
      <c r="MMS251" s="4"/>
      <c r="MMT251" s="9"/>
      <c r="MMU251" s="4"/>
      <c r="MMV251" s="9"/>
      <c r="MMW251" s="4"/>
      <c r="MMX251" s="9"/>
      <c r="MMY251" s="4"/>
      <c r="MMZ251" s="9"/>
      <c r="MNA251" s="4"/>
      <c r="MNB251" s="9"/>
      <c r="MNC251" s="4"/>
      <c r="MND251" s="9"/>
      <c r="MNE251" s="4"/>
      <c r="MNF251" s="9"/>
      <c r="MNG251" s="4"/>
      <c r="MNH251" s="9"/>
      <c r="MNI251" s="4"/>
      <c r="MNJ251" s="9"/>
      <c r="MNK251" s="4"/>
      <c r="MNL251" s="9"/>
      <c r="MNM251" s="4"/>
      <c r="MNN251" s="9"/>
      <c r="MNO251" s="4"/>
      <c r="MNP251" s="9"/>
      <c r="MNQ251" s="4"/>
      <c r="MNR251" s="9"/>
      <c r="MNS251" s="4"/>
      <c r="MNT251" s="9"/>
      <c r="MNU251" s="4"/>
      <c r="MNV251" s="9"/>
      <c r="MNW251" s="4"/>
      <c r="MNX251" s="9"/>
      <c r="MNY251" s="4"/>
      <c r="MNZ251" s="9"/>
      <c r="MOA251" s="4"/>
      <c r="MOB251" s="9"/>
      <c r="MOC251" s="4"/>
      <c r="MOD251" s="9"/>
      <c r="MOE251" s="4"/>
      <c r="MOF251" s="9"/>
      <c r="MOG251" s="4"/>
      <c r="MOH251" s="9"/>
      <c r="MOI251" s="4"/>
      <c r="MOJ251" s="9"/>
      <c r="MOK251" s="4"/>
      <c r="MOL251" s="9"/>
      <c r="MOM251" s="4"/>
      <c r="MON251" s="9"/>
      <c r="MOO251" s="4"/>
      <c r="MOP251" s="9"/>
      <c r="MOQ251" s="4"/>
      <c r="MOR251" s="9"/>
      <c r="MOS251" s="4"/>
      <c r="MOT251" s="9"/>
      <c r="MOU251" s="4"/>
      <c r="MOV251" s="9"/>
      <c r="MOW251" s="4"/>
      <c r="MOX251" s="9"/>
      <c r="MOY251" s="4"/>
      <c r="MOZ251" s="9"/>
      <c r="MPA251" s="4"/>
      <c r="MPB251" s="9"/>
      <c r="MPC251" s="4"/>
      <c r="MPD251" s="9"/>
      <c r="MPE251" s="4"/>
      <c r="MPF251" s="9"/>
      <c r="MPG251" s="4"/>
      <c r="MPH251" s="9"/>
      <c r="MPI251" s="4"/>
      <c r="MPJ251" s="9"/>
      <c r="MPK251" s="4"/>
      <c r="MPL251" s="9"/>
      <c r="MPM251" s="4"/>
      <c r="MPN251" s="9"/>
      <c r="MPO251" s="4"/>
      <c r="MPP251" s="9"/>
      <c r="MPQ251" s="4"/>
      <c r="MPR251" s="9"/>
      <c r="MPS251" s="4"/>
      <c r="MPT251" s="9"/>
      <c r="MPU251" s="4"/>
      <c r="MPV251" s="9"/>
      <c r="MPW251" s="4"/>
      <c r="MPX251" s="9"/>
      <c r="MPY251" s="4"/>
      <c r="MPZ251" s="9"/>
      <c r="MQA251" s="4"/>
      <c r="MQB251" s="9"/>
      <c r="MQC251" s="4"/>
      <c r="MQD251" s="9"/>
      <c r="MQE251" s="4"/>
      <c r="MQF251" s="9"/>
      <c r="MQG251" s="4"/>
      <c r="MQH251" s="9"/>
      <c r="MQI251" s="4"/>
      <c r="MQJ251" s="9"/>
      <c r="MQK251" s="4"/>
      <c r="MQL251" s="9"/>
      <c r="MQM251" s="4"/>
      <c r="MQN251" s="9"/>
      <c r="MQO251" s="4"/>
      <c r="MQP251" s="9"/>
      <c r="MQQ251" s="4"/>
      <c r="MQR251" s="9"/>
      <c r="MQS251" s="4"/>
      <c r="MQT251" s="9"/>
      <c r="MQU251" s="4"/>
      <c r="MQV251" s="9"/>
      <c r="MQW251" s="4"/>
      <c r="MQX251" s="9"/>
      <c r="MQY251" s="4"/>
      <c r="MQZ251" s="9"/>
      <c r="MRA251" s="4"/>
      <c r="MRB251" s="9"/>
      <c r="MRC251" s="4"/>
      <c r="MRD251" s="9"/>
      <c r="MRE251" s="4"/>
      <c r="MRF251" s="9"/>
      <c r="MRG251" s="4"/>
      <c r="MRH251" s="9"/>
      <c r="MRI251" s="4"/>
      <c r="MRJ251" s="9"/>
      <c r="MRK251" s="4"/>
      <c r="MRL251" s="9"/>
      <c r="MRM251" s="4"/>
      <c r="MRN251" s="9"/>
      <c r="MRO251" s="4"/>
      <c r="MRP251" s="9"/>
      <c r="MRQ251" s="4"/>
      <c r="MRR251" s="9"/>
      <c r="MRS251" s="4"/>
      <c r="MRT251" s="9"/>
      <c r="MRU251" s="4"/>
      <c r="MRV251" s="9"/>
      <c r="MRW251" s="4"/>
      <c r="MRX251" s="9"/>
      <c r="MRY251" s="4"/>
      <c r="MRZ251" s="9"/>
      <c r="MSA251" s="4"/>
      <c r="MSB251" s="9"/>
      <c r="MSC251" s="4"/>
      <c r="MSD251" s="9"/>
      <c r="MSE251" s="4"/>
      <c r="MSF251" s="9"/>
      <c r="MSG251" s="4"/>
      <c r="MSH251" s="9"/>
      <c r="MSI251" s="4"/>
      <c r="MSJ251" s="9"/>
      <c r="MSK251" s="4"/>
      <c r="MSL251" s="9"/>
      <c r="MSM251" s="4"/>
      <c r="MSN251" s="9"/>
      <c r="MSO251" s="4"/>
      <c r="MSP251" s="9"/>
      <c r="MSQ251" s="4"/>
      <c r="MSR251" s="9"/>
      <c r="MSS251" s="4"/>
      <c r="MST251" s="9"/>
      <c r="MSU251" s="4"/>
      <c r="MSV251" s="9"/>
      <c r="MSW251" s="4"/>
      <c r="MSX251" s="9"/>
      <c r="MSY251" s="4"/>
      <c r="MSZ251" s="9"/>
      <c r="MTA251" s="4"/>
      <c r="MTB251" s="9"/>
      <c r="MTC251" s="4"/>
      <c r="MTD251" s="9"/>
      <c r="MTE251" s="4"/>
      <c r="MTF251" s="9"/>
      <c r="MTG251" s="4"/>
      <c r="MTH251" s="9"/>
      <c r="MTI251" s="4"/>
      <c r="MTJ251" s="9"/>
      <c r="MTK251" s="4"/>
      <c r="MTL251" s="9"/>
      <c r="MTM251" s="4"/>
      <c r="MTN251" s="9"/>
      <c r="MTO251" s="4"/>
      <c r="MTP251" s="9"/>
      <c r="MTQ251" s="4"/>
      <c r="MTR251" s="9"/>
      <c r="MTS251" s="4"/>
      <c r="MTT251" s="9"/>
      <c r="MTU251" s="4"/>
      <c r="MTV251" s="9"/>
      <c r="MTW251" s="4"/>
      <c r="MTX251" s="9"/>
      <c r="MTY251" s="4"/>
      <c r="MTZ251" s="9"/>
      <c r="MUA251" s="4"/>
      <c r="MUB251" s="9"/>
      <c r="MUC251" s="4"/>
      <c r="MUD251" s="9"/>
      <c r="MUE251" s="4"/>
      <c r="MUF251" s="9"/>
      <c r="MUG251" s="4"/>
      <c r="MUH251" s="9"/>
      <c r="MUI251" s="4"/>
      <c r="MUJ251" s="9"/>
      <c r="MUK251" s="4"/>
      <c r="MUL251" s="9"/>
      <c r="MUM251" s="4"/>
      <c r="MUN251" s="9"/>
      <c r="MUO251" s="4"/>
      <c r="MUP251" s="9"/>
      <c r="MUQ251" s="4"/>
      <c r="MUR251" s="9"/>
      <c r="MUS251" s="4"/>
      <c r="MUT251" s="9"/>
      <c r="MUU251" s="4"/>
      <c r="MUV251" s="9"/>
      <c r="MUW251" s="4"/>
      <c r="MUX251" s="9"/>
      <c r="MUY251" s="4"/>
      <c r="MUZ251" s="9"/>
      <c r="MVA251" s="4"/>
      <c r="MVB251" s="9"/>
      <c r="MVC251" s="4"/>
      <c r="MVD251" s="9"/>
      <c r="MVE251" s="4"/>
      <c r="MVF251" s="9"/>
      <c r="MVG251" s="4"/>
      <c r="MVH251" s="9"/>
      <c r="MVI251" s="4"/>
      <c r="MVJ251" s="9"/>
      <c r="MVK251" s="4"/>
      <c r="MVL251" s="9"/>
      <c r="MVM251" s="4"/>
      <c r="MVN251" s="9"/>
      <c r="MVO251" s="4"/>
      <c r="MVP251" s="9"/>
      <c r="MVQ251" s="4"/>
      <c r="MVR251" s="9"/>
      <c r="MVS251" s="4"/>
      <c r="MVT251" s="9"/>
      <c r="MVU251" s="4"/>
      <c r="MVV251" s="9"/>
      <c r="MVW251" s="4"/>
      <c r="MVX251" s="9"/>
      <c r="MVY251" s="4"/>
      <c r="MVZ251" s="9"/>
      <c r="MWA251" s="4"/>
      <c r="MWB251" s="9"/>
      <c r="MWC251" s="4"/>
      <c r="MWD251" s="9"/>
      <c r="MWE251" s="4"/>
      <c r="MWF251" s="9"/>
      <c r="MWG251" s="4"/>
      <c r="MWH251" s="9"/>
      <c r="MWI251" s="4"/>
      <c r="MWJ251" s="9"/>
      <c r="MWK251" s="4"/>
      <c r="MWL251" s="9"/>
      <c r="MWM251" s="4"/>
      <c r="MWN251" s="9"/>
      <c r="MWO251" s="4"/>
      <c r="MWP251" s="9"/>
      <c r="MWQ251" s="4"/>
      <c r="MWR251" s="9"/>
      <c r="MWS251" s="4"/>
      <c r="MWT251" s="9"/>
      <c r="MWU251" s="4"/>
      <c r="MWV251" s="9"/>
      <c r="MWW251" s="4"/>
      <c r="MWX251" s="9"/>
      <c r="MWY251" s="4"/>
      <c r="MWZ251" s="9"/>
      <c r="MXA251" s="4"/>
      <c r="MXB251" s="9"/>
      <c r="MXC251" s="4"/>
      <c r="MXD251" s="9"/>
      <c r="MXE251" s="4"/>
      <c r="MXF251" s="9"/>
      <c r="MXG251" s="4"/>
      <c r="MXH251" s="9"/>
      <c r="MXI251" s="4"/>
      <c r="MXJ251" s="9"/>
      <c r="MXK251" s="4"/>
      <c r="MXL251" s="9"/>
      <c r="MXM251" s="4"/>
      <c r="MXN251" s="9"/>
      <c r="MXO251" s="4"/>
      <c r="MXP251" s="9"/>
      <c r="MXQ251" s="4"/>
      <c r="MXR251" s="9"/>
      <c r="MXS251" s="4"/>
      <c r="MXT251" s="9"/>
      <c r="MXU251" s="4"/>
      <c r="MXV251" s="9"/>
      <c r="MXW251" s="4"/>
      <c r="MXX251" s="9"/>
      <c r="MXY251" s="4"/>
      <c r="MXZ251" s="9"/>
      <c r="MYA251" s="4"/>
      <c r="MYB251" s="9"/>
      <c r="MYC251" s="4"/>
      <c r="MYD251" s="9"/>
      <c r="MYE251" s="4"/>
      <c r="MYF251" s="9"/>
      <c r="MYG251" s="4"/>
      <c r="MYH251" s="9"/>
      <c r="MYI251" s="4"/>
      <c r="MYJ251" s="9"/>
      <c r="MYK251" s="4"/>
      <c r="MYL251" s="9"/>
      <c r="MYM251" s="4"/>
      <c r="MYN251" s="9"/>
      <c r="MYO251" s="4"/>
      <c r="MYP251" s="9"/>
      <c r="MYQ251" s="4"/>
      <c r="MYR251" s="9"/>
      <c r="MYS251" s="4"/>
      <c r="MYT251" s="9"/>
      <c r="MYU251" s="4"/>
      <c r="MYV251" s="9"/>
      <c r="MYW251" s="4"/>
      <c r="MYX251" s="9"/>
      <c r="MYY251" s="4"/>
      <c r="MYZ251" s="9"/>
      <c r="MZA251" s="4"/>
      <c r="MZB251" s="9"/>
      <c r="MZC251" s="4"/>
      <c r="MZD251" s="9"/>
      <c r="MZE251" s="4"/>
      <c r="MZF251" s="9"/>
      <c r="MZG251" s="4"/>
      <c r="MZH251" s="9"/>
      <c r="MZI251" s="4"/>
      <c r="MZJ251" s="9"/>
      <c r="MZK251" s="4"/>
      <c r="MZL251" s="9"/>
      <c r="MZM251" s="4"/>
      <c r="MZN251" s="9"/>
      <c r="MZO251" s="4"/>
      <c r="MZP251" s="9"/>
      <c r="MZQ251" s="4"/>
      <c r="MZR251" s="9"/>
      <c r="MZS251" s="4"/>
      <c r="MZT251" s="9"/>
      <c r="MZU251" s="4"/>
      <c r="MZV251" s="9"/>
      <c r="MZW251" s="4"/>
      <c r="MZX251" s="9"/>
      <c r="MZY251" s="4"/>
      <c r="MZZ251" s="9"/>
      <c r="NAA251" s="4"/>
      <c r="NAB251" s="9"/>
      <c r="NAC251" s="4"/>
      <c r="NAD251" s="9"/>
      <c r="NAE251" s="4"/>
      <c r="NAF251" s="9"/>
      <c r="NAG251" s="4"/>
      <c r="NAH251" s="9"/>
      <c r="NAI251" s="4"/>
      <c r="NAJ251" s="9"/>
      <c r="NAK251" s="4"/>
      <c r="NAL251" s="9"/>
      <c r="NAM251" s="4"/>
      <c r="NAN251" s="9"/>
      <c r="NAO251" s="4"/>
      <c r="NAP251" s="9"/>
      <c r="NAQ251" s="4"/>
      <c r="NAR251" s="9"/>
      <c r="NAS251" s="4"/>
      <c r="NAT251" s="9"/>
      <c r="NAU251" s="4"/>
      <c r="NAV251" s="9"/>
      <c r="NAW251" s="4"/>
      <c r="NAX251" s="9"/>
      <c r="NAY251" s="4"/>
      <c r="NAZ251" s="9"/>
      <c r="NBA251" s="4"/>
      <c r="NBB251" s="9"/>
      <c r="NBC251" s="4"/>
      <c r="NBD251" s="9"/>
      <c r="NBE251" s="4"/>
      <c r="NBF251" s="9"/>
      <c r="NBG251" s="4"/>
      <c r="NBH251" s="9"/>
      <c r="NBI251" s="4"/>
      <c r="NBJ251" s="9"/>
      <c r="NBK251" s="4"/>
      <c r="NBL251" s="9"/>
      <c r="NBM251" s="4"/>
      <c r="NBN251" s="9"/>
      <c r="NBO251" s="4"/>
      <c r="NBP251" s="9"/>
      <c r="NBQ251" s="4"/>
      <c r="NBR251" s="9"/>
      <c r="NBS251" s="4"/>
      <c r="NBT251" s="9"/>
      <c r="NBU251" s="4"/>
      <c r="NBV251" s="9"/>
      <c r="NBW251" s="4"/>
      <c r="NBX251" s="9"/>
      <c r="NBY251" s="4"/>
      <c r="NBZ251" s="9"/>
      <c r="NCA251" s="4"/>
      <c r="NCB251" s="9"/>
      <c r="NCC251" s="4"/>
      <c r="NCD251" s="9"/>
      <c r="NCE251" s="4"/>
      <c r="NCF251" s="9"/>
      <c r="NCG251" s="4"/>
      <c r="NCH251" s="9"/>
      <c r="NCI251" s="4"/>
      <c r="NCJ251" s="9"/>
      <c r="NCK251" s="4"/>
      <c r="NCL251" s="9"/>
      <c r="NCM251" s="4"/>
      <c r="NCN251" s="9"/>
      <c r="NCO251" s="4"/>
      <c r="NCP251" s="9"/>
      <c r="NCQ251" s="4"/>
      <c r="NCR251" s="9"/>
      <c r="NCS251" s="4"/>
      <c r="NCT251" s="9"/>
      <c r="NCU251" s="4"/>
      <c r="NCV251" s="9"/>
      <c r="NCW251" s="4"/>
      <c r="NCX251" s="9"/>
      <c r="NCY251" s="4"/>
      <c r="NCZ251" s="9"/>
      <c r="NDA251" s="4"/>
      <c r="NDB251" s="9"/>
      <c r="NDC251" s="4"/>
      <c r="NDD251" s="9"/>
      <c r="NDE251" s="4"/>
      <c r="NDF251" s="9"/>
      <c r="NDG251" s="4"/>
      <c r="NDH251" s="9"/>
      <c r="NDI251" s="4"/>
      <c r="NDJ251" s="9"/>
      <c r="NDK251" s="4"/>
      <c r="NDL251" s="9"/>
      <c r="NDM251" s="4"/>
      <c r="NDN251" s="9"/>
      <c r="NDO251" s="4"/>
      <c r="NDP251" s="9"/>
      <c r="NDQ251" s="4"/>
      <c r="NDR251" s="9"/>
      <c r="NDS251" s="4"/>
      <c r="NDT251" s="9"/>
      <c r="NDU251" s="4"/>
      <c r="NDV251" s="9"/>
      <c r="NDW251" s="4"/>
      <c r="NDX251" s="9"/>
      <c r="NDY251" s="4"/>
      <c r="NDZ251" s="9"/>
      <c r="NEA251" s="4"/>
      <c r="NEB251" s="9"/>
      <c r="NEC251" s="4"/>
      <c r="NED251" s="9"/>
      <c r="NEE251" s="4"/>
      <c r="NEF251" s="9"/>
      <c r="NEG251" s="4"/>
      <c r="NEH251" s="9"/>
      <c r="NEI251" s="4"/>
      <c r="NEJ251" s="9"/>
      <c r="NEK251" s="4"/>
      <c r="NEL251" s="9"/>
      <c r="NEM251" s="4"/>
      <c r="NEN251" s="9"/>
      <c r="NEO251" s="4"/>
      <c r="NEP251" s="9"/>
      <c r="NEQ251" s="4"/>
      <c r="NER251" s="9"/>
      <c r="NES251" s="4"/>
      <c r="NET251" s="9"/>
      <c r="NEU251" s="4"/>
      <c r="NEV251" s="9"/>
      <c r="NEW251" s="4"/>
      <c r="NEX251" s="9"/>
      <c r="NEY251" s="4"/>
      <c r="NEZ251" s="9"/>
      <c r="NFA251" s="4"/>
      <c r="NFB251" s="9"/>
      <c r="NFC251" s="4"/>
      <c r="NFD251" s="9"/>
      <c r="NFE251" s="4"/>
      <c r="NFF251" s="9"/>
      <c r="NFG251" s="4"/>
      <c r="NFH251" s="9"/>
      <c r="NFI251" s="4"/>
      <c r="NFJ251" s="9"/>
      <c r="NFK251" s="4"/>
      <c r="NFL251" s="9"/>
      <c r="NFM251" s="4"/>
      <c r="NFN251" s="9"/>
      <c r="NFO251" s="4"/>
      <c r="NFP251" s="9"/>
      <c r="NFQ251" s="4"/>
      <c r="NFR251" s="9"/>
      <c r="NFS251" s="4"/>
      <c r="NFT251" s="9"/>
      <c r="NFU251" s="4"/>
      <c r="NFV251" s="9"/>
      <c r="NFW251" s="4"/>
      <c r="NFX251" s="9"/>
      <c r="NFY251" s="4"/>
      <c r="NFZ251" s="9"/>
      <c r="NGA251" s="4"/>
      <c r="NGB251" s="9"/>
      <c r="NGC251" s="4"/>
      <c r="NGD251" s="9"/>
      <c r="NGE251" s="4"/>
      <c r="NGF251" s="9"/>
      <c r="NGG251" s="4"/>
      <c r="NGH251" s="9"/>
      <c r="NGI251" s="4"/>
      <c r="NGJ251" s="9"/>
      <c r="NGK251" s="4"/>
      <c r="NGL251" s="9"/>
      <c r="NGM251" s="4"/>
      <c r="NGN251" s="9"/>
      <c r="NGO251" s="4"/>
      <c r="NGP251" s="9"/>
      <c r="NGQ251" s="4"/>
      <c r="NGR251" s="9"/>
      <c r="NGS251" s="4"/>
      <c r="NGT251" s="9"/>
      <c r="NGU251" s="4"/>
      <c r="NGV251" s="9"/>
      <c r="NGW251" s="4"/>
      <c r="NGX251" s="9"/>
      <c r="NGY251" s="4"/>
      <c r="NGZ251" s="9"/>
      <c r="NHA251" s="4"/>
      <c r="NHB251" s="9"/>
      <c r="NHC251" s="4"/>
      <c r="NHD251" s="9"/>
      <c r="NHE251" s="4"/>
      <c r="NHF251" s="9"/>
      <c r="NHG251" s="4"/>
      <c r="NHH251" s="9"/>
      <c r="NHI251" s="4"/>
      <c r="NHJ251" s="9"/>
      <c r="NHK251" s="4"/>
      <c r="NHL251" s="9"/>
      <c r="NHM251" s="4"/>
      <c r="NHN251" s="9"/>
      <c r="NHO251" s="4"/>
      <c r="NHP251" s="9"/>
      <c r="NHQ251" s="4"/>
      <c r="NHR251" s="9"/>
      <c r="NHS251" s="4"/>
      <c r="NHT251" s="9"/>
      <c r="NHU251" s="4"/>
      <c r="NHV251" s="9"/>
      <c r="NHW251" s="4"/>
      <c r="NHX251" s="9"/>
      <c r="NHY251" s="4"/>
      <c r="NHZ251" s="9"/>
      <c r="NIA251" s="4"/>
      <c r="NIB251" s="9"/>
      <c r="NIC251" s="4"/>
      <c r="NID251" s="9"/>
      <c r="NIE251" s="4"/>
      <c r="NIF251" s="9"/>
      <c r="NIG251" s="4"/>
      <c r="NIH251" s="9"/>
      <c r="NII251" s="4"/>
      <c r="NIJ251" s="9"/>
      <c r="NIK251" s="4"/>
      <c r="NIL251" s="9"/>
      <c r="NIM251" s="4"/>
      <c r="NIN251" s="9"/>
      <c r="NIO251" s="4"/>
      <c r="NIP251" s="9"/>
      <c r="NIQ251" s="4"/>
      <c r="NIR251" s="9"/>
      <c r="NIS251" s="4"/>
      <c r="NIT251" s="9"/>
      <c r="NIU251" s="4"/>
      <c r="NIV251" s="9"/>
      <c r="NIW251" s="4"/>
      <c r="NIX251" s="9"/>
      <c r="NIY251" s="4"/>
      <c r="NIZ251" s="9"/>
      <c r="NJA251" s="4"/>
      <c r="NJB251" s="9"/>
      <c r="NJC251" s="4"/>
      <c r="NJD251" s="9"/>
      <c r="NJE251" s="4"/>
      <c r="NJF251" s="9"/>
      <c r="NJG251" s="4"/>
      <c r="NJH251" s="9"/>
      <c r="NJI251" s="4"/>
      <c r="NJJ251" s="9"/>
      <c r="NJK251" s="4"/>
      <c r="NJL251" s="9"/>
      <c r="NJM251" s="4"/>
      <c r="NJN251" s="9"/>
      <c r="NJO251" s="4"/>
      <c r="NJP251" s="9"/>
      <c r="NJQ251" s="4"/>
      <c r="NJR251" s="9"/>
      <c r="NJS251" s="4"/>
      <c r="NJT251" s="9"/>
      <c r="NJU251" s="4"/>
      <c r="NJV251" s="9"/>
      <c r="NJW251" s="4"/>
      <c r="NJX251" s="9"/>
      <c r="NJY251" s="4"/>
      <c r="NJZ251" s="9"/>
      <c r="NKA251" s="4"/>
      <c r="NKB251" s="9"/>
      <c r="NKC251" s="4"/>
      <c r="NKD251" s="9"/>
      <c r="NKE251" s="4"/>
      <c r="NKF251" s="9"/>
      <c r="NKG251" s="4"/>
      <c r="NKH251" s="9"/>
      <c r="NKI251" s="4"/>
      <c r="NKJ251" s="9"/>
      <c r="NKK251" s="4"/>
      <c r="NKL251" s="9"/>
      <c r="NKM251" s="4"/>
      <c r="NKN251" s="9"/>
      <c r="NKO251" s="4"/>
      <c r="NKP251" s="9"/>
      <c r="NKQ251" s="4"/>
      <c r="NKR251" s="9"/>
      <c r="NKS251" s="4"/>
      <c r="NKT251" s="9"/>
      <c r="NKU251" s="4"/>
      <c r="NKV251" s="9"/>
      <c r="NKW251" s="4"/>
      <c r="NKX251" s="9"/>
      <c r="NKY251" s="4"/>
      <c r="NKZ251" s="9"/>
      <c r="NLA251" s="4"/>
      <c r="NLB251" s="9"/>
      <c r="NLC251" s="4"/>
      <c r="NLD251" s="9"/>
      <c r="NLE251" s="4"/>
      <c r="NLF251" s="9"/>
      <c r="NLG251" s="4"/>
      <c r="NLH251" s="9"/>
      <c r="NLI251" s="4"/>
      <c r="NLJ251" s="9"/>
      <c r="NLK251" s="4"/>
      <c r="NLL251" s="9"/>
      <c r="NLM251" s="4"/>
      <c r="NLN251" s="9"/>
      <c r="NLO251" s="4"/>
      <c r="NLP251" s="9"/>
      <c r="NLQ251" s="4"/>
      <c r="NLR251" s="9"/>
      <c r="NLS251" s="4"/>
      <c r="NLT251" s="9"/>
      <c r="NLU251" s="4"/>
      <c r="NLV251" s="9"/>
      <c r="NLW251" s="4"/>
      <c r="NLX251" s="9"/>
      <c r="NLY251" s="4"/>
      <c r="NLZ251" s="9"/>
      <c r="NMA251" s="4"/>
      <c r="NMB251" s="9"/>
      <c r="NMC251" s="4"/>
      <c r="NMD251" s="9"/>
      <c r="NME251" s="4"/>
      <c r="NMF251" s="9"/>
      <c r="NMG251" s="4"/>
      <c r="NMH251" s="9"/>
      <c r="NMI251" s="4"/>
      <c r="NMJ251" s="9"/>
      <c r="NMK251" s="4"/>
      <c r="NML251" s="9"/>
      <c r="NMM251" s="4"/>
      <c r="NMN251" s="9"/>
      <c r="NMO251" s="4"/>
      <c r="NMP251" s="9"/>
      <c r="NMQ251" s="4"/>
      <c r="NMR251" s="9"/>
      <c r="NMS251" s="4"/>
      <c r="NMT251" s="9"/>
      <c r="NMU251" s="4"/>
      <c r="NMV251" s="9"/>
      <c r="NMW251" s="4"/>
      <c r="NMX251" s="9"/>
      <c r="NMY251" s="4"/>
      <c r="NMZ251" s="9"/>
      <c r="NNA251" s="4"/>
      <c r="NNB251" s="9"/>
      <c r="NNC251" s="4"/>
      <c r="NND251" s="9"/>
      <c r="NNE251" s="4"/>
      <c r="NNF251" s="9"/>
      <c r="NNG251" s="4"/>
      <c r="NNH251" s="9"/>
      <c r="NNI251" s="4"/>
      <c r="NNJ251" s="9"/>
      <c r="NNK251" s="4"/>
      <c r="NNL251" s="9"/>
      <c r="NNM251" s="4"/>
      <c r="NNN251" s="9"/>
      <c r="NNO251" s="4"/>
      <c r="NNP251" s="9"/>
      <c r="NNQ251" s="4"/>
      <c r="NNR251" s="9"/>
      <c r="NNS251" s="4"/>
      <c r="NNT251" s="9"/>
      <c r="NNU251" s="4"/>
      <c r="NNV251" s="9"/>
      <c r="NNW251" s="4"/>
      <c r="NNX251" s="9"/>
      <c r="NNY251" s="4"/>
      <c r="NNZ251" s="9"/>
      <c r="NOA251" s="4"/>
      <c r="NOB251" s="9"/>
      <c r="NOC251" s="4"/>
      <c r="NOD251" s="9"/>
      <c r="NOE251" s="4"/>
      <c r="NOF251" s="9"/>
      <c r="NOG251" s="4"/>
      <c r="NOH251" s="9"/>
      <c r="NOI251" s="4"/>
      <c r="NOJ251" s="9"/>
      <c r="NOK251" s="4"/>
      <c r="NOL251" s="9"/>
      <c r="NOM251" s="4"/>
      <c r="NON251" s="9"/>
      <c r="NOO251" s="4"/>
      <c r="NOP251" s="9"/>
      <c r="NOQ251" s="4"/>
      <c r="NOR251" s="9"/>
      <c r="NOS251" s="4"/>
      <c r="NOT251" s="9"/>
      <c r="NOU251" s="4"/>
      <c r="NOV251" s="9"/>
      <c r="NOW251" s="4"/>
      <c r="NOX251" s="9"/>
      <c r="NOY251" s="4"/>
      <c r="NOZ251" s="9"/>
      <c r="NPA251" s="4"/>
      <c r="NPB251" s="9"/>
      <c r="NPC251" s="4"/>
      <c r="NPD251" s="9"/>
      <c r="NPE251" s="4"/>
      <c r="NPF251" s="9"/>
      <c r="NPG251" s="4"/>
      <c r="NPH251" s="9"/>
      <c r="NPI251" s="4"/>
      <c r="NPJ251" s="9"/>
      <c r="NPK251" s="4"/>
      <c r="NPL251" s="9"/>
      <c r="NPM251" s="4"/>
      <c r="NPN251" s="9"/>
      <c r="NPO251" s="4"/>
      <c r="NPP251" s="9"/>
      <c r="NPQ251" s="4"/>
      <c r="NPR251" s="9"/>
      <c r="NPS251" s="4"/>
      <c r="NPT251" s="9"/>
      <c r="NPU251" s="4"/>
      <c r="NPV251" s="9"/>
      <c r="NPW251" s="4"/>
      <c r="NPX251" s="9"/>
      <c r="NPY251" s="4"/>
      <c r="NPZ251" s="9"/>
      <c r="NQA251" s="4"/>
      <c r="NQB251" s="9"/>
      <c r="NQC251" s="4"/>
      <c r="NQD251" s="9"/>
      <c r="NQE251" s="4"/>
      <c r="NQF251" s="9"/>
      <c r="NQG251" s="4"/>
      <c r="NQH251" s="9"/>
      <c r="NQI251" s="4"/>
      <c r="NQJ251" s="9"/>
      <c r="NQK251" s="4"/>
      <c r="NQL251" s="9"/>
      <c r="NQM251" s="4"/>
      <c r="NQN251" s="9"/>
      <c r="NQO251" s="4"/>
      <c r="NQP251" s="9"/>
      <c r="NQQ251" s="4"/>
      <c r="NQR251" s="9"/>
      <c r="NQS251" s="4"/>
      <c r="NQT251" s="9"/>
      <c r="NQU251" s="4"/>
      <c r="NQV251" s="9"/>
      <c r="NQW251" s="4"/>
      <c r="NQX251" s="9"/>
      <c r="NQY251" s="4"/>
      <c r="NQZ251" s="9"/>
      <c r="NRA251" s="4"/>
      <c r="NRB251" s="9"/>
      <c r="NRC251" s="4"/>
      <c r="NRD251" s="9"/>
      <c r="NRE251" s="4"/>
      <c r="NRF251" s="9"/>
      <c r="NRG251" s="4"/>
      <c r="NRH251" s="9"/>
      <c r="NRI251" s="4"/>
      <c r="NRJ251" s="9"/>
      <c r="NRK251" s="4"/>
      <c r="NRL251" s="9"/>
      <c r="NRM251" s="4"/>
      <c r="NRN251" s="9"/>
      <c r="NRO251" s="4"/>
      <c r="NRP251" s="9"/>
      <c r="NRQ251" s="4"/>
      <c r="NRR251" s="9"/>
      <c r="NRS251" s="4"/>
      <c r="NRT251" s="9"/>
      <c r="NRU251" s="4"/>
      <c r="NRV251" s="9"/>
      <c r="NRW251" s="4"/>
      <c r="NRX251" s="9"/>
      <c r="NRY251" s="4"/>
      <c r="NRZ251" s="9"/>
      <c r="NSA251" s="4"/>
      <c r="NSB251" s="9"/>
      <c r="NSC251" s="4"/>
      <c r="NSD251" s="9"/>
      <c r="NSE251" s="4"/>
      <c r="NSF251" s="9"/>
      <c r="NSG251" s="4"/>
      <c r="NSH251" s="9"/>
      <c r="NSI251" s="4"/>
      <c r="NSJ251" s="9"/>
      <c r="NSK251" s="4"/>
      <c r="NSL251" s="9"/>
      <c r="NSM251" s="4"/>
      <c r="NSN251" s="9"/>
      <c r="NSO251" s="4"/>
      <c r="NSP251" s="9"/>
      <c r="NSQ251" s="4"/>
      <c r="NSR251" s="9"/>
      <c r="NSS251" s="4"/>
      <c r="NST251" s="9"/>
      <c r="NSU251" s="4"/>
      <c r="NSV251" s="9"/>
      <c r="NSW251" s="4"/>
      <c r="NSX251" s="9"/>
      <c r="NSY251" s="4"/>
      <c r="NSZ251" s="9"/>
      <c r="NTA251" s="4"/>
      <c r="NTB251" s="9"/>
      <c r="NTC251" s="4"/>
      <c r="NTD251" s="9"/>
      <c r="NTE251" s="4"/>
      <c r="NTF251" s="9"/>
      <c r="NTG251" s="4"/>
      <c r="NTH251" s="9"/>
      <c r="NTI251" s="4"/>
      <c r="NTJ251" s="9"/>
      <c r="NTK251" s="4"/>
      <c r="NTL251" s="9"/>
      <c r="NTM251" s="4"/>
      <c r="NTN251" s="9"/>
      <c r="NTO251" s="4"/>
      <c r="NTP251" s="9"/>
      <c r="NTQ251" s="4"/>
      <c r="NTR251" s="9"/>
      <c r="NTS251" s="4"/>
      <c r="NTT251" s="9"/>
      <c r="NTU251" s="4"/>
      <c r="NTV251" s="9"/>
      <c r="NTW251" s="4"/>
      <c r="NTX251" s="9"/>
      <c r="NTY251" s="4"/>
      <c r="NTZ251" s="9"/>
      <c r="NUA251" s="4"/>
      <c r="NUB251" s="9"/>
      <c r="NUC251" s="4"/>
      <c r="NUD251" s="9"/>
      <c r="NUE251" s="4"/>
      <c r="NUF251" s="9"/>
      <c r="NUG251" s="4"/>
      <c r="NUH251" s="9"/>
      <c r="NUI251" s="4"/>
      <c r="NUJ251" s="9"/>
      <c r="NUK251" s="4"/>
      <c r="NUL251" s="9"/>
      <c r="NUM251" s="4"/>
      <c r="NUN251" s="9"/>
      <c r="NUO251" s="4"/>
      <c r="NUP251" s="9"/>
      <c r="NUQ251" s="4"/>
      <c r="NUR251" s="9"/>
      <c r="NUS251" s="4"/>
      <c r="NUT251" s="9"/>
      <c r="NUU251" s="4"/>
      <c r="NUV251" s="9"/>
      <c r="NUW251" s="4"/>
      <c r="NUX251" s="9"/>
      <c r="NUY251" s="4"/>
      <c r="NUZ251" s="9"/>
      <c r="NVA251" s="4"/>
      <c r="NVB251" s="9"/>
      <c r="NVC251" s="4"/>
      <c r="NVD251" s="9"/>
      <c r="NVE251" s="4"/>
      <c r="NVF251" s="9"/>
      <c r="NVG251" s="4"/>
      <c r="NVH251" s="9"/>
      <c r="NVI251" s="4"/>
      <c r="NVJ251" s="9"/>
      <c r="NVK251" s="4"/>
      <c r="NVL251" s="9"/>
      <c r="NVM251" s="4"/>
      <c r="NVN251" s="9"/>
      <c r="NVO251" s="4"/>
      <c r="NVP251" s="9"/>
      <c r="NVQ251" s="4"/>
      <c r="NVR251" s="9"/>
      <c r="NVS251" s="4"/>
      <c r="NVT251" s="9"/>
      <c r="NVU251" s="4"/>
      <c r="NVV251" s="9"/>
      <c r="NVW251" s="4"/>
      <c r="NVX251" s="9"/>
      <c r="NVY251" s="4"/>
      <c r="NVZ251" s="9"/>
      <c r="NWA251" s="4"/>
      <c r="NWB251" s="9"/>
      <c r="NWC251" s="4"/>
      <c r="NWD251" s="9"/>
      <c r="NWE251" s="4"/>
      <c r="NWF251" s="9"/>
      <c r="NWG251" s="4"/>
      <c r="NWH251" s="9"/>
      <c r="NWI251" s="4"/>
      <c r="NWJ251" s="9"/>
      <c r="NWK251" s="4"/>
      <c r="NWL251" s="9"/>
      <c r="NWM251" s="4"/>
      <c r="NWN251" s="9"/>
      <c r="NWO251" s="4"/>
      <c r="NWP251" s="9"/>
      <c r="NWQ251" s="4"/>
      <c r="NWR251" s="9"/>
      <c r="NWS251" s="4"/>
      <c r="NWT251" s="9"/>
      <c r="NWU251" s="4"/>
      <c r="NWV251" s="9"/>
      <c r="NWW251" s="4"/>
      <c r="NWX251" s="9"/>
      <c r="NWY251" s="4"/>
      <c r="NWZ251" s="9"/>
      <c r="NXA251" s="4"/>
      <c r="NXB251" s="9"/>
      <c r="NXC251" s="4"/>
      <c r="NXD251" s="9"/>
      <c r="NXE251" s="4"/>
      <c r="NXF251" s="9"/>
      <c r="NXG251" s="4"/>
      <c r="NXH251" s="9"/>
      <c r="NXI251" s="4"/>
      <c r="NXJ251" s="9"/>
      <c r="NXK251" s="4"/>
      <c r="NXL251" s="9"/>
      <c r="NXM251" s="4"/>
      <c r="NXN251" s="9"/>
      <c r="NXO251" s="4"/>
      <c r="NXP251" s="9"/>
      <c r="NXQ251" s="4"/>
      <c r="NXR251" s="9"/>
      <c r="NXS251" s="4"/>
      <c r="NXT251" s="9"/>
      <c r="NXU251" s="4"/>
      <c r="NXV251" s="9"/>
      <c r="NXW251" s="4"/>
      <c r="NXX251" s="9"/>
      <c r="NXY251" s="4"/>
      <c r="NXZ251" s="9"/>
      <c r="NYA251" s="4"/>
      <c r="NYB251" s="9"/>
      <c r="NYC251" s="4"/>
      <c r="NYD251" s="9"/>
      <c r="NYE251" s="4"/>
      <c r="NYF251" s="9"/>
      <c r="NYG251" s="4"/>
      <c r="NYH251" s="9"/>
      <c r="NYI251" s="4"/>
      <c r="NYJ251" s="9"/>
      <c r="NYK251" s="4"/>
      <c r="NYL251" s="9"/>
      <c r="NYM251" s="4"/>
      <c r="NYN251" s="9"/>
      <c r="NYO251" s="4"/>
      <c r="NYP251" s="9"/>
      <c r="NYQ251" s="4"/>
      <c r="NYR251" s="9"/>
      <c r="NYS251" s="4"/>
      <c r="NYT251" s="9"/>
      <c r="NYU251" s="4"/>
      <c r="NYV251" s="9"/>
      <c r="NYW251" s="4"/>
      <c r="NYX251" s="9"/>
      <c r="NYY251" s="4"/>
      <c r="NYZ251" s="9"/>
      <c r="NZA251" s="4"/>
      <c r="NZB251" s="9"/>
      <c r="NZC251" s="4"/>
      <c r="NZD251" s="9"/>
      <c r="NZE251" s="4"/>
      <c r="NZF251" s="9"/>
      <c r="NZG251" s="4"/>
      <c r="NZH251" s="9"/>
      <c r="NZI251" s="4"/>
      <c r="NZJ251" s="9"/>
      <c r="NZK251" s="4"/>
      <c r="NZL251" s="9"/>
      <c r="NZM251" s="4"/>
      <c r="NZN251" s="9"/>
      <c r="NZO251" s="4"/>
      <c r="NZP251" s="9"/>
      <c r="NZQ251" s="4"/>
      <c r="NZR251" s="9"/>
      <c r="NZS251" s="4"/>
      <c r="NZT251" s="9"/>
      <c r="NZU251" s="4"/>
      <c r="NZV251" s="9"/>
      <c r="NZW251" s="4"/>
      <c r="NZX251" s="9"/>
      <c r="NZY251" s="4"/>
      <c r="NZZ251" s="9"/>
      <c r="OAA251" s="4"/>
      <c r="OAB251" s="9"/>
      <c r="OAC251" s="4"/>
      <c r="OAD251" s="9"/>
      <c r="OAE251" s="4"/>
      <c r="OAF251" s="9"/>
      <c r="OAG251" s="4"/>
      <c r="OAH251" s="9"/>
      <c r="OAI251" s="4"/>
      <c r="OAJ251" s="9"/>
      <c r="OAK251" s="4"/>
      <c r="OAL251" s="9"/>
      <c r="OAM251" s="4"/>
      <c r="OAN251" s="9"/>
      <c r="OAO251" s="4"/>
      <c r="OAP251" s="9"/>
      <c r="OAQ251" s="4"/>
      <c r="OAR251" s="9"/>
      <c r="OAS251" s="4"/>
      <c r="OAT251" s="9"/>
      <c r="OAU251" s="4"/>
      <c r="OAV251" s="9"/>
      <c r="OAW251" s="4"/>
      <c r="OAX251" s="9"/>
      <c r="OAY251" s="4"/>
      <c r="OAZ251" s="9"/>
      <c r="OBA251" s="4"/>
      <c r="OBB251" s="9"/>
      <c r="OBC251" s="4"/>
      <c r="OBD251" s="9"/>
      <c r="OBE251" s="4"/>
      <c r="OBF251" s="9"/>
      <c r="OBG251" s="4"/>
      <c r="OBH251" s="9"/>
      <c r="OBI251" s="4"/>
      <c r="OBJ251" s="9"/>
      <c r="OBK251" s="4"/>
      <c r="OBL251" s="9"/>
      <c r="OBM251" s="4"/>
      <c r="OBN251" s="9"/>
      <c r="OBO251" s="4"/>
      <c r="OBP251" s="9"/>
      <c r="OBQ251" s="4"/>
      <c r="OBR251" s="9"/>
      <c r="OBS251" s="4"/>
      <c r="OBT251" s="9"/>
      <c r="OBU251" s="4"/>
      <c r="OBV251" s="9"/>
      <c r="OBW251" s="4"/>
      <c r="OBX251" s="9"/>
      <c r="OBY251" s="4"/>
      <c r="OBZ251" s="9"/>
      <c r="OCA251" s="4"/>
      <c r="OCB251" s="9"/>
      <c r="OCC251" s="4"/>
      <c r="OCD251" s="9"/>
      <c r="OCE251" s="4"/>
      <c r="OCF251" s="9"/>
      <c r="OCG251" s="4"/>
      <c r="OCH251" s="9"/>
      <c r="OCI251" s="4"/>
      <c r="OCJ251" s="9"/>
      <c r="OCK251" s="4"/>
      <c r="OCL251" s="9"/>
      <c r="OCM251" s="4"/>
      <c r="OCN251" s="9"/>
      <c r="OCO251" s="4"/>
      <c r="OCP251" s="9"/>
      <c r="OCQ251" s="4"/>
      <c r="OCR251" s="9"/>
      <c r="OCS251" s="4"/>
      <c r="OCT251" s="9"/>
      <c r="OCU251" s="4"/>
      <c r="OCV251" s="9"/>
      <c r="OCW251" s="4"/>
      <c r="OCX251" s="9"/>
      <c r="OCY251" s="4"/>
      <c r="OCZ251" s="9"/>
      <c r="ODA251" s="4"/>
      <c r="ODB251" s="9"/>
      <c r="ODC251" s="4"/>
      <c r="ODD251" s="9"/>
      <c r="ODE251" s="4"/>
      <c r="ODF251" s="9"/>
      <c r="ODG251" s="4"/>
      <c r="ODH251" s="9"/>
      <c r="ODI251" s="4"/>
      <c r="ODJ251" s="9"/>
      <c r="ODK251" s="4"/>
      <c r="ODL251" s="9"/>
      <c r="ODM251" s="4"/>
      <c r="ODN251" s="9"/>
      <c r="ODO251" s="4"/>
      <c r="ODP251" s="9"/>
      <c r="ODQ251" s="4"/>
      <c r="ODR251" s="9"/>
      <c r="ODS251" s="4"/>
      <c r="ODT251" s="9"/>
      <c r="ODU251" s="4"/>
      <c r="ODV251" s="9"/>
      <c r="ODW251" s="4"/>
      <c r="ODX251" s="9"/>
      <c r="ODY251" s="4"/>
      <c r="ODZ251" s="9"/>
      <c r="OEA251" s="4"/>
      <c r="OEB251" s="9"/>
      <c r="OEC251" s="4"/>
      <c r="OED251" s="9"/>
      <c r="OEE251" s="4"/>
      <c r="OEF251" s="9"/>
      <c r="OEG251" s="4"/>
      <c r="OEH251" s="9"/>
      <c r="OEI251" s="4"/>
      <c r="OEJ251" s="9"/>
      <c r="OEK251" s="4"/>
      <c r="OEL251" s="9"/>
      <c r="OEM251" s="4"/>
      <c r="OEN251" s="9"/>
      <c r="OEO251" s="4"/>
      <c r="OEP251" s="9"/>
      <c r="OEQ251" s="4"/>
      <c r="OER251" s="9"/>
      <c r="OES251" s="4"/>
      <c r="OET251" s="9"/>
      <c r="OEU251" s="4"/>
      <c r="OEV251" s="9"/>
      <c r="OEW251" s="4"/>
      <c r="OEX251" s="9"/>
      <c r="OEY251" s="4"/>
      <c r="OEZ251" s="9"/>
      <c r="OFA251" s="4"/>
      <c r="OFB251" s="9"/>
      <c r="OFC251" s="4"/>
      <c r="OFD251" s="9"/>
      <c r="OFE251" s="4"/>
      <c r="OFF251" s="9"/>
      <c r="OFG251" s="4"/>
      <c r="OFH251" s="9"/>
      <c r="OFI251" s="4"/>
      <c r="OFJ251" s="9"/>
      <c r="OFK251" s="4"/>
      <c r="OFL251" s="9"/>
      <c r="OFM251" s="4"/>
      <c r="OFN251" s="9"/>
      <c r="OFO251" s="4"/>
      <c r="OFP251" s="9"/>
      <c r="OFQ251" s="4"/>
      <c r="OFR251" s="9"/>
      <c r="OFS251" s="4"/>
      <c r="OFT251" s="9"/>
      <c r="OFU251" s="4"/>
      <c r="OFV251" s="9"/>
      <c r="OFW251" s="4"/>
      <c r="OFX251" s="9"/>
      <c r="OFY251" s="4"/>
      <c r="OFZ251" s="9"/>
      <c r="OGA251" s="4"/>
      <c r="OGB251" s="9"/>
      <c r="OGC251" s="4"/>
      <c r="OGD251" s="9"/>
      <c r="OGE251" s="4"/>
      <c r="OGF251" s="9"/>
      <c r="OGG251" s="4"/>
      <c r="OGH251" s="9"/>
      <c r="OGI251" s="4"/>
      <c r="OGJ251" s="9"/>
      <c r="OGK251" s="4"/>
      <c r="OGL251" s="9"/>
      <c r="OGM251" s="4"/>
      <c r="OGN251" s="9"/>
      <c r="OGO251" s="4"/>
      <c r="OGP251" s="9"/>
      <c r="OGQ251" s="4"/>
      <c r="OGR251" s="9"/>
      <c r="OGS251" s="4"/>
      <c r="OGT251" s="9"/>
      <c r="OGU251" s="4"/>
      <c r="OGV251" s="9"/>
      <c r="OGW251" s="4"/>
      <c r="OGX251" s="9"/>
      <c r="OGY251" s="4"/>
      <c r="OGZ251" s="9"/>
      <c r="OHA251" s="4"/>
      <c r="OHB251" s="9"/>
      <c r="OHC251" s="4"/>
      <c r="OHD251" s="9"/>
      <c r="OHE251" s="4"/>
      <c r="OHF251" s="9"/>
      <c r="OHG251" s="4"/>
      <c r="OHH251" s="9"/>
      <c r="OHI251" s="4"/>
      <c r="OHJ251" s="9"/>
      <c r="OHK251" s="4"/>
      <c r="OHL251" s="9"/>
      <c r="OHM251" s="4"/>
      <c r="OHN251" s="9"/>
      <c r="OHO251" s="4"/>
      <c r="OHP251" s="9"/>
      <c r="OHQ251" s="4"/>
      <c r="OHR251" s="9"/>
      <c r="OHS251" s="4"/>
      <c r="OHT251" s="9"/>
      <c r="OHU251" s="4"/>
      <c r="OHV251" s="9"/>
      <c r="OHW251" s="4"/>
      <c r="OHX251" s="9"/>
      <c r="OHY251" s="4"/>
      <c r="OHZ251" s="9"/>
      <c r="OIA251" s="4"/>
      <c r="OIB251" s="9"/>
      <c r="OIC251" s="4"/>
      <c r="OID251" s="9"/>
      <c r="OIE251" s="4"/>
      <c r="OIF251" s="9"/>
      <c r="OIG251" s="4"/>
      <c r="OIH251" s="9"/>
      <c r="OII251" s="4"/>
      <c r="OIJ251" s="9"/>
      <c r="OIK251" s="4"/>
      <c r="OIL251" s="9"/>
      <c r="OIM251" s="4"/>
      <c r="OIN251" s="9"/>
      <c r="OIO251" s="4"/>
      <c r="OIP251" s="9"/>
      <c r="OIQ251" s="4"/>
      <c r="OIR251" s="9"/>
      <c r="OIS251" s="4"/>
      <c r="OIT251" s="9"/>
      <c r="OIU251" s="4"/>
      <c r="OIV251" s="9"/>
      <c r="OIW251" s="4"/>
      <c r="OIX251" s="9"/>
      <c r="OIY251" s="4"/>
      <c r="OIZ251" s="9"/>
      <c r="OJA251" s="4"/>
      <c r="OJB251" s="9"/>
      <c r="OJC251" s="4"/>
      <c r="OJD251" s="9"/>
      <c r="OJE251" s="4"/>
      <c r="OJF251" s="9"/>
      <c r="OJG251" s="4"/>
      <c r="OJH251" s="9"/>
      <c r="OJI251" s="4"/>
      <c r="OJJ251" s="9"/>
      <c r="OJK251" s="4"/>
      <c r="OJL251" s="9"/>
      <c r="OJM251" s="4"/>
      <c r="OJN251" s="9"/>
      <c r="OJO251" s="4"/>
      <c r="OJP251" s="9"/>
      <c r="OJQ251" s="4"/>
      <c r="OJR251" s="9"/>
      <c r="OJS251" s="4"/>
      <c r="OJT251" s="9"/>
      <c r="OJU251" s="4"/>
      <c r="OJV251" s="9"/>
      <c r="OJW251" s="4"/>
      <c r="OJX251" s="9"/>
      <c r="OJY251" s="4"/>
      <c r="OJZ251" s="9"/>
      <c r="OKA251" s="4"/>
      <c r="OKB251" s="9"/>
      <c r="OKC251" s="4"/>
      <c r="OKD251" s="9"/>
      <c r="OKE251" s="4"/>
      <c r="OKF251" s="9"/>
      <c r="OKG251" s="4"/>
      <c r="OKH251" s="9"/>
      <c r="OKI251" s="4"/>
      <c r="OKJ251" s="9"/>
      <c r="OKK251" s="4"/>
      <c r="OKL251" s="9"/>
      <c r="OKM251" s="4"/>
      <c r="OKN251" s="9"/>
      <c r="OKO251" s="4"/>
      <c r="OKP251" s="9"/>
      <c r="OKQ251" s="4"/>
      <c r="OKR251" s="9"/>
      <c r="OKS251" s="4"/>
      <c r="OKT251" s="9"/>
      <c r="OKU251" s="4"/>
      <c r="OKV251" s="9"/>
      <c r="OKW251" s="4"/>
      <c r="OKX251" s="9"/>
      <c r="OKY251" s="4"/>
      <c r="OKZ251" s="9"/>
      <c r="OLA251" s="4"/>
      <c r="OLB251" s="9"/>
      <c r="OLC251" s="4"/>
      <c r="OLD251" s="9"/>
      <c r="OLE251" s="4"/>
      <c r="OLF251" s="9"/>
      <c r="OLG251" s="4"/>
      <c r="OLH251" s="9"/>
      <c r="OLI251" s="4"/>
      <c r="OLJ251" s="9"/>
      <c r="OLK251" s="4"/>
      <c r="OLL251" s="9"/>
      <c r="OLM251" s="4"/>
      <c r="OLN251" s="9"/>
      <c r="OLO251" s="4"/>
      <c r="OLP251" s="9"/>
      <c r="OLQ251" s="4"/>
      <c r="OLR251" s="9"/>
      <c r="OLS251" s="4"/>
      <c r="OLT251" s="9"/>
      <c r="OLU251" s="4"/>
      <c r="OLV251" s="9"/>
      <c r="OLW251" s="4"/>
      <c r="OLX251" s="9"/>
      <c r="OLY251" s="4"/>
      <c r="OLZ251" s="9"/>
      <c r="OMA251" s="4"/>
      <c r="OMB251" s="9"/>
      <c r="OMC251" s="4"/>
      <c r="OMD251" s="9"/>
      <c r="OME251" s="4"/>
      <c r="OMF251" s="9"/>
      <c r="OMG251" s="4"/>
      <c r="OMH251" s="9"/>
      <c r="OMI251" s="4"/>
      <c r="OMJ251" s="9"/>
      <c r="OMK251" s="4"/>
      <c r="OML251" s="9"/>
      <c r="OMM251" s="4"/>
      <c r="OMN251" s="9"/>
      <c r="OMO251" s="4"/>
      <c r="OMP251" s="9"/>
      <c r="OMQ251" s="4"/>
      <c r="OMR251" s="9"/>
      <c r="OMS251" s="4"/>
      <c r="OMT251" s="9"/>
      <c r="OMU251" s="4"/>
      <c r="OMV251" s="9"/>
      <c r="OMW251" s="4"/>
      <c r="OMX251" s="9"/>
      <c r="OMY251" s="4"/>
      <c r="OMZ251" s="9"/>
      <c r="ONA251" s="4"/>
      <c r="ONB251" s="9"/>
      <c r="ONC251" s="4"/>
      <c r="OND251" s="9"/>
      <c r="ONE251" s="4"/>
      <c r="ONF251" s="9"/>
      <c r="ONG251" s="4"/>
      <c r="ONH251" s="9"/>
      <c r="ONI251" s="4"/>
      <c r="ONJ251" s="9"/>
      <c r="ONK251" s="4"/>
      <c r="ONL251" s="9"/>
      <c r="ONM251" s="4"/>
      <c r="ONN251" s="9"/>
      <c r="ONO251" s="4"/>
      <c r="ONP251" s="9"/>
      <c r="ONQ251" s="4"/>
      <c r="ONR251" s="9"/>
      <c r="ONS251" s="4"/>
      <c r="ONT251" s="9"/>
      <c r="ONU251" s="4"/>
      <c r="ONV251" s="9"/>
      <c r="ONW251" s="4"/>
      <c r="ONX251" s="9"/>
      <c r="ONY251" s="4"/>
      <c r="ONZ251" s="9"/>
      <c r="OOA251" s="4"/>
      <c r="OOB251" s="9"/>
      <c r="OOC251" s="4"/>
      <c r="OOD251" s="9"/>
      <c r="OOE251" s="4"/>
      <c r="OOF251" s="9"/>
      <c r="OOG251" s="4"/>
      <c r="OOH251" s="9"/>
      <c r="OOI251" s="4"/>
      <c r="OOJ251" s="9"/>
      <c r="OOK251" s="4"/>
      <c r="OOL251" s="9"/>
      <c r="OOM251" s="4"/>
      <c r="OON251" s="9"/>
      <c r="OOO251" s="4"/>
      <c r="OOP251" s="9"/>
      <c r="OOQ251" s="4"/>
      <c r="OOR251" s="9"/>
      <c r="OOS251" s="4"/>
      <c r="OOT251" s="9"/>
      <c r="OOU251" s="4"/>
      <c r="OOV251" s="9"/>
      <c r="OOW251" s="4"/>
      <c r="OOX251" s="9"/>
      <c r="OOY251" s="4"/>
      <c r="OOZ251" s="9"/>
      <c r="OPA251" s="4"/>
      <c r="OPB251" s="9"/>
      <c r="OPC251" s="4"/>
      <c r="OPD251" s="9"/>
      <c r="OPE251" s="4"/>
      <c r="OPF251" s="9"/>
      <c r="OPG251" s="4"/>
      <c r="OPH251" s="9"/>
      <c r="OPI251" s="4"/>
      <c r="OPJ251" s="9"/>
      <c r="OPK251" s="4"/>
      <c r="OPL251" s="9"/>
      <c r="OPM251" s="4"/>
      <c r="OPN251" s="9"/>
      <c r="OPO251" s="4"/>
      <c r="OPP251" s="9"/>
      <c r="OPQ251" s="4"/>
      <c r="OPR251" s="9"/>
      <c r="OPS251" s="4"/>
      <c r="OPT251" s="9"/>
      <c r="OPU251" s="4"/>
      <c r="OPV251" s="9"/>
      <c r="OPW251" s="4"/>
      <c r="OPX251" s="9"/>
      <c r="OPY251" s="4"/>
      <c r="OPZ251" s="9"/>
      <c r="OQA251" s="4"/>
      <c r="OQB251" s="9"/>
      <c r="OQC251" s="4"/>
      <c r="OQD251" s="9"/>
      <c r="OQE251" s="4"/>
      <c r="OQF251" s="9"/>
      <c r="OQG251" s="4"/>
      <c r="OQH251" s="9"/>
      <c r="OQI251" s="4"/>
      <c r="OQJ251" s="9"/>
      <c r="OQK251" s="4"/>
      <c r="OQL251" s="9"/>
      <c r="OQM251" s="4"/>
      <c r="OQN251" s="9"/>
      <c r="OQO251" s="4"/>
      <c r="OQP251" s="9"/>
      <c r="OQQ251" s="4"/>
      <c r="OQR251" s="9"/>
      <c r="OQS251" s="4"/>
      <c r="OQT251" s="9"/>
      <c r="OQU251" s="4"/>
      <c r="OQV251" s="9"/>
      <c r="OQW251" s="4"/>
      <c r="OQX251" s="9"/>
      <c r="OQY251" s="4"/>
      <c r="OQZ251" s="9"/>
      <c r="ORA251" s="4"/>
      <c r="ORB251" s="9"/>
      <c r="ORC251" s="4"/>
      <c r="ORD251" s="9"/>
      <c r="ORE251" s="4"/>
      <c r="ORF251" s="9"/>
      <c r="ORG251" s="4"/>
      <c r="ORH251" s="9"/>
      <c r="ORI251" s="4"/>
      <c r="ORJ251" s="9"/>
      <c r="ORK251" s="4"/>
      <c r="ORL251" s="9"/>
      <c r="ORM251" s="4"/>
      <c r="ORN251" s="9"/>
      <c r="ORO251" s="4"/>
      <c r="ORP251" s="9"/>
      <c r="ORQ251" s="4"/>
      <c r="ORR251" s="9"/>
      <c r="ORS251" s="4"/>
      <c r="ORT251" s="9"/>
      <c r="ORU251" s="4"/>
      <c r="ORV251" s="9"/>
      <c r="ORW251" s="4"/>
      <c r="ORX251" s="9"/>
      <c r="ORY251" s="4"/>
      <c r="ORZ251" s="9"/>
      <c r="OSA251" s="4"/>
      <c r="OSB251" s="9"/>
      <c r="OSC251" s="4"/>
      <c r="OSD251" s="9"/>
      <c r="OSE251" s="4"/>
      <c r="OSF251" s="9"/>
      <c r="OSG251" s="4"/>
      <c r="OSH251" s="9"/>
      <c r="OSI251" s="4"/>
      <c r="OSJ251" s="9"/>
      <c r="OSK251" s="4"/>
      <c r="OSL251" s="9"/>
      <c r="OSM251" s="4"/>
      <c r="OSN251" s="9"/>
      <c r="OSO251" s="4"/>
      <c r="OSP251" s="9"/>
      <c r="OSQ251" s="4"/>
      <c r="OSR251" s="9"/>
      <c r="OSS251" s="4"/>
      <c r="OST251" s="9"/>
      <c r="OSU251" s="4"/>
      <c r="OSV251" s="9"/>
      <c r="OSW251" s="4"/>
      <c r="OSX251" s="9"/>
      <c r="OSY251" s="4"/>
      <c r="OSZ251" s="9"/>
      <c r="OTA251" s="4"/>
      <c r="OTB251" s="9"/>
      <c r="OTC251" s="4"/>
      <c r="OTD251" s="9"/>
      <c r="OTE251" s="4"/>
      <c r="OTF251" s="9"/>
      <c r="OTG251" s="4"/>
      <c r="OTH251" s="9"/>
      <c r="OTI251" s="4"/>
      <c r="OTJ251" s="9"/>
      <c r="OTK251" s="4"/>
      <c r="OTL251" s="9"/>
      <c r="OTM251" s="4"/>
      <c r="OTN251" s="9"/>
      <c r="OTO251" s="4"/>
      <c r="OTP251" s="9"/>
      <c r="OTQ251" s="4"/>
      <c r="OTR251" s="9"/>
      <c r="OTS251" s="4"/>
      <c r="OTT251" s="9"/>
      <c r="OTU251" s="4"/>
      <c r="OTV251" s="9"/>
      <c r="OTW251" s="4"/>
      <c r="OTX251" s="9"/>
      <c r="OTY251" s="4"/>
      <c r="OTZ251" s="9"/>
      <c r="OUA251" s="4"/>
      <c r="OUB251" s="9"/>
      <c r="OUC251" s="4"/>
      <c r="OUD251" s="9"/>
      <c r="OUE251" s="4"/>
      <c r="OUF251" s="9"/>
      <c r="OUG251" s="4"/>
      <c r="OUH251" s="9"/>
      <c r="OUI251" s="4"/>
      <c r="OUJ251" s="9"/>
      <c r="OUK251" s="4"/>
      <c r="OUL251" s="9"/>
      <c r="OUM251" s="4"/>
      <c r="OUN251" s="9"/>
      <c r="OUO251" s="4"/>
      <c r="OUP251" s="9"/>
      <c r="OUQ251" s="4"/>
      <c r="OUR251" s="9"/>
      <c r="OUS251" s="4"/>
      <c r="OUT251" s="9"/>
      <c r="OUU251" s="4"/>
      <c r="OUV251" s="9"/>
      <c r="OUW251" s="4"/>
      <c r="OUX251" s="9"/>
      <c r="OUY251" s="4"/>
      <c r="OUZ251" s="9"/>
      <c r="OVA251" s="4"/>
      <c r="OVB251" s="9"/>
      <c r="OVC251" s="4"/>
      <c r="OVD251" s="9"/>
      <c r="OVE251" s="4"/>
      <c r="OVF251" s="9"/>
      <c r="OVG251" s="4"/>
      <c r="OVH251" s="9"/>
      <c r="OVI251" s="4"/>
      <c r="OVJ251" s="9"/>
      <c r="OVK251" s="4"/>
      <c r="OVL251" s="9"/>
      <c r="OVM251" s="4"/>
      <c r="OVN251" s="9"/>
      <c r="OVO251" s="4"/>
      <c r="OVP251" s="9"/>
      <c r="OVQ251" s="4"/>
      <c r="OVR251" s="9"/>
      <c r="OVS251" s="4"/>
      <c r="OVT251" s="9"/>
      <c r="OVU251" s="4"/>
      <c r="OVV251" s="9"/>
      <c r="OVW251" s="4"/>
      <c r="OVX251" s="9"/>
      <c r="OVY251" s="4"/>
      <c r="OVZ251" s="9"/>
      <c r="OWA251" s="4"/>
      <c r="OWB251" s="9"/>
      <c r="OWC251" s="4"/>
      <c r="OWD251" s="9"/>
      <c r="OWE251" s="4"/>
      <c r="OWF251" s="9"/>
      <c r="OWG251" s="4"/>
      <c r="OWH251" s="9"/>
      <c r="OWI251" s="4"/>
      <c r="OWJ251" s="9"/>
      <c r="OWK251" s="4"/>
      <c r="OWL251" s="9"/>
      <c r="OWM251" s="4"/>
      <c r="OWN251" s="9"/>
      <c r="OWO251" s="4"/>
      <c r="OWP251" s="9"/>
      <c r="OWQ251" s="4"/>
      <c r="OWR251" s="9"/>
      <c r="OWS251" s="4"/>
      <c r="OWT251" s="9"/>
      <c r="OWU251" s="4"/>
      <c r="OWV251" s="9"/>
      <c r="OWW251" s="4"/>
      <c r="OWX251" s="9"/>
      <c r="OWY251" s="4"/>
      <c r="OWZ251" s="9"/>
      <c r="OXA251" s="4"/>
      <c r="OXB251" s="9"/>
      <c r="OXC251" s="4"/>
      <c r="OXD251" s="9"/>
      <c r="OXE251" s="4"/>
      <c r="OXF251" s="9"/>
      <c r="OXG251" s="4"/>
      <c r="OXH251" s="9"/>
      <c r="OXI251" s="4"/>
      <c r="OXJ251" s="9"/>
      <c r="OXK251" s="4"/>
      <c r="OXL251" s="9"/>
      <c r="OXM251" s="4"/>
      <c r="OXN251" s="9"/>
      <c r="OXO251" s="4"/>
      <c r="OXP251" s="9"/>
      <c r="OXQ251" s="4"/>
      <c r="OXR251" s="9"/>
      <c r="OXS251" s="4"/>
      <c r="OXT251" s="9"/>
      <c r="OXU251" s="4"/>
      <c r="OXV251" s="9"/>
      <c r="OXW251" s="4"/>
      <c r="OXX251" s="9"/>
      <c r="OXY251" s="4"/>
      <c r="OXZ251" s="9"/>
      <c r="OYA251" s="4"/>
      <c r="OYB251" s="9"/>
      <c r="OYC251" s="4"/>
      <c r="OYD251" s="9"/>
      <c r="OYE251" s="4"/>
      <c r="OYF251" s="9"/>
      <c r="OYG251" s="4"/>
      <c r="OYH251" s="9"/>
      <c r="OYI251" s="4"/>
      <c r="OYJ251" s="9"/>
      <c r="OYK251" s="4"/>
      <c r="OYL251" s="9"/>
      <c r="OYM251" s="4"/>
      <c r="OYN251" s="9"/>
      <c r="OYO251" s="4"/>
      <c r="OYP251" s="9"/>
      <c r="OYQ251" s="4"/>
      <c r="OYR251" s="9"/>
      <c r="OYS251" s="4"/>
      <c r="OYT251" s="9"/>
      <c r="OYU251" s="4"/>
      <c r="OYV251" s="9"/>
      <c r="OYW251" s="4"/>
      <c r="OYX251" s="9"/>
      <c r="OYY251" s="4"/>
      <c r="OYZ251" s="9"/>
      <c r="OZA251" s="4"/>
      <c r="OZB251" s="9"/>
      <c r="OZC251" s="4"/>
      <c r="OZD251" s="9"/>
      <c r="OZE251" s="4"/>
      <c r="OZF251" s="9"/>
      <c r="OZG251" s="4"/>
      <c r="OZH251" s="9"/>
      <c r="OZI251" s="4"/>
      <c r="OZJ251" s="9"/>
      <c r="OZK251" s="4"/>
      <c r="OZL251" s="9"/>
      <c r="OZM251" s="4"/>
      <c r="OZN251" s="9"/>
      <c r="OZO251" s="4"/>
      <c r="OZP251" s="9"/>
      <c r="OZQ251" s="4"/>
      <c r="OZR251" s="9"/>
      <c r="OZS251" s="4"/>
      <c r="OZT251" s="9"/>
      <c r="OZU251" s="4"/>
      <c r="OZV251" s="9"/>
      <c r="OZW251" s="4"/>
      <c r="OZX251" s="9"/>
      <c r="OZY251" s="4"/>
      <c r="OZZ251" s="9"/>
      <c r="PAA251" s="4"/>
      <c r="PAB251" s="9"/>
      <c r="PAC251" s="4"/>
      <c r="PAD251" s="9"/>
      <c r="PAE251" s="4"/>
      <c r="PAF251" s="9"/>
      <c r="PAG251" s="4"/>
      <c r="PAH251" s="9"/>
      <c r="PAI251" s="4"/>
      <c r="PAJ251" s="9"/>
      <c r="PAK251" s="4"/>
      <c r="PAL251" s="9"/>
      <c r="PAM251" s="4"/>
      <c r="PAN251" s="9"/>
      <c r="PAO251" s="4"/>
      <c r="PAP251" s="9"/>
      <c r="PAQ251" s="4"/>
      <c r="PAR251" s="9"/>
      <c r="PAS251" s="4"/>
      <c r="PAT251" s="9"/>
      <c r="PAU251" s="4"/>
      <c r="PAV251" s="9"/>
      <c r="PAW251" s="4"/>
      <c r="PAX251" s="9"/>
      <c r="PAY251" s="4"/>
      <c r="PAZ251" s="9"/>
      <c r="PBA251" s="4"/>
      <c r="PBB251" s="9"/>
      <c r="PBC251" s="4"/>
      <c r="PBD251" s="9"/>
      <c r="PBE251" s="4"/>
      <c r="PBF251" s="9"/>
      <c r="PBG251" s="4"/>
      <c r="PBH251" s="9"/>
      <c r="PBI251" s="4"/>
      <c r="PBJ251" s="9"/>
      <c r="PBK251" s="4"/>
      <c r="PBL251" s="9"/>
      <c r="PBM251" s="4"/>
      <c r="PBN251" s="9"/>
      <c r="PBO251" s="4"/>
      <c r="PBP251" s="9"/>
      <c r="PBQ251" s="4"/>
      <c r="PBR251" s="9"/>
      <c r="PBS251" s="4"/>
      <c r="PBT251" s="9"/>
      <c r="PBU251" s="4"/>
      <c r="PBV251" s="9"/>
      <c r="PBW251" s="4"/>
      <c r="PBX251" s="9"/>
      <c r="PBY251" s="4"/>
      <c r="PBZ251" s="9"/>
      <c r="PCA251" s="4"/>
      <c r="PCB251" s="9"/>
      <c r="PCC251" s="4"/>
      <c r="PCD251" s="9"/>
      <c r="PCE251" s="4"/>
      <c r="PCF251" s="9"/>
      <c r="PCG251" s="4"/>
      <c r="PCH251" s="9"/>
      <c r="PCI251" s="4"/>
      <c r="PCJ251" s="9"/>
      <c r="PCK251" s="4"/>
      <c r="PCL251" s="9"/>
      <c r="PCM251" s="4"/>
      <c r="PCN251" s="9"/>
      <c r="PCO251" s="4"/>
      <c r="PCP251" s="9"/>
      <c r="PCQ251" s="4"/>
      <c r="PCR251" s="9"/>
      <c r="PCS251" s="4"/>
      <c r="PCT251" s="9"/>
      <c r="PCU251" s="4"/>
      <c r="PCV251" s="9"/>
      <c r="PCW251" s="4"/>
      <c r="PCX251" s="9"/>
      <c r="PCY251" s="4"/>
      <c r="PCZ251" s="9"/>
      <c r="PDA251" s="4"/>
      <c r="PDB251" s="9"/>
      <c r="PDC251" s="4"/>
      <c r="PDD251" s="9"/>
      <c r="PDE251" s="4"/>
      <c r="PDF251" s="9"/>
      <c r="PDG251" s="4"/>
      <c r="PDH251" s="9"/>
      <c r="PDI251" s="4"/>
      <c r="PDJ251" s="9"/>
      <c r="PDK251" s="4"/>
      <c r="PDL251" s="9"/>
      <c r="PDM251" s="4"/>
      <c r="PDN251" s="9"/>
      <c r="PDO251" s="4"/>
      <c r="PDP251" s="9"/>
      <c r="PDQ251" s="4"/>
      <c r="PDR251" s="9"/>
      <c r="PDS251" s="4"/>
      <c r="PDT251" s="9"/>
      <c r="PDU251" s="4"/>
      <c r="PDV251" s="9"/>
      <c r="PDW251" s="4"/>
      <c r="PDX251" s="9"/>
      <c r="PDY251" s="4"/>
      <c r="PDZ251" s="9"/>
      <c r="PEA251" s="4"/>
      <c r="PEB251" s="9"/>
      <c r="PEC251" s="4"/>
      <c r="PED251" s="9"/>
      <c r="PEE251" s="4"/>
      <c r="PEF251" s="9"/>
      <c r="PEG251" s="4"/>
      <c r="PEH251" s="9"/>
      <c r="PEI251" s="4"/>
      <c r="PEJ251" s="9"/>
      <c r="PEK251" s="4"/>
      <c r="PEL251" s="9"/>
      <c r="PEM251" s="4"/>
      <c r="PEN251" s="9"/>
      <c r="PEO251" s="4"/>
      <c r="PEP251" s="9"/>
      <c r="PEQ251" s="4"/>
      <c r="PER251" s="9"/>
      <c r="PES251" s="4"/>
      <c r="PET251" s="9"/>
      <c r="PEU251" s="4"/>
      <c r="PEV251" s="9"/>
      <c r="PEW251" s="4"/>
      <c r="PEX251" s="9"/>
      <c r="PEY251" s="4"/>
      <c r="PEZ251" s="9"/>
      <c r="PFA251" s="4"/>
      <c r="PFB251" s="9"/>
      <c r="PFC251" s="4"/>
      <c r="PFD251" s="9"/>
      <c r="PFE251" s="4"/>
      <c r="PFF251" s="9"/>
      <c r="PFG251" s="4"/>
      <c r="PFH251" s="9"/>
      <c r="PFI251" s="4"/>
      <c r="PFJ251" s="9"/>
      <c r="PFK251" s="4"/>
      <c r="PFL251" s="9"/>
      <c r="PFM251" s="4"/>
      <c r="PFN251" s="9"/>
      <c r="PFO251" s="4"/>
      <c r="PFP251" s="9"/>
      <c r="PFQ251" s="4"/>
      <c r="PFR251" s="9"/>
      <c r="PFS251" s="4"/>
      <c r="PFT251" s="9"/>
      <c r="PFU251" s="4"/>
      <c r="PFV251" s="9"/>
      <c r="PFW251" s="4"/>
      <c r="PFX251" s="9"/>
      <c r="PFY251" s="4"/>
      <c r="PFZ251" s="9"/>
      <c r="PGA251" s="4"/>
      <c r="PGB251" s="9"/>
      <c r="PGC251" s="4"/>
      <c r="PGD251" s="9"/>
      <c r="PGE251" s="4"/>
      <c r="PGF251" s="9"/>
      <c r="PGG251" s="4"/>
      <c r="PGH251" s="9"/>
      <c r="PGI251" s="4"/>
      <c r="PGJ251" s="9"/>
      <c r="PGK251" s="4"/>
      <c r="PGL251" s="9"/>
      <c r="PGM251" s="4"/>
      <c r="PGN251" s="9"/>
      <c r="PGO251" s="4"/>
      <c r="PGP251" s="9"/>
      <c r="PGQ251" s="4"/>
      <c r="PGR251" s="9"/>
      <c r="PGS251" s="4"/>
      <c r="PGT251" s="9"/>
      <c r="PGU251" s="4"/>
      <c r="PGV251" s="9"/>
      <c r="PGW251" s="4"/>
      <c r="PGX251" s="9"/>
      <c r="PGY251" s="4"/>
      <c r="PGZ251" s="9"/>
      <c r="PHA251" s="4"/>
      <c r="PHB251" s="9"/>
      <c r="PHC251" s="4"/>
      <c r="PHD251" s="9"/>
      <c r="PHE251" s="4"/>
      <c r="PHF251" s="9"/>
      <c r="PHG251" s="4"/>
      <c r="PHH251" s="9"/>
      <c r="PHI251" s="4"/>
      <c r="PHJ251" s="9"/>
      <c r="PHK251" s="4"/>
      <c r="PHL251" s="9"/>
      <c r="PHM251" s="4"/>
      <c r="PHN251" s="9"/>
      <c r="PHO251" s="4"/>
      <c r="PHP251" s="9"/>
      <c r="PHQ251" s="4"/>
      <c r="PHR251" s="9"/>
      <c r="PHS251" s="4"/>
      <c r="PHT251" s="9"/>
      <c r="PHU251" s="4"/>
      <c r="PHV251" s="9"/>
      <c r="PHW251" s="4"/>
      <c r="PHX251" s="9"/>
      <c r="PHY251" s="4"/>
      <c r="PHZ251" s="9"/>
      <c r="PIA251" s="4"/>
      <c r="PIB251" s="9"/>
      <c r="PIC251" s="4"/>
      <c r="PID251" s="9"/>
      <c r="PIE251" s="4"/>
      <c r="PIF251" s="9"/>
      <c r="PIG251" s="4"/>
      <c r="PIH251" s="9"/>
      <c r="PII251" s="4"/>
      <c r="PIJ251" s="9"/>
      <c r="PIK251" s="4"/>
      <c r="PIL251" s="9"/>
      <c r="PIM251" s="4"/>
      <c r="PIN251" s="9"/>
      <c r="PIO251" s="4"/>
      <c r="PIP251" s="9"/>
      <c r="PIQ251" s="4"/>
      <c r="PIR251" s="9"/>
      <c r="PIS251" s="4"/>
      <c r="PIT251" s="9"/>
      <c r="PIU251" s="4"/>
      <c r="PIV251" s="9"/>
      <c r="PIW251" s="4"/>
      <c r="PIX251" s="9"/>
      <c r="PIY251" s="4"/>
      <c r="PIZ251" s="9"/>
      <c r="PJA251" s="4"/>
      <c r="PJB251" s="9"/>
      <c r="PJC251" s="4"/>
      <c r="PJD251" s="9"/>
      <c r="PJE251" s="4"/>
      <c r="PJF251" s="9"/>
      <c r="PJG251" s="4"/>
      <c r="PJH251" s="9"/>
      <c r="PJI251" s="4"/>
      <c r="PJJ251" s="9"/>
      <c r="PJK251" s="4"/>
      <c r="PJL251" s="9"/>
      <c r="PJM251" s="4"/>
      <c r="PJN251" s="9"/>
      <c r="PJO251" s="4"/>
      <c r="PJP251" s="9"/>
      <c r="PJQ251" s="4"/>
      <c r="PJR251" s="9"/>
      <c r="PJS251" s="4"/>
      <c r="PJT251" s="9"/>
      <c r="PJU251" s="4"/>
      <c r="PJV251" s="9"/>
      <c r="PJW251" s="4"/>
      <c r="PJX251" s="9"/>
      <c r="PJY251" s="4"/>
      <c r="PJZ251" s="9"/>
      <c r="PKA251" s="4"/>
      <c r="PKB251" s="9"/>
      <c r="PKC251" s="4"/>
      <c r="PKD251" s="9"/>
      <c r="PKE251" s="4"/>
      <c r="PKF251" s="9"/>
      <c r="PKG251" s="4"/>
      <c r="PKH251" s="9"/>
      <c r="PKI251" s="4"/>
      <c r="PKJ251" s="9"/>
      <c r="PKK251" s="4"/>
      <c r="PKL251" s="9"/>
      <c r="PKM251" s="4"/>
      <c r="PKN251" s="9"/>
      <c r="PKO251" s="4"/>
      <c r="PKP251" s="9"/>
      <c r="PKQ251" s="4"/>
      <c r="PKR251" s="9"/>
      <c r="PKS251" s="4"/>
      <c r="PKT251" s="9"/>
      <c r="PKU251" s="4"/>
      <c r="PKV251" s="9"/>
      <c r="PKW251" s="4"/>
      <c r="PKX251" s="9"/>
      <c r="PKY251" s="4"/>
      <c r="PKZ251" s="9"/>
      <c r="PLA251" s="4"/>
      <c r="PLB251" s="9"/>
      <c r="PLC251" s="4"/>
      <c r="PLD251" s="9"/>
      <c r="PLE251" s="4"/>
      <c r="PLF251" s="9"/>
      <c r="PLG251" s="4"/>
      <c r="PLH251" s="9"/>
      <c r="PLI251" s="4"/>
      <c r="PLJ251" s="9"/>
      <c r="PLK251" s="4"/>
      <c r="PLL251" s="9"/>
      <c r="PLM251" s="4"/>
      <c r="PLN251" s="9"/>
      <c r="PLO251" s="4"/>
      <c r="PLP251" s="9"/>
      <c r="PLQ251" s="4"/>
      <c r="PLR251" s="9"/>
      <c r="PLS251" s="4"/>
      <c r="PLT251" s="9"/>
      <c r="PLU251" s="4"/>
      <c r="PLV251" s="9"/>
      <c r="PLW251" s="4"/>
      <c r="PLX251" s="9"/>
      <c r="PLY251" s="4"/>
      <c r="PLZ251" s="9"/>
      <c r="PMA251" s="4"/>
      <c r="PMB251" s="9"/>
      <c r="PMC251" s="4"/>
      <c r="PMD251" s="9"/>
      <c r="PME251" s="4"/>
      <c r="PMF251" s="9"/>
      <c r="PMG251" s="4"/>
      <c r="PMH251" s="9"/>
      <c r="PMI251" s="4"/>
      <c r="PMJ251" s="9"/>
      <c r="PMK251" s="4"/>
      <c r="PML251" s="9"/>
      <c r="PMM251" s="4"/>
      <c r="PMN251" s="9"/>
      <c r="PMO251" s="4"/>
      <c r="PMP251" s="9"/>
      <c r="PMQ251" s="4"/>
      <c r="PMR251" s="9"/>
      <c r="PMS251" s="4"/>
      <c r="PMT251" s="9"/>
      <c r="PMU251" s="4"/>
      <c r="PMV251" s="9"/>
      <c r="PMW251" s="4"/>
      <c r="PMX251" s="9"/>
      <c r="PMY251" s="4"/>
      <c r="PMZ251" s="9"/>
      <c r="PNA251" s="4"/>
      <c r="PNB251" s="9"/>
      <c r="PNC251" s="4"/>
      <c r="PND251" s="9"/>
      <c r="PNE251" s="4"/>
      <c r="PNF251" s="9"/>
      <c r="PNG251" s="4"/>
      <c r="PNH251" s="9"/>
      <c r="PNI251" s="4"/>
      <c r="PNJ251" s="9"/>
      <c r="PNK251" s="4"/>
      <c r="PNL251" s="9"/>
      <c r="PNM251" s="4"/>
      <c r="PNN251" s="9"/>
      <c r="PNO251" s="4"/>
      <c r="PNP251" s="9"/>
      <c r="PNQ251" s="4"/>
      <c r="PNR251" s="9"/>
      <c r="PNS251" s="4"/>
      <c r="PNT251" s="9"/>
      <c r="PNU251" s="4"/>
      <c r="PNV251" s="9"/>
      <c r="PNW251" s="4"/>
      <c r="PNX251" s="9"/>
      <c r="PNY251" s="4"/>
      <c r="PNZ251" s="9"/>
      <c r="POA251" s="4"/>
      <c r="POB251" s="9"/>
      <c r="POC251" s="4"/>
      <c r="POD251" s="9"/>
      <c r="POE251" s="4"/>
      <c r="POF251" s="9"/>
      <c r="POG251" s="4"/>
      <c r="POH251" s="9"/>
      <c r="POI251" s="4"/>
      <c r="POJ251" s="9"/>
      <c r="POK251" s="4"/>
      <c r="POL251" s="9"/>
      <c r="POM251" s="4"/>
      <c r="PON251" s="9"/>
      <c r="POO251" s="4"/>
      <c r="POP251" s="9"/>
      <c r="POQ251" s="4"/>
      <c r="POR251" s="9"/>
      <c r="POS251" s="4"/>
      <c r="POT251" s="9"/>
      <c r="POU251" s="4"/>
      <c r="POV251" s="9"/>
      <c r="POW251" s="4"/>
      <c r="POX251" s="9"/>
      <c r="POY251" s="4"/>
      <c r="POZ251" s="9"/>
      <c r="PPA251" s="4"/>
      <c r="PPB251" s="9"/>
      <c r="PPC251" s="4"/>
      <c r="PPD251" s="9"/>
      <c r="PPE251" s="4"/>
      <c r="PPF251" s="9"/>
      <c r="PPG251" s="4"/>
      <c r="PPH251" s="9"/>
      <c r="PPI251" s="4"/>
      <c r="PPJ251" s="9"/>
      <c r="PPK251" s="4"/>
      <c r="PPL251" s="9"/>
      <c r="PPM251" s="4"/>
      <c r="PPN251" s="9"/>
      <c r="PPO251" s="4"/>
      <c r="PPP251" s="9"/>
      <c r="PPQ251" s="4"/>
      <c r="PPR251" s="9"/>
      <c r="PPS251" s="4"/>
      <c r="PPT251" s="9"/>
      <c r="PPU251" s="4"/>
      <c r="PPV251" s="9"/>
      <c r="PPW251" s="4"/>
      <c r="PPX251" s="9"/>
      <c r="PPY251" s="4"/>
      <c r="PPZ251" s="9"/>
      <c r="PQA251" s="4"/>
      <c r="PQB251" s="9"/>
      <c r="PQC251" s="4"/>
      <c r="PQD251" s="9"/>
      <c r="PQE251" s="4"/>
      <c r="PQF251" s="9"/>
      <c r="PQG251" s="4"/>
      <c r="PQH251" s="9"/>
      <c r="PQI251" s="4"/>
      <c r="PQJ251" s="9"/>
      <c r="PQK251" s="4"/>
      <c r="PQL251" s="9"/>
      <c r="PQM251" s="4"/>
      <c r="PQN251" s="9"/>
      <c r="PQO251" s="4"/>
      <c r="PQP251" s="9"/>
      <c r="PQQ251" s="4"/>
      <c r="PQR251" s="9"/>
      <c r="PQS251" s="4"/>
      <c r="PQT251" s="9"/>
      <c r="PQU251" s="4"/>
      <c r="PQV251" s="9"/>
      <c r="PQW251" s="4"/>
      <c r="PQX251" s="9"/>
      <c r="PQY251" s="4"/>
      <c r="PQZ251" s="9"/>
      <c r="PRA251" s="4"/>
      <c r="PRB251" s="9"/>
      <c r="PRC251" s="4"/>
      <c r="PRD251" s="9"/>
      <c r="PRE251" s="4"/>
      <c r="PRF251" s="9"/>
      <c r="PRG251" s="4"/>
      <c r="PRH251" s="9"/>
      <c r="PRI251" s="4"/>
      <c r="PRJ251" s="9"/>
      <c r="PRK251" s="4"/>
      <c r="PRL251" s="9"/>
      <c r="PRM251" s="4"/>
      <c r="PRN251" s="9"/>
      <c r="PRO251" s="4"/>
      <c r="PRP251" s="9"/>
      <c r="PRQ251" s="4"/>
      <c r="PRR251" s="9"/>
      <c r="PRS251" s="4"/>
      <c r="PRT251" s="9"/>
      <c r="PRU251" s="4"/>
      <c r="PRV251" s="9"/>
      <c r="PRW251" s="4"/>
      <c r="PRX251" s="9"/>
      <c r="PRY251" s="4"/>
      <c r="PRZ251" s="9"/>
      <c r="PSA251" s="4"/>
      <c r="PSB251" s="9"/>
      <c r="PSC251" s="4"/>
      <c r="PSD251" s="9"/>
      <c r="PSE251" s="4"/>
      <c r="PSF251" s="9"/>
      <c r="PSG251" s="4"/>
      <c r="PSH251" s="9"/>
      <c r="PSI251" s="4"/>
      <c r="PSJ251" s="9"/>
      <c r="PSK251" s="4"/>
      <c r="PSL251" s="9"/>
      <c r="PSM251" s="4"/>
      <c r="PSN251" s="9"/>
      <c r="PSO251" s="4"/>
      <c r="PSP251" s="9"/>
      <c r="PSQ251" s="4"/>
      <c r="PSR251" s="9"/>
      <c r="PSS251" s="4"/>
      <c r="PST251" s="9"/>
      <c r="PSU251" s="4"/>
      <c r="PSV251" s="9"/>
      <c r="PSW251" s="4"/>
      <c r="PSX251" s="9"/>
      <c r="PSY251" s="4"/>
      <c r="PSZ251" s="9"/>
      <c r="PTA251" s="4"/>
      <c r="PTB251" s="9"/>
      <c r="PTC251" s="4"/>
      <c r="PTD251" s="9"/>
      <c r="PTE251" s="4"/>
      <c r="PTF251" s="9"/>
      <c r="PTG251" s="4"/>
      <c r="PTH251" s="9"/>
      <c r="PTI251" s="4"/>
      <c r="PTJ251" s="9"/>
      <c r="PTK251" s="4"/>
      <c r="PTL251" s="9"/>
      <c r="PTM251" s="4"/>
      <c r="PTN251" s="9"/>
      <c r="PTO251" s="4"/>
      <c r="PTP251" s="9"/>
      <c r="PTQ251" s="4"/>
      <c r="PTR251" s="9"/>
      <c r="PTS251" s="4"/>
      <c r="PTT251" s="9"/>
      <c r="PTU251" s="4"/>
      <c r="PTV251" s="9"/>
      <c r="PTW251" s="4"/>
      <c r="PTX251" s="9"/>
      <c r="PTY251" s="4"/>
      <c r="PTZ251" s="9"/>
      <c r="PUA251" s="4"/>
      <c r="PUB251" s="9"/>
      <c r="PUC251" s="4"/>
      <c r="PUD251" s="9"/>
      <c r="PUE251" s="4"/>
      <c r="PUF251" s="9"/>
      <c r="PUG251" s="4"/>
      <c r="PUH251" s="9"/>
      <c r="PUI251" s="4"/>
      <c r="PUJ251" s="9"/>
      <c r="PUK251" s="4"/>
      <c r="PUL251" s="9"/>
      <c r="PUM251" s="4"/>
      <c r="PUN251" s="9"/>
      <c r="PUO251" s="4"/>
      <c r="PUP251" s="9"/>
      <c r="PUQ251" s="4"/>
      <c r="PUR251" s="9"/>
      <c r="PUS251" s="4"/>
      <c r="PUT251" s="9"/>
      <c r="PUU251" s="4"/>
      <c r="PUV251" s="9"/>
      <c r="PUW251" s="4"/>
      <c r="PUX251" s="9"/>
      <c r="PUY251" s="4"/>
      <c r="PUZ251" s="9"/>
      <c r="PVA251" s="4"/>
      <c r="PVB251" s="9"/>
      <c r="PVC251" s="4"/>
      <c r="PVD251" s="9"/>
      <c r="PVE251" s="4"/>
      <c r="PVF251" s="9"/>
      <c r="PVG251" s="4"/>
      <c r="PVH251" s="9"/>
      <c r="PVI251" s="4"/>
      <c r="PVJ251" s="9"/>
      <c r="PVK251" s="4"/>
      <c r="PVL251" s="9"/>
      <c r="PVM251" s="4"/>
      <c r="PVN251" s="9"/>
      <c r="PVO251" s="4"/>
      <c r="PVP251" s="9"/>
      <c r="PVQ251" s="4"/>
      <c r="PVR251" s="9"/>
      <c r="PVS251" s="4"/>
      <c r="PVT251" s="9"/>
      <c r="PVU251" s="4"/>
      <c r="PVV251" s="9"/>
      <c r="PVW251" s="4"/>
      <c r="PVX251" s="9"/>
      <c r="PVY251" s="4"/>
      <c r="PVZ251" s="9"/>
      <c r="PWA251" s="4"/>
      <c r="PWB251" s="9"/>
      <c r="PWC251" s="4"/>
      <c r="PWD251" s="9"/>
      <c r="PWE251" s="4"/>
      <c r="PWF251" s="9"/>
      <c r="PWG251" s="4"/>
      <c r="PWH251" s="9"/>
      <c r="PWI251" s="4"/>
      <c r="PWJ251" s="9"/>
      <c r="PWK251" s="4"/>
      <c r="PWL251" s="9"/>
      <c r="PWM251" s="4"/>
      <c r="PWN251" s="9"/>
      <c r="PWO251" s="4"/>
      <c r="PWP251" s="9"/>
      <c r="PWQ251" s="4"/>
      <c r="PWR251" s="9"/>
      <c r="PWS251" s="4"/>
      <c r="PWT251" s="9"/>
      <c r="PWU251" s="4"/>
      <c r="PWV251" s="9"/>
      <c r="PWW251" s="4"/>
      <c r="PWX251" s="9"/>
      <c r="PWY251" s="4"/>
      <c r="PWZ251" s="9"/>
      <c r="PXA251" s="4"/>
      <c r="PXB251" s="9"/>
      <c r="PXC251" s="4"/>
      <c r="PXD251" s="9"/>
      <c r="PXE251" s="4"/>
      <c r="PXF251" s="9"/>
      <c r="PXG251" s="4"/>
      <c r="PXH251" s="9"/>
      <c r="PXI251" s="4"/>
      <c r="PXJ251" s="9"/>
      <c r="PXK251" s="4"/>
      <c r="PXL251" s="9"/>
      <c r="PXM251" s="4"/>
      <c r="PXN251" s="9"/>
      <c r="PXO251" s="4"/>
      <c r="PXP251" s="9"/>
      <c r="PXQ251" s="4"/>
      <c r="PXR251" s="9"/>
      <c r="PXS251" s="4"/>
      <c r="PXT251" s="9"/>
      <c r="PXU251" s="4"/>
      <c r="PXV251" s="9"/>
      <c r="PXW251" s="4"/>
      <c r="PXX251" s="9"/>
      <c r="PXY251" s="4"/>
      <c r="PXZ251" s="9"/>
      <c r="PYA251" s="4"/>
      <c r="PYB251" s="9"/>
      <c r="PYC251" s="4"/>
      <c r="PYD251" s="9"/>
      <c r="PYE251" s="4"/>
      <c r="PYF251" s="9"/>
      <c r="PYG251" s="4"/>
      <c r="PYH251" s="9"/>
      <c r="PYI251" s="4"/>
      <c r="PYJ251" s="9"/>
      <c r="PYK251" s="4"/>
      <c r="PYL251" s="9"/>
      <c r="PYM251" s="4"/>
      <c r="PYN251" s="9"/>
      <c r="PYO251" s="4"/>
      <c r="PYP251" s="9"/>
      <c r="PYQ251" s="4"/>
      <c r="PYR251" s="9"/>
      <c r="PYS251" s="4"/>
      <c r="PYT251" s="9"/>
      <c r="PYU251" s="4"/>
      <c r="PYV251" s="9"/>
      <c r="PYW251" s="4"/>
      <c r="PYX251" s="9"/>
      <c r="PYY251" s="4"/>
      <c r="PYZ251" s="9"/>
      <c r="PZA251" s="4"/>
      <c r="PZB251" s="9"/>
      <c r="PZC251" s="4"/>
      <c r="PZD251" s="9"/>
      <c r="PZE251" s="4"/>
      <c r="PZF251" s="9"/>
      <c r="PZG251" s="4"/>
      <c r="PZH251" s="9"/>
      <c r="PZI251" s="4"/>
      <c r="PZJ251" s="9"/>
      <c r="PZK251" s="4"/>
      <c r="PZL251" s="9"/>
      <c r="PZM251" s="4"/>
      <c r="PZN251" s="9"/>
      <c r="PZO251" s="4"/>
      <c r="PZP251" s="9"/>
      <c r="PZQ251" s="4"/>
      <c r="PZR251" s="9"/>
      <c r="PZS251" s="4"/>
      <c r="PZT251" s="9"/>
      <c r="PZU251" s="4"/>
      <c r="PZV251" s="9"/>
      <c r="PZW251" s="4"/>
      <c r="PZX251" s="9"/>
      <c r="PZY251" s="4"/>
      <c r="PZZ251" s="9"/>
      <c r="QAA251" s="4"/>
      <c r="QAB251" s="9"/>
      <c r="QAC251" s="4"/>
      <c r="QAD251" s="9"/>
      <c r="QAE251" s="4"/>
      <c r="QAF251" s="9"/>
      <c r="QAG251" s="4"/>
      <c r="QAH251" s="9"/>
      <c r="QAI251" s="4"/>
      <c r="QAJ251" s="9"/>
      <c r="QAK251" s="4"/>
      <c r="QAL251" s="9"/>
      <c r="QAM251" s="4"/>
      <c r="QAN251" s="9"/>
      <c r="QAO251" s="4"/>
      <c r="QAP251" s="9"/>
      <c r="QAQ251" s="4"/>
      <c r="QAR251" s="9"/>
      <c r="QAS251" s="4"/>
      <c r="QAT251" s="9"/>
      <c r="QAU251" s="4"/>
      <c r="QAV251" s="9"/>
      <c r="QAW251" s="4"/>
      <c r="QAX251" s="9"/>
      <c r="QAY251" s="4"/>
      <c r="QAZ251" s="9"/>
      <c r="QBA251" s="4"/>
      <c r="QBB251" s="9"/>
      <c r="QBC251" s="4"/>
      <c r="QBD251" s="9"/>
      <c r="QBE251" s="4"/>
      <c r="QBF251" s="9"/>
      <c r="QBG251" s="4"/>
      <c r="QBH251" s="9"/>
      <c r="QBI251" s="4"/>
      <c r="QBJ251" s="9"/>
      <c r="QBK251" s="4"/>
      <c r="QBL251" s="9"/>
      <c r="QBM251" s="4"/>
      <c r="QBN251" s="9"/>
      <c r="QBO251" s="4"/>
      <c r="QBP251" s="9"/>
      <c r="QBQ251" s="4"/>
      <c r="QBR251" s="9"/>
      <c r="QBS251" s="4"/>
      <c r="QBT251" s="9"/>
      <c r="QBU251" s="4"/>
      <c r="QBV251" s="9"/>
      <c r="QBW251" s="4"/>
      <c r="QBX251" s="9"/>
      <c r="QBY251" s="4"/>
      <c r="QBZ251" s="9"/>
      <c r="QCA251" s="4"/>
      <c r="QCB251" s="9"/>
      <c r="QCC251" s="4"/>
      <c r="QCD251" s="9"/>
      <c r="QCE251" s="4"/>
      <c r="QCF251" s="9"/>
      <c r="QCG251" s="4"/>
      <c r="QCH251" s="9"/>
      <c r="QCI251" s="4"/>
      <c r="QCJ251" s="9"/>
      <c r="QCK251" s="4"/>
      <c r="QCL251" s="9"/>
      <c r="QCM251" s="4"/>
      <c r="QCN251" s="9"/>
      <c r="QCO251" s="4"/>
      <c r="QCP251" s="9"/>
      <c r="QCQ251" s="4"/>
      <c r="QCR251" s="9"/>
      <c r="QCS251" s="4"/>
      <c r="QCT251" s="9"/>
      <c r="QCU251" s="4"/>
      <c r="QCV251" s="9"/>
      <c r="QCW251" s="4"/>
      <c r="QCX251" s="9"/>
      <c r="QCY251" s="4"/>
      <c r="QCZ251" s="9"/>
      <c r="QDA251" s="4"/>
      <c r="QDB251" s="9"/>
      <c r="QDC251" s="4"/>
      <c r="QDD251" s="9"/>
      <c r="QDE251" s="4"/>
      <c r="QDF251" s="9"/>
      <c r="QDG251" s="4"/>
      <c r="QDH251" s="9"/>
      <c r="QDI251" s="4"/>
      <c r="QDJ251" s="9"/>
      <c r="QDK251" s="4"/>
      <c r="QDL251" s="9"/>
      <c r="QDM251" s="4"/>
      <c r="QDN251" s="9"/>
      <c r="QDO251" s="4"/>
      <c r="QDP251" s="9"/>
      <c r="QDQ251" s="4"/>
      <c r="QDR251" s="9"/>
      <c r="QDS251" s="4"/>
      <c r="QDT251" s="9"/>
      <c r="QDU251" s="4"/>
      <c r="QDV251" s="9"/>
      <c r="QDW251" s="4"/>
      <c r="QDX251" s="9"/>
      <c r="QDY251" s="4"/>
      <c r="QDZ251" s="9"/>
      <c r="QEA251" s="4"/>
      <c r="QEB251" s="9"/>
      <c r="QEC251" s="4"/>
      <c r="QED251" s="9"/>
      <c r="QEE251" s="4"/>
      <c r="QEF251" s="9"/>
      <c r="QEG251" s="4"/>
      <c r="QEH251" s="9"/>
      <c r="QEI251" s="4"/>
      <c r="QEJ251" s="9"/>
      <c r="QEK251" s="4"/>
      <c r="QEL251" s="9"/>
      <c r="QEM251" s="4"/>
      <c r="QEN251" s="9"/>
      <c r="QEO251" s="4"/>
      <c r="QEP251" s="9"/>
      <c r="QEQ251" s="4"/>
      <c r="QER251" s="9"/>
      <c r="QES251" s="4"/>
      <c r="QET251" s="9"/>
      <c r="QEU251" s="4"/>
      <c r="QEV251" s="9"/>
      <c r="QEW251" s="4"/>
      <c r="QEX251" s="9"/>
      <c r="QEY251" s="4"/>
      <c r="QEZ251" s="9"/>
      <c r="QFA251" s="4"/>
      <c r="QFB251" s="9"/>
      <c r="QFC251" s="4"/>
      <c r="QFD251" s="9"/>
      <c r="QFE251" s="4"/>
      <c r="QFF251" s="9"/>
      <c r="QFG251" s="4"/>
      <c r="QFH251" s="9"/>
      <c r="QFI251" s="4"/>
      <c r="QFJ251" s="9"/>
      <c r="QFK251" s="4"/>
      <c r="QFL251" s="9"/>
      <c r="QFM251" s="4"/>
      <c r="QFN251" s="9"/>
      <c r="QFO251" s="4"/>
      <c r="QFP251" s="9"/>
      <c r="QFQ251" s="4"/>
      <c r="QFR251" s="9"/>
      <c r="QFS251" s="4"/>
      <c r="QFT251" s="9"/>
      <c r="QFU251" s="4"/>
      <c r="QFV251" s="9"/>
      <c r="QFW251" s="4"/>
      <c r="QFX251" s="9"/>
      <c r="QFY251" s="4"/>
      <c r="QFZ251" s="9"/>
      <c r="QGA251" s="4"/>
      <c r="QGB251" s="9"/>
      <c r="QGC251" s="4"/>
      <c r="QGD251" s="9"/>
      <c r="QGE251" s="4"/>
      <c r="QGF251" s="9"/>
      <c r="QGG251" s="4"/>
      <c r="QGH251" s="9"/>
      <c r="QGI251" s="4"/>
      <c r="QGJ251" s="9"/>
      <c r="QGK251" s="4"/>
      <c r="QGL251" s="9"/>
      <c r="QGM251" s="4"/>
      <c r="QGN251" s="9"/>
      <c r="QGO251" s="4"/>
      <c r="QGP251" s="9"/>
      <c r="QGQ251" s="4"/>
      <c r="QGR251" s="9"/>
      <c r="QGS251" s="4"/>
      <c r="QGT251" s="9"/>
      <c r="QGU251" s="4"/>
      <c r="QGV251" s="9"/>
      <c r="QGW251" s="4"/>
      <c r="QGX251" s="9"/>
      <c r="QGY251" s="4"/>
      <c r="QGZ251" s="9"/>
      <c r="QHA251" s="4"/>
      <c r="QHB251" s="9"/>
      <c r="QHC251" s="4"/>
      <c r="QHD251" s="9"/>
      <c r="QHE251" s="4"/>
      <c r="QHF251" s="9"/>
      <c r="QHG251" s="4"/>
      <c r="QHH251" s="9"/>
      <c r="QHI251" s="4"/>
      <c r="QHJ251" s="9"/>
      <c r="QHK251" s="4"/>
      <c r="QHL251" s="9"/>
      <c r="QHM251" s="4"/>
      <c r="QHN251" s="9"/>
      <c r="QHO251" s="4"/>
      <c r="QHP251" s="9"/>
      <c r="QHQ251" s="4"/>
      <c r="QHR251" s="9"/>
      <c r="QHS251" s="4"/>
      <c r="QHT251" s="9"/>
      <c r="QHU251" s="4"/>
      <c r="QHV251" s="9"/>
      <c r="QHW251" s="4"/>
      <c r="QHX251" s="9"/>
      <c r="QHY251" s="4"/>
      <c r="QHZ251" s="9"/>
      <c r="QIA251" s="4"/>
      <c r="QIB251" s="9"/>
      <c r="QIC251" s="4"/>
      <c r="QID251" s="9"/>
      <c r="QIE251" s="4"/>
      <c r="QIF251" s="9"/>
      <c r="QIG251" s="4"/>
      <c r="QIH251" s="9"/>
      <c r="QII251" s="4"/>
      <c r="QIJ251" s="9"/>
      <c r="QIK251" s="4"/>
      <c r="QIL251" s="9"/>
      <c r="QIM251" s="4"/>
      <c r="QIN251" s="9"/>
      <c r="QIO251" s="4"/>
      <c r="QIP251" s="9"/>
      <c r="QIQ251" s="4"/>
      <c r="QIR251" s="9"/>
      <c r="QIS251" s="4"/>
      <c r="QIT251" s="9"/>
      <c r="QIU251" s="4"/>
      <c r="QIV251" s="9"/>
      <c r="QIW251" s="4"/>
      <c r="QIX251" s="9"/>
      <c r="QIY251" s="4"/>
      <c r="QIZ251" s="9"/>
      <c r="QJA251" s="4"/>
      <c r="QJB251" s="9"/>
      <c r="QJC251" s="4"/>
      <c r="QJD251" s="9"/>
      <c r="QJE251" s="4"/>
      <c r="QJF251" s="9"/>
      <c r="QJG251" s="4"/>
      <c r="QJH251" s="9"/>
      <c r="QJI251" s="4"/>
      <c r="QJJ251" s="9"/>
      <c r="QJK251" s="4"/>
      <c r="QJL251" s="9"/>
      <c r="QJM251" s="4"/>
      <c r="QJN251" s="9"/>
      <c r="QJO251" s="4"/>
      <c r="QJP251" s="9"/>
      <c r="QJQ251" s="4"/>
      <c r="QJR251" s="9"/>
      <c r="QJS251" s="4"/>
      <c r="QJT251" s="9"/>
      <c r="QJU251" s="4"/>
      <c r="QJV251" s="9"/>
      <c r="QJW251" s="4"/>
      <c r="QJX251" s="9"/>
      <c r="QJY251" s="4"/>
      <c r="QJZ251" s="9"/>
      <c r="QKA251" s="4"/>
      <c r="QKB251" s="9"/>
      <c r="QKC251" s="4"/>
      <c r="QKD251" s="9"/>
      <c r="QKE251" s="4"/>
      <c r="QKF251" s="9"/>
      <c r="QKG251" s="4"/>
      <c r="QKH251" s="9"/>
      <c r="QKI251" s="4"/>
      <c r="QKJ251" s="9"/>
      <c r="QKK251" s="4"/>
      <c r="QKL251" s="9"/>
      <c r="QKM251" s="4"/>
      <c r="QKN251" s="9"/>
      <c r="QKO251" s="4"/>
      <c r="QKP251" s="9"/>
      <c r="QKQ251" s="4"/>
      <c r="QKR251" s="9"/>
      <c r="QKS251" s="4"/>
      <c r="QKT251" s="9"/>
      <c r="QKU251" s="4"/>
      <c r="QKV251" s="9"/>
      <c r="QKW251" s="4"/>
      <c r="QKX251" s="9"/>
      <c r="QKY251" s="4"/>
      <c r="QKZ251" s="9"/>
      <c r="QLA251" s="4"/>
      <c r="QLB251" s="9"/>
      <c r="QLC251" s="4"/>
      <c r="QLD251" s="9"/>
      <c r="QLE251" s="4"/>
      <c r="QLF251" s="9"/>
      <c r="QLG251" s="4"/>
      <c r="QLH251" s="9"/>
      <c r="QLI251" s="4"/>
      <c r="QLJ251" s="9"/>
      <c r="QLK251" s="4"/>
      <c r="QLL251" s="9"/>
      <c r="QLM251" s="4"/>
      <c r="QLN251" s="9"/>
      <c r="QLO251" s="4"/>
      <c r="QLP251" s="9"/>
      <c r="QLQ251" s="4"/>
      <c r="QLR251" s="9"/>
      <c r="QLS251" s="4"/>
      <c r="QLT251" s="9"/>
      <c r="QLU251" s="4"/>
      <c r="QLV251" s="9"/>
      <c r="QLW251" s="4"/>
      <c r="QLX251" s="9"/>
      <c r="QLY251" s="4"/>
      <c r="QLZ251" s="9"/>
      <c r="QMA251" s="4"/>
      <c r="QMB251" s="9"/>
      <c r="QMC251" s="4"/>
      <c r="QMD251" s="9"/>
      <c r="QME251" s="4"/>
      <c r="QMF251" s="9"/>
      <c r="QMG251" s="4"/>
      <c r="QMH251" s="9"/>
      <c r="QMI251" s="4"/>
      <c r="QMJ251" s="9"/>
      <c r="QMK251" s="4"/>
      <c r="QML251" s="9"/>
      <c r="QMM251" s="4"/>
      <c r="QMN251" s="9"/>
      <c r="QMO251" s="4"/>
      <c r="QMP251" s="9"/>
      <c r="QMQ251" s="4"/>
      <c r="QMR251" s="9"/>
      <c r="QMS251" s="4"/>
      <c r="QMT251" s="9"/>
      <c r="QMU251" s="4"/>
      <c r="QMV251" s="9"/>
      <c r="QMW251" s="4"/>
      <c r="QMX251" s="9"/>
      <c r="QMY251" s="4"/>
      <c r="QMZ251" s="9"/>
      <c r="QNA251" s="4"/>
      <c r="QNB251" s="9"/>
      <c r="QNC251" s="4"/>
      <c r="QND251" s="9"/>
      <c r="QNE251" s="4"/>
      <c r="QNF251" s="9"/>
      <c r="QNG251" s="4"/>
      <c r="QNH251" s="9"/>
      <c r="QNI251" s="4"/>
      <c r="QNJ251" s="9"/>
      <c r="QNK251" s="4"/>
      <c r="QNL251" s="9"/>
      <c r="QNM251" s="4"/>
      <c r="QNN251" s="9"/>
      <c r="QNO251" s="4"/>
      <c r="QNP251" s="9"/>
      <c r="QNQ251" s="4"/>
      <c r="QNR251" s="9"/>
      <c r="QNS251" s="4"/>
      <c r="QNT251" s="9"/>
      <c r="QNU251" s="4"/>
      <c r="QNV251" s="9"/>
      <c r="QNW251" s="4"/>
      <c r="QNX251" s="9"/>
      <c r="QNY251" s="4"/>
      <c r="QNZ251" s="9"/>
      <c r="QOA251" s="4"/>
      <c r="QOB251" s="9"/>
      <c r="QOC251" s="4"/>
      <c r="QOD251" s="9"/>
      <c r="QOE251" s="4"/>
      <c r="QOF251" s="9"/>
      <c r="QOG251" s="4"/>
      <c r="QOH251" s="9"/>
      <c r="QOI251" s="4"/>
      <c r="QOJ251" s="9"/>
      <c r="QOK251" s="4"/>
      <c r="QOL251" s="9"/>
      <c r="QOM251" s="4"/>
      <c r="QON251" s="9"/>
      <c r="QOO251" s="4"/>
      <c r="QOP251" s="9"/>
      <c r="QOQ251" s="4"/>
      <c r="QOR251" s="9"/>
      <c r="QOS251" s="4"/>
      <c r="QOT251" s="9"/>
      <c r="QOU251" s="4"/>
      <c r="QOV251" s="9"/>
      <c r="QOW251" s="4"/>
      <c r="QOX251" s="9"/>
      <c r="QOY251" s="4"/>
      <c r="QOZ251" s="9"/>
      <c r="QPA251" s="4"/>
      <c r="QPB251" s="9"/>
      <c r="QPC251" s="4"/>
      <c r="QPD251" s="9"/>
      <c r="QPE251" s="4"/>
      <c r="QPF251" s="9"/>
      <c r="QPG251" s="4"/>
      <c r="QPH251" s="9"/>
      <c r="QPI251" s="4"/>
      <c r="QPJ251" s="9"/>
      <c r="QPK251" s="4"/>
      <c r="QPL251" s="9"/>
      <c r="QPM251" s="4"/>
      <c r="QPN251" s="9"/>
      <c r="QPO251" s="4"/>
      <c r="QPP251" s="9"/>
      <c r="QPQ251" s="4"/>
      <c r="QPR251" s="9"/>
      <c r="QPS251" s="4"/>
      <c r="QPT251" s="9"/>
      <c r="QPU251" s="4"/>
      <c r="QPV251" s="9"/>
      <c r="QPW251" s="4"/>
      <c r="QPX251" s="9"/>
      <c r="QPY251" s="4"/>
      <c r="QPZ251" s="9"/>
      <c r="QQA251" s="4"/>
      <c r="QQB251" s="9"/>
      <c r="QQC251" s="4"/>
      <c r="QQD251" s="9"/>
      <c r="QQE251" s="4"/>
      <c r="QQF251" s="9"/>
      <c r="QQG251" s="4"/>
      <c r="QQH251" s="9"/>
      <c r="QQI251" s="4"/>
      <c r="QQJ251" s="9"/>
      <c r="QQK251" s="4"/>
      <c r="QQL251" s="9"/>
      <c r="QQM251" s="4"/>
      <c r="QQN251" s="9"/>
      <c r="QQO251" s="4"/>
      <c r="QQP251" s="9"/>
      <c r="QQQ251" s="4"/>
      <c r="QQR251" s="9"/>
      <c r="QQS251" s="4"/>
      <c r="QQT251" s="9"/>
      <c r="QQU251" s="4"/>
      <c r="QQV251" s="9"/>
      <c r="QQW251" s="4"/>
      <c r="QQX251" s="9"/>
      <c r="QQY251" s="4"/>
      <c r="QQZ251" s="9"/>
      <c r="QRA251" s="4"/>
      <c r="QRB251" s="9"/>
      <c r="QRC251" s="4"/>
      <c r="QRD251" s="9"/>
      <c r="QRE251" s="4"/>
      <c r="QRF251" s="9"/>
      <c r="QRG251" s="4"/>
      <c r="QRH251" s="9"/>
      <c r="QRI251" s="4"/>
      <c r="QRJ251" s="9"/>
      <c r="QRK251" s="4"/>
      <c r="QRL251" s="9"/>
      <c r="QRM251" s="4"/>
      <c r="QRN251" s="9"/>
      <c r="QRO251" s="4"/>
      <c r="QRP251" s="9"/>
      <c r="QRQ251" s="4"/>
      <c r="QRR251" s="9"/>
      <c r="QRS251" s="4"/>
      <c r="QRT251" s="9"/>
      <c r="QRU251" s="4"/>
      <c r="QRV251" s="9"/>
      <c r="QRW251" s="4"/>
      <c r="QRX251" s="9"/>
      <c r="QRY251" s="4"/>
      <c r="QRZ251" s="9"/>
      <c r="QSA251" s="4"/>
      <c r="QSB251" s="9"/>
      <c r="QSC251" s="4"/>
      <c r="QSD251" s="9"/>
      <c r="QSE251" s="4"/>
      <c r="QSF251" s="9"/>
      <c r="QSG251" s="4"/>
      <c r="QSH251" s="9"/>
      <c r="QSI251" s="4"/>
      <c r="QSJ251" s="9"/>
      <c r="QSK251" s="4"/>
      <c r="QSL251" s="9"/>
      <c r="QSM251" s="4"/>
      <c r="QSN251" s="9"/>
      <c r="QSO251" s="4"/>
      <c r="QSP251" s="9"/>
      <c r="QSQ251" s="4"/>
      <c r="QSR251" s="9"/>
      <c r="QSS251" s="4"/>
      <c r="QST251" s="9"/>
      <c r="QSU251" s="4"/>
      <c r="QSV251" s="9"/>
      <c r="QSW251" s="4"/>
      <c r="QSX251" s="9"/>
      <c r="QSY251" s="4"/>
      <c r="QSZ251" s="9"/>
      <c r="QTA251" s="4"/>
      <c r="QTB251" s="9"/>
      <c r="QTC251" s="4"/>
      <c r="QTD251" s="9"/>
      <c r="QTE251" s="4"/>
      <c r="QTF251" s="9"/>
      <c r="QTG251" s="4"/>
      <c r="QTH251" s="9"/>
      <c r="QTI251" s="4"/>
      <c r="QTJ251" s="9"/>
      <c r="QTK251" s="4"/>
      <c r="QTL251" s="9"/>
      <c r="QTM251" s="4"/>
      <c r="QTN251" s="9"/>
      <c r="QTO251" s="4"/>
      <c r="QTP251" s="9"/>
      <c r="QTQ251" s="4"/>
      <c r="QTR251" s="9"/>
      <c r="QTS251" s="4"/>
      <c r="QTT251" s="9"/>
      <c r="QTU251" s="4"/>
      <c r="QTV251" s="9"/>
      <c r="QTW251" s="4"/>
      <c r="QTX251" s="9"/>
      <c r="QTY251" s="4"/>
      <c r="QTZ251" s="9"/>
      <c r="QUA251" s="4"/>
      <c r="QUB251" s="9"/>
      <c r="QUC251" s="4"/>
      <c r="QUD251" s="9"/>
      <c r="QUE251" s="4"/>
      <c r="QUF251" s="9"/>
      <c r="QUG251" s="4"/>
      <c r="QUH251" s="9"/>
      <c r="QUI251" s="4"/>
      <c r="QUJ251" s="9"/>
      <c r="QUK251" s="4"/>
      <c r="QUL251" s="9"/>
      <c r="QUM251" s="4"/>
      <c r="QUN251" s="9"/>
      <c r="QUO251" s="4"/>
      <c r="QUP251" s="9"/>
      <c r="QUQ251" s="4"/>
      <c r="QUR251" s="9"/>
      <c r="QUS251" s="4"/>
      <c r="QUT251" s="9"/>
      <c r="QUU251" s="4"/>
      <c r="QUV251" s="9"/>
      <c r="QUW251" s="4"/>
      <c r="QUX251" s="9"/>
      <c r="QUY251" s="4"/>
      <c r="QUZ251" s="9"/>
      <c r="QVA251" s="4"/>
      <c r="QVB251" s="9"/>
      <c r="QVC251" s="4"/>
      <c r="QVD251" s="9"/>
      <c r="QVE251" s="4"/>
      <c r="QVF251" s="9"/>
      <c r="QVG251" s="4"/>
      <c r="QVH251" s="9"/>
      <c r="QVI251" s="4"/>
      <c r="QVJ251" s="9"/>
      <c r="QVK251" s="4"/>
      <c r="QVL251" s="9"/>
      <c r="QVM251" s="4"/>
      <c r="QVN251" s="9"/>
      <c r="QVO251" s="4"/>
      <c r="QVP251" s="9"/>
      <c r="QVQ251" s="4"/>
      <c r="QVR251" s="9"/>
      <c r="QVS251" s="4"/>
      <c r="QVT251" s="9"/>
      <c r="QVU251" s="4"/>
      <c r="QVV251" s="9"/>
      <c r="QVW251" s="4"/>
      <c r="QVX251" s="9"/>
      <c r="QVY251" s="4"/>
      <c r="QVZ251" s="9"/>
      <c r="QWA251" s="4"/>
      <c r="QWB251" s="9"/>
      <c r="QWC251" s="4"/>
      <c r="QWD251" s="9"/>
      <c r="QWE251" s="4"/>
      <c r="QWF251" s="9"/>
      <c r="QWG251" s="4"/>
      <c r="QWH251" s="9"/>
      <c r="QWI251" s="4"/>
      <c r="QWJ251" s="9"/>
      <c r="QWK251" s="4"/>
      <c r="QWL251" s="9"/>
      <c r="QWM251" s="4"/>
      <c r="QWN251" s="9"/>
      <c r="QWO251" s="4"/>
      <c r="QWP251" s="9"/>
      <c r="QWQ251" s="4"/>
      <c r="QWR251" s="9"/>
      <c r="QWS251" s="4"/>
      <c r="QWT251" s="9"/>
      <c r="QWU251" s="4"/>
      <c r="QWV251" s="9"/>
      <c r="QWW251" s="4"/>
      <c r="QWX251" s="9"/>
      <c r="QWY251" s="4"/>
      <c r="QWZ251" s="9"/>
      <c r="QXA251" s="4"/>
      <c r="QXB251" s="9"/>
      <c r="QXC251" s="4"/>
      <c r="QXD251" s="9"/>
      <c r="QXE251" s="4"/>
      <c r="QXF251" s="9"/>
      <c r="QXG251" s="4"/>
      <c r="QXH251" s="9"/>
      <c r="QXI251" s="4"/>
      <c r="QXJ251" s="9"/>
      <c r="QXK251" s="4"/>
      <c r="QXL251" s="9"/>
      <c r="QXM251" s="4"/>
      <c r="QXN251" s="9"/>
      <c r="QXO251" s="4"/>
      <c r="QXP251" s="9"/>
      <c r="QXQ251" s="4"/>
      <c r="QXR251" s="9"/>
      <c r="QXS251" s="4"/>
      <c r="QXT251" s="9"/>
      <c r="QXU251" s="4"/>
      <c r="QXV251" s="9"/>
      <c r="QXW251" s="4"/>
      <c r="QXX251" s="9"/>
      <c r="QXY251" s="4"/>
      <c r="QXZ251" s="9"/>
      <c r="QYA251" s="4"/>
      <c r="QYB251" s="9"/>
      <c r="QYC251" s="4"/>
      <c r="QYD251" s="9"/>
      <c r="QYE251" s="4"/>
      <c r="QYF251" s="9"/>
      <c r="QYG251" s="4"/>
      <c r="QYH251" s="9"/>
      <c r="QYI251" s="4"/>
      <c r="QYJ251" s="9"/>
      <c r="QYK251" s="4"/>
      <c r="QYL251" s="9"/>
      <c r="QYM251" s="4"/>
      <c r="QYN251" s="9"/>
      <c r="QYO251" s="4"/>
      <c r="QYP251" s="9"/>
      <c r="QYQ251" s="4"/>
      <c r="QYR251" s="9"/>
      <c r="QYS251" s="4"/>
      <c r="QYT251" s="9"/>
      <c r="QYU251" s="4"/>
      <c r="QYV251" s="9"/>
      <c r="QYW251" s="4"/>
      <c r="QYX251" s="9"/>
      <c r="QYY251" s="4"/>
      <c r="QYZ251" s="9"/>
      <c r="QZA251" s="4"/>
      <c r="QZB251" s="9"/>
      <c r="QZC251" s="4"/>
      <c r="QZD251" s="9"/>
      <c r="QZE251" s="4"/>
      <c r="QZF251" s="9"/>
      <c r="QZG251" s="4"/>
      <c r="QZH251" s="9"/>
      <c r="QZI251" s="4"/>
      <c r="QZJ251" s="9"/>
      <c r="QZK251" s="4"/>
      <c r="QZL251" s="9"/>
      <c r="QZM251" s="4"/>
      <c r="QZN251" s="9"/>
      <c r="QZO251" s="4"/>
      <c r="QZP251" s="9"/>
      <c r="QZQ251" s="4"/>
      <c r="QZR251" s="9"/>
      <c r="QZS251" s="4"/>
      <c r="QZT251" s="9"/>
      <c r="QZU251" s="4"/>
      <c r="QZV251" s="9"/>
      <c r="QZW251" s="4"/>
      <c r="QZX251" s="9"/>
      <c r="QZY251" s="4"/>
      <c r="QZZ251" s="9"/>
      <c r="RAA251" s="4"/>
      <c r="RAB251" s="9"/>
      <c r="RAC251" s="4"/>
      <c r="RAD251" s="9"/>
      <c r="RAE251" s="4"/>
      <c r="RAF251" s="9"/>
      <c r="RAG251" s="4"/>
      <c r="RAH251" s="9"/>
      <c r="RAI251" s="4"/>
      <c r="RAJ251" s="9"/>
      <c r="RAK251" s="4"/>
      <c r="RAL251" s="9"/>
      <c r="RAM251" s="4"/>
      <c r="RAN251" s="9"/>
      <c r="RAO251" s="4"/>
      <c r="RAP251" s="9"/>
      <c r="RAQ251" s="4"/>
      <c r="RAR251" s="9"/>
      <c r="RAS251" s="4"/>
      <c r="RAT251" s="9"/>
      <c r="RAU251" s="4"/>
      <c r="RAV251" s="9"/>
      <c r="RAW251" s="4"/>
      <c r="RAX251" s="9"/>
      <c r="RAY251" s="4"/>
      <c r="RAZ251" s="9"/>
      <c r="RBA251" s="4"/>
      <c r="RBB251" s="9"/>
      <c r="RBC251" s="4"/>
      <c r="RBD251" s="9"/>
      <c r="RBE251" s="4"/>
      <c r="RBF251" s="9"/>
      <c r="RBG251" s="4"/>
      <c r="RBH251" s="9"/>
      <c r="RBI251" s="4"/>
      <c r="RBJ251" s="9"/>
      <c r="RBK251" s="4"/>
      <c r="RBL251" s="9"/>
      <c r="RBM251" s="4"/>
      <c r="RBN251" s="9"/>
      <c r="RBO251" s="4"/>
      <c r="RBP251" s="9"/>
      <c r="RBQ251" s="4"/>
      <c r="RBR251" s="9"/>
      <c r="RBS251" s="4"/>
      <c r="RBT251" s="9"/>
      <c r="RBU251" s="4"/>
      <c r="RBV251" s="9"/>
      <c r="RBW251" s="4"/>
      <c r="RBX251" s="9"/>
      <c r="RBY251" s="4"/>
      <c r="RBZ251" s="9"/>
      <c r="RCA251" s="4"/>
      <c r="RCB251" s="9"/>
      <c r="RCC251" s="4"/>
      <c r="RCD251" s="9"/>
      <c r="RCE251" s="4"/>
      <c r="RCF251" s="9"/>
      <c r="RCG251" s="4"/>
      <c r="RCH251" s="9"/>
      <c r="RCI251" s="4"/>
      <c r="RCJ251" s="9"/>
      <c r="RCK251" s="4"/>
      <c r="RCL251" s="9"/>
      <c r="RCM251" s="4"/>
      <c r="RCN251" s="9"/>
      <c r="RCO251" s="4"/>
      <c r="RCP251" s="9"/>
      <c r="RCQ251" s="4"/>
      <c r="RCR251" s="9"/>
      <c r="RCS251" s="4"/>
      <c r="RCT251" s="9"/>
      <c r="RCU251" s="4"/>
      <c r="RCV251" s="9"/>
      <c r="RCW251" s="4"/>
      <c r="RCX251" s="9"/>
      <c r="RCY251" s="4"/>
      <c r="RCZ251" s="9"/>
      <c r="RDA251" s="4"/>
      <c r="RDB251" s="9"/>
      <c r="RDC251" s="4"/>
      <c r="RDD251" s="9"/>
      <c r="RDE251" s="4"/>
      <c r="RDF251" s="9"/>
      <c r="RDG251" s="4"/>
      <c r="RDH251" s="9"/>
      <c r="RDI251" s="4"/>
      <c r="RDJ251" s="9"/>
      <c r="RDK251" s="4"/>
      <c r="RDL251" s="9"/>
      <c r="RDM251" s="4"/>
      <c r="RDN251" s="9"/>
      <c r="RDO251" s="4"/>
      <c r="RDP251" s="9"/>
      <c r="RDQ251" s="4"/>
      <c r="RDR251" s="9"/>
      <c r="RDS251" s="4"/>
      <c r="RDT251" s="9"/>
      <c r="RDU251" s="4"/>
      <c r="RDV251" s="9"/>
      <c r="RDW251" s="4"/>
      <c r="RDX251" s="9"/>
      <c r="RDY251" s="4"/>
      <c r="RDZ251" s="9"/>
      <c r="REA251" s="4"/>
      <c r="REB251" s="9"/>
      <c r="REC251" s="4"/>
      <c r="RED251" s="9"/>
      <c r="REE251" s="4"/>
      <c r="REF251" s="9"/>
      <c r="REG251" s="4"/>
      <c r="REH251" s="9"/>
      <c r="REI251" s="4"/>
      <c r="REJ251" s="9"/>
      <c r="REK251" s="4"/>
      <c r="REL251" s="9"/>
      <c r="REM251" s="4"/>
      <c r="REN251" s="9"/>
      <c r="REO251" s="4"/>
      <c r="REP251" s="9"/>
      <c r="REQ251" s="4"/>
      <c r="RER251" s="9"/>
      <c r="RES251" s="4"/>
      <c r="RET251" s="9"/>
      <c r="REU251" s="4"/>
      <c r="REV251" s="9"/>
      <c r="REW251" s="4"/>
      <c r="REX251" s="9"/>
      <c r="REY251" s="4"/>
      <c r="REZ251" s="9"/>
      <c r="RFA251" s="4"/>
      <c r="RFB251" s="9"/>
      <c r="RFC251" s="4"/>
      <c r="RFD251" s="9"/>
      <c r="RFE251" s="4"/>
      <c r="RFF251" s="9"/>
      <c r="RFG251" s="4"/>
      <c r="RFH251" s="9"/>
      <c r="RFI251" s="4"/>
      <c r="RFJ251" s="9"/>
      <c r="RFK251" s="4"/>
      <c r="RFL251" s="9"/>
      <c r="RFM251" s="4"/>
      <c r="RFN251" s="9"/>
      <c r="RFO251" s="4"/>
      <c r="RFP251" s="9"/>
      <c r="RFQ251" s="4"/>
      <c r="RFR251" s="9"/>
      <c r="RFS251" s="4"/>
      <c r="RFT251" s="9"/>
      <c r="RFU251" s="4"/>
      <c r="RFV251" s="9"/>
      <c r="RFW251" s="4"/>
      <c r="RFX251" s="9"/>
      <c r="RFY251" s="4"/>
      <c r="RFZ251" s="9"/>
      <c r="RGA251" s="4"/>
      <c r="RGB251" s="9"/>
      <c r="RGC251" s="4"/>
      <c r="RGD251" s="9"/>
      <c r="RGE251" s="4"/>
      <c r="RGF251" s="9"/>
      <c r="RGG251" s="4"/>
      <c r="RGH251" s="9"/>
      <c r="RGI251" s="4"/>
      <c r="RGJ251" s="9"/>
      <c r="RGK251" s="4"/>
      <c r="RGL251" s="9"/>
      <c r="RGM251" s="4"/>
      <c r="RGN251" s="9"/>
      <c r="RGO251" s="4"/>
      <c r="RGP251" s="9"/>
      <c r="RGQ251" s="4"/>
      <c r="RGR251" s="9"/>
      <c r="RGS251" s="4"/>
      <c r="RGT251" s="9"/>
      <c r="RGU251" s="4"/>
      <c r="RGV251" s="9"/>
      <c r="RGW251" s="4"/>
      <c r="RGX251" s="9"/>
      <c r="RGY251" s="4"/>
      <c r="RGZ251" s="9"/>
      <c r="RHA251" s="4"/>
      <c r="RHB251" s="9"/>
      <c r="RHC251" s="4"/>
      <c r="RHD251" s="9"/>
      <c r="RHE251" s="4"/>
      <c r="RHF251" s="9"/>
      <c r="RHG251" s="4"/>
      <c r="RHH251" s="9"/>
      <c r="RHI251" s="4"/>
      <c r="RHJ251" s="9"/>
      <c r="RHK251" s="4"/>
      <c r="RHL251" s="9"/>
      <c r="RHM251" s="4"/>
      <c r="RHN251" s="9"/>
      <c r="RHO251" s="4"/>
      <c r="RHP251" s="9"/>
      <c r="RHQ251" s="4"/>
      <c r="RHR251" s="9"/>
      <c r="RHS251" s="4"/>
      <c r="RHT251" s="9"/>
      <c r="RHU251" s="4"/>
      <c r="RHV251" s="9"/>
      <c r="RHW251" s="4"/>
      <c r="RHX251" s="9"/>
      <c r="RHY251" s="4"/>
      <c r="RHZ251" s="9"/>
      <c r="RIA251" s="4"/>
      <c r="RIB251" s="9"/>
      <c r="RIC251" s="4"/>
      <c r="RID251" s="9"/>
      <c r="RIE251" s="4"/>
      <c r="RIF251" s="9"/>
      <c r="RIG251" s="4"/>
      <c r="RIH251" s="9"/>
      <c r="RII251" s="4"/>
      <c r="RIJ251" s="9"/>
      <c r="RIK251" s="4"/>
      <c r="RIL251" s="9"/>
      <c r="RIM251" s="4"/>
      <c r="RIN251" s="9"/>
      <c r="RIO251" s="4"/>
      <c r="RIP251" s="9"/>
      <c r="RIQ251" s="4"/>
      <c r="RIR251" s="9"/>
      <c r="RIS251" s="4"/>
      <c r="RIT251" s="9"/>
      <c r="RIU251" s="4"/>
      <c r="RIV251" s="9"/>
      <c r="RIW251" s="4"/>
      <c r="RIX251" s="9"/>
      <c r="RIY251" s="4"/>
      <c r="RIZ251" s="9"/>
      <c r="RJA251" s="4"/>
      <c r="RJB251" s="9"/>
      <c r="RJC251" s="4"/>
      <c r="RJD251" s="9"/>
      <c r="RJE251" s="4"/>
      <c r="RJF251" s="9"/>
      <c r="RJG251" s="4"/>
      <c r="RJH251" s="9"/>
      <c r="RJI251" s="4"/>
      <c r="RJJ251" s="9"/>
      <c r="RJK251" s="4"/>
      <c r="RJL251" s="9"/>
      <c r="RJM251" s="4"/>
      <c r="RJN251" s="9"/>
      <c r="RJO251" s="4"/>
      <c r="RJP251" s="9"/>
      <c r="RJQ251" s="4"/>
      <c r="RJR251" s="9"/>
      <c r="RJS251" s="4"/>
      <c r="RJT251" s="9"/>
      <c r="RJU251" s="4"/>
      <c r="RJV251" s="9"/>
      <c r="RJW251" s="4"/>
      <c r="RJX251" s="9"/>
      <c r="RJY251" s="4"/>
      <c r="RJZ251" s="9"/>
      <c r="RKA251" s="4"/>
      <c r="RKB251" s="9"/>
      <c r="RKC251" s="4"/>
      <c r="RKD251" s="9"/>
      <c r="RKE251" s="4"/>
      <c r="RKF251" s="9"/>
      <c r="RKG251" s="4"/>
      <c r="RKH251" s="9"/>
      <c r="RKI251" s="4"/>
      <c r="RKJ251" s="9"/>
      <c r="RKK251" s="4"/>
      <c r="RKL251" s="9"/>
      <c r="RKM251" s="4"/>
      <c r="RKN251" s="9"/>
      <c r="RKO251" s="4"/>
      <c r="RKP251" s="9"/>
      <c r="RKQ251" s="4"/>
      <c r="RKR251" s="9"/>
      <c r="RKS251" s="4"/>
      <c r="RKT251" s="9"/>
      <c r="RKU251" s="4"/>
      <c r="RKV251" s="9"/>
      <c r="RKW251" s="4"/>
      <c r="RKX251" s="9"/>
      <c r="RKY251" s="4"/>
      <c r="RKZ251" s="9"/>
      <c r="RLA251" s="4"/>
      <c r="RLB251" s="9"/>
      <c r="RLC251" s="4"/>
      <c r="RLD251" s="9"/>
      <c r="RLE251" s="4"/>
      <c r="RLF251" s="9"/>
      <c r="RLG251" s="4"/>
      <c r="RLH251" s="9"/>
      <c r="RLI251" s="4"/>
      <c r="RLJ251" s="9"/>
      <c r="RLK251" s="4"/>
      <c r="RLL251" s="9"/>
      <c r="RLM251" s="4"/>
      <c r="RLN251" s="9"/>
      <c r="RLO251" s="4"/>
      <c r="RLP251" s="9"/>
      <c r="RLQ251" s="4"/>
      <c r="RLR251" s="9"/>
      <c r="RLS251" s="4"/>
      <c r="RLT251" s="9"/>
      <c r="RLU251" s="4"/>
      <c r="RLV251" s="9"/>
      <c r="RLW251" s="4"/>
      <c r="RLX251" s="9"/>
      <c r="RLY251" s="4"/>
      <c r="RLZ251" s="9"/>
      <c r="RMA251" s="4"/>
      <c r="RMB251" s="9"/>
      <c r="RMC251" s="4"/>
      <c r="RMD251" s="9"/>
      <c r="RME251" s="4"/>
      <c r="RMF251" s="9"/>
      <c r="RMG251" s="4"/>
      <c r="RMH251" s="9"/>
      <c r="RMI251" s="4"/>
      <c r="RMJ251" s="9"/>
      <c r="RMK251" s="4"/>
      <c r="RML251" s="9"/>
      <c r="RMM251" s="4"/>
      <c r="RMN251" s="9"/>
      <c r="RMO251" s="4"/>
      <c r="RMP251" s="9"/>
      <c r="RMQ251" s="4"/>
      <c r="RMR251" s="9"/>
      <c r="RMS251" s="4"/>
      <c r="RMT251" s="9"/>
      <c r="RMU251" s="4"/>
      <c r="RMV251" s="9"/>
      <c r="RMW251" s="4"/>
      <c r="RMX251" s="9"/>
      <c r="RMY251" s="4"/>
      <c r="RMZ251" s="9"/>
      <c r="RNA251" s="4"/>
      <c r="RNB251" s="9"/>
      <c r="RNC251" s="4"/>
      <c r="RND251" s="9"/>
      <c r="RNE251" s="4"/>
      <c r="RNF251" s="9"/>
      <c r="RNG251" s="4"/>
      <c r="RNH251" s="9"/>
      <c r="RNI251" s="4"/>
      <c r="RNJ251" s="9"/>
      <c r="RNK251" s="4"/>
      <c r="RNL251" s="9"/>
      <c r="RNM251" s="4"/>
      <c r="RNN251" s="9"/>
      <c r="RNO251" s="4"/>
      <c r="RNP251" s="9"/>
      <c r="RNQ251" s="4"/>
      <c r="RNR251" s="9"/>
      <c r="RNS251" s="4"/>
      <c r="RNT251" s="9"/>
      <c r="RNU251" s="4"/>
      <c r="RNV251" s="9"/>
      <c r="RNW251" s="4"/>
      <c r="RNX251" s="9"/>
      <c r="RNY251" s="4"/>
      <c r="RNZ251" s="9"/>
      <c r="ROA251" s="4"/>
      <c r="ROB251" s="9"/>
      <c r="ROC251" s="4"/>
      <c r="ROD251" s="9"/>
      <c r="ROE251" s="4"/>
      <c r="ROF251" s="9"/>
      <c r="ROG251" s="4"/>
      <c r="ROH251" s="9"/>
      <c r="ROI251" s="4"/>
      <c r="ROJ251" s="9"/>
      <c r="ROK251" s="4"/>
      <c r="ROL251" s="9"/>
      <c r="ROM251" s="4"/>
      <c r="RON251" s="9"/>
      <c r="ROO251" s="4"/>
      <c r="ROP251" s="9"/>
      <c r="ROQ251" s="4"/>
      <c r="ROR251" s="9"/>
      <c r="ROS251" s="4"/>
      <c r="ROT251" s="9"/>
      <c r="ROU251" s="4"/>
      <c r="ROV251" s="9"/>
      <c r="ROW251" s="4"/>
      <c r="ROX251" s="9"/>
      <c r="ROY251" s="4"/>
      <c r="ROZ251" s="9"/>
      <c r="RPA251" s="4"/>
      <c r="RPB251" s="9"/>
      <c r="RPC251" s="4"/>
      <c r="RPD251" s="9"/>
      <c r="RPE251" s="4"/>
      <c r="RPF251" s="9"/>
      <c r="RPG251" s="4"/>
      <c r="RPH251" s="9"/>
      <c r="RPI251" s="4"/>
      <c r="RPJ251" s="9"/>
      <c r="RPK251" s="4"/>
      <c r="RPL251" s="9"/>
      <c r="RPM251" s="4"/>
      <c r="RPN251" s="9"/>
      <c r="RPO251" s="4"/>
      <c r="RPP251" s="9"/>
      <c r="RPQ251" s="4"/>
      <c r="RPR251" s="9"/>
      <c r="RPS251" s="4"/>
      <c r="RPT251" s="9"/>
      <c r="RPU251" s="4"/>
      <c r="RPV251" s="9"/>
      <c r="RPW251" s="4"/>
      <c r="RPX251" s="9"/>
      <c r="RPY251" s="4"/>
      <c r="RPZ251" s="9"/>
      <c r="RQA251" s="4"/>
      <c r="RQB251" s="9"/>
      <c r="RQC251" s="4"/>
      <c r="RQD251" s="9"/>
      <c r="RQE251" s="4"/>
      <c r="RQF251" s="9"/>
      <c r="RQG251" s="4"/>
      <c r="RQH251" s="9"/>
      <c r="RQI251" s="4"/>
      <c r="RQJ251" s="9"/>
      <c r="RQK251" s="4"/>
      <c r="RQL251" s="9"/>
      <c r="RQM251" s="4"/>
      <c r="RQN251" s="9"/>
      <c r="RQO251" s="4"/>
      <c r="RQP251" s="9"/>
      <c r="RQQ251" s="4"/>
      <c r="RQR251" s="9"/>
      <c r="RQS251" s="4"/>
      <c r="RQT251" s="9"/>
      <c r="RQU251" s="4"/>
      <c r="RQV251" s="9"/>
      <c r="RQW251" s="4"/>
      <c r="RQX251" s="9"/>
      <c r="RQY251" s="4"/>
      <c r="RQZ251" s="9"/>
      <c r="RRA251" s="4"/>
      <c r="RRB251" s="9"/>
      <c r="RRC251" s="4"/>
      <c r="RRD251" s="9"/>
      <c r="RRE251" s="4"/>
      <c r="RRF251" s="9"/>
      <c r="RRG251" s="4"/>
      <c r="RRH251" s="9"/>
      <c r="RRI251" s="4"/>
      <c r="RRJ251" s="9"/>
      <c r="RRK251" s="4"/>
      <c r="RRL251" s="9"/>
      <c r="RRM251" s="4"/>
      <c r="RRN251" s="9"/>
      <c r="RRO251" s="4"/>
      <c r="RRP251" s="9"/>
      <c r="RRQ251" s="4"/>
      <c r="RRR251" s="9"/>
      <c r="RRS251" s="4"/>
      <c r="RRT251" s="9"/>
      <c r="RRU251" s="4"/>
      <c r="RRV251" s="9"/>
      <c r="RRW251" s="4"/>
      <c r="RRX251" s="9"/>
      <c r="RRY251" s="4"/>
      <c r="RRZ251" s="9"/>
      <c r="RSA251" s="4"/>
      <c r="RSB251" s="9"/>
      <c r="RSC251" s="4"/>
      <c r="RSD251" s="9"/>
      <c r="RSE251" s="4"/>
      <c r="RSF251" s="9"/>
      <c r="RSG251" s="4"/>
      <c r="RSH251" s="9"/>
      <c r="RSI251" s="4"/>
      <c r="RSJ251" s="9"/>
      <c r="RSK251" s="4"/>
      <c r="RSL251" s="9"/>
      <c r="RSM251" s="4"/>
      <c r="RSN251" s="9"/>
      <c r="RSO251" s="4"/>
      <c r="RSP251" s="9"/>
      <c r="RSQ251" s="4"/>
      <c r="RSR251" s="9"/>
      <c r="RSS251" s="4"/>
      <c r="RST251" s="9"/>
      <c r="RSU251" s="4"/>
      <c r="RSV251" s="9"/>
      <c r="RSW251" s="4"/>
      <c r="RSX251" s="9"/>
      <c r="RSY251" s="4"/>
      <c r="RSZ251" s="9"/>
      <c r="RTA251" s="4"/>
      <c r="RTB251" s="9"/>
      <c r="RTC251" s="4"/>
      <c r="RTD251" s="9"/>
      <c r="RTE251" s="4"/>
      <c r="RTF251" s="9"/>
      <c r="RTG251" s="4"/>
      <c r="RTH251" s="9"/>
      <c r="RTI251" s="4"/>
      <c r="RTJ251" s="9"/>
      <c r="RTK251" s="4"/>
      <c r="RTL251" s="9"/>
      <c r="RTM251" s="4"/>
      <c r="RTN251" s="9"/>
      <c r="RTO251" s="4"/>
      <c r="RTP251" s="9"/>
      <c r="RTQ251" s="4"/>
      <c r="RTR251" s="9"/>
      <c r="RTS251" s="4"/>
      <c r="RTT251" s="9"/>
      <c r="RTU251" s="4"/>
      <c r="RTV251" s="9"/>
      <c r="RTW251" s="4"/>
      <c r="RTX251" s="9"/>
      <c r="RTY251" s="4"/>
      <c r="RTZ251" s="9"/>
      <c r="RUA251" s="4"/>
      <c r="RUB251" s="9"/>
      <c r="RUC251" s="4"/>
      <c r="RUD251" s="9"/>
      <c r="RUE251" s="4"/>
      <c r="RUF251" s="9"/>
      <c r="RUG251" s="4"/>
      <c r="RUH251" s="9"/>
      <c r="RUI251" s="4"/>
      <c r="RUJ251" s="9"/>
      <c r="RUK251" s="4"/>
      <c r="RUL251" s="9"/>
      <c r="RUM251" s="4"/>
      <c r="RUN251" s="9"/>
      <c r="RUO251" s="4"/>
      <c r="RUP251" s="9"/>
      <c r="RUQ251" s="4"/>
      <c r="RUR251" s="9"/>
      <c r="RUS251" s="4"/>
      <c r="RUT251" s="9"/>
      <c r="RUU251" s="4"/>
      <c r="RUV251" s="9"/>
      <c r="RUW251" s="4"/>
      <c r="RUX251" s="9"/>
      <c r="RUY251" s="4"/>
      <c r="RUZ251" s="9"/>
      <c r="RVA251" s="4"/>
      <c r="RVB251" s="9"/>
      <c r="RVC251" s="4"/>
      <c r="RVD251" s="9"/>
      <c r="RVE251" s="4"/>
      <c r="RVF251" s="9"/>
      <c r="RVG251" s="4"/>
      <c r="RVH251" s="9"/>
      <c r="RVI251" s="4"/>
      <c r="RVJ251" s="9"/>
      <c r="RVK251" s="4"/>
      <c r="RVL251" s="9"/>
      <c r="RVM251" s="4"/>
      <c r="RVN251" s="9"/>
      <c r="RVO251" s="4"/>
      <c r="RVP251" s="9"/>
      <c r="RVQ251" s="4"/>
      <c r="RVR251" s="9"/>
      <c r="RVS251" s="4"/>
      <c r="RVT251" s="9"/>
      <c r="RVU251" s="4"/>
      <c r="RVV251" s="9"/>
      <c r="RVW251" s="4"/>
      <c r="RVX251" s="9"/>
      <c r="RVY251" s="4"/>
      <c r="RVZ251" s="9"/>
      <c r="RWA251" s="4"/>
      <c r="RWB251" s="9"/>
      <c r="RWC251" s="4"/>
      <c r="RWD251" s="9"/>
      <c r="RWE251" s="4"/>
      <c r="RWF251" s="9"/>
      <c r="RWG251" s="4"/>
      <c r="RWH251" s="9"/>
      <c r="RWI251" s="4"/>
      <c r="RWJ251" s="9"/>
      <c r="RWK251" s="4"/>
      <c r="RWL251" s="9"/>
      <c r="RWM251" s="4"/>
      <c r="RWN251" s="9"/>
      <c r="RWO251" s="4"/>
      <c r="RWP251" s="9"/>
      <c r="RWQ251" s="4"/>
      <c r="RWR251" s="9"/>
      <c r="RWS251" s="4"/>
      <c r="RWT251" s="9"/>
      <c r="RWU251" s="4"/>
      <c r="RWV251" s="9"/>
      <c r="RWW251" s="4"/>
      <c r="RWX251" s="9"/>
      <c r="RWY251" s="4"/>
      <c r="RWZ251" s="9"/>
      <c r="RXA251" s="4"/>
      <c r="RXB251" s="9"/>
      <c r="RXC251" s="4"/>
      <c r="RXD251" s="9"/>
      <c r="RXE251" s="4"/>
      <c r="RXF251" s="9"/>
      <c r="RXG251" s="4"/>
      <c r="RXH251" s="9"/>
      <c r="RXI251" s="4"/>
      <c r="RXJ251" s="9"/>
      <c r="RXK251" s="4"/>
      <c r="RXL251" s="9"/>
      <c r="RXM251" s="4"/>
      <c r="RXN251" s="9"/>
      <c r="RXO251" s="4"/>
      <c r="RXP251" s="9"/>
      <c r="RXQ251" s="4"/>
      <c r="RXR251" s="9"/>
      <c r="RXS251" s="4"/>
      <c r="RXT251" s="9"/>
      <c r="RXU251" s="4"/>
      <c r="RXV251" s="9"/>
      <c r="RXW251" s="4"/>
      <c r="RXX251" s="9"/>
      <c r="RXY251" s="4"/>
      <c r="RXZ251" s="9"/>
      <c r="RYA251" s="4"/>
      <c r="RYB251" s="9"/>
      <c r="RYC251" s="4"/>
      <c r="RYD251" s="9"/>
      <c r="RYE251" s="4"/>
      <c r="RYF251" s="9"/>
      <c r="RYG251" s="4"/>
      <c r="RYH251" s="9"/>
      <c r="RYI251" s="4"/>
      <c r="RYJ251" s="9"/>
      <c r="RYK251" s="4"/>
      <c r="RYL251" s="9"/>
      <c r="RYM251" s="4"/>
      <c r="RYN251" s="9"/>
      <c r="RYO251" s="4"/>
      <c r="RYP251" s="9"/>
      <c r="RYQ251" s="4"/>
      <c r="RYR251" s="9"/>
      <c r="RYS251" s="4"/>
      <c r="RYT251" s="9"/>
      <c r="RYU251" s="4"/>
      <c r="RYV251" s="9"/>
      <c r="RYW251" s="4"/>
      <c r="RYX251" s="9"/>
      <c r="RYY251" s="4"/>
      <c r="RYZ251" s="9"/>
      <c r="RZA251" s="4"/>
      <c r="RZB251" s="9"/>
      <c r="RZC251" s="4"/>
      <c r="RZD251" s="9"/>
      <c r="RZE251" s="4"/>
      <c r="RZF251" s="9"/>
      <c r="RZG251" s="4"/>
      <c r="RZH251" s="9"/>
      <c r="RZI251" s="4"/>
      <c r="RZJ251" s="9"/>
      <c r="RZK251" s="4"/>
      <c r="RZL251" s="9"/>
      <c r="RZM251" s="4"/>
      <c r="RZN251" s="9"/>
      <c r="RZO251" s="4"/>
      <c r="RZP251" s="9"/>
      <c r="RZQ251" s="4"/>
      <c r="RZR251" s="9"/>
      <c r="RZS251" s="4"/>
      <c r="RZT251" s="9"/>
      <c r="RZU251" s="4"/>
      <c r="RZV251" s="9"/>
      <c r="RZW251" s="4"/>
      <c r="RZX251" s="9"/>
      <c r="RZY251" s="4"/>
      <c r="RZZ251" s="9"/>
      <c r="SAA251" s="4"/>
      <c r="SAB251" s="9"/>
      <c r="SAC251" s="4"/>
      <c r="SAD251" s="9"/>
      <c r="SAE251" s="4"/>
      <c r="SAF251" s="9"/>
      <c r="SAG251" s="4"/>
      <c r="SAH251" s="9"/>
      <c r="SAI251" s="4"/>
      <c r="SAJ251" s="9"/>
      <c r="SAK251" s="4"/>
      <c r="SAL251" s="9"/>
      <c r="SAM251" s="4"/>
      <c r="SAN251" s="9"/>
      <c r="SAO251" s="4"/>
      <c r="SAP251" s="9"/>
      <c r="SAQ251" s="4"/>
      <c r="SAR251" s="9"/>
      <c r="SAS251" s="4"/>
      <c r="SAT251" s="9"/>
      <c r="SAU251" s="4"/>
      <c r="SAV251" s="9"/>
      <c r="SAW251" s="4"/>
      <c r="SAX251" s="9"/>
      <c r="SAY251" s="4"/>
      <c r="SAZ251" s="9"/>
      <c r="SBA251" s="4"/>
      <c r="SBB251" s="9"/>
      <c r="SBC251" s="4"/>
      <c r="SBD251" s="9"/>
      <c r="SBE251" s="4"/>
      <c r="SBF251" s="9"/>
      <c r="SBG251" s="4"/>
      <c r="SBH251" s="9"/>
      <c r="SBI251" s="4"/>
      <c r="SBJ251" s="9"/>
      <c r="SBK251" s="4"/>
      <c r="SBL251" s="9"/>
      <c r="SBM251" s="4"/>
      <c r="SBN251" s="9"/>
      <c r="SBO251" s="4"/>
      <c r="SBP251" s="9"/>
      <c r="SBQ251" s="4"/>
      <c r="SBR251" s="9"/>
      <c r="SBS251" s="4"/>
      <c r="SBT251" s="9"/>
      <c r="SBU251" s="4"/>
      <c r="SBV251" s="9"/>
      <c r="SBW251" s="4"/>
      <c r="SBX251" s="9"/>
      <c r="SBY251" s="4"/>
      <c r="SBZ251" s="9"/>
      <c r="SCA251" s="4"/>
      <c r="SCB251" s="9"/>
      <c r="SCC251" s="4"/>
      <c r="SCD251" s="9"/>
      <c r="SCE251" s="4"/>
      <c r="SCF251" s="9"/>
      <c r="SCG251" s="4"/>
      <c r="SCH251" s="9"/>
      <c r="SCI251" s="4"/>
      <c r="SCJ251" s="9"/>
      <c r="SCK251" s="4"/>
      <c r="SCL251" s="9"/>
      <c r="SCM251" s="4"/>
      <c r="SCN251" s="9"/>
      <c r="SCO251" s="4"/>
      <c r="SCP251" s="9"/>
      <c r="SCQ251" s="4"/>
      <c r="SCR251" s="9"/>
      <c r="SCS251" s="4"/>
      <c r="SCT251" s="9"/>
      <c r="SCU251" s="4"/>
      <c r="SCV251" s="9"/>
      <c r="SCW251" s="4"/>
      <c r="SCX251" s="9"/>
      <c r="SCY251" s="4"/>
      <c r="SCZ251" s="9"/>
      <c r="SDA251" s="4"/>
      <c r="SDB251" s="9"/>
      <c r="SDC251" s="4"/>
      <c r="SDD251" s="9"/>
      <c r="SDE251" s="4"/>
      <c r="SDF251" s="9"/>
      <c r="SDG251" s="4"/>
      <c r="SDH251" s="9"/>
      <c r="SDI251" s="4"/>
      <c r="SDJ251" s="9"/>
      <c r="SDK251" s="4"/>
      <c r="SDL251" s="9"/>
      <c r="SDM251" s="4"/>
      <c r="SDN251" s="9"/>
      <c r="SDO251" s="4"/>
      <c r="SDP251" s="9"/>
      <c r="SDQ251" s="4"/>
      <c r="SDR251" s="9"/>
      <c r="SDS251" s="4"/>
      <c r="SDT251" s="9"/>
      <c r="SDU251" s="4"/>
      <c r="SDV251" s="9"/>
      <c r="SDW251" s="4"/>
      <c r="SDX251" s="9"/>
      <c r="SDY251" s="4"/>
      <c r="SDZ251" s="9"/>
      <c r="SEA251" s="4"/>
      <c r="SEB251" s="9"/>
      <c r="SEC251" s="4"/>
      <c r="SED251" s="9"/>
      <c r="SEE251" s="4"/>
      <c r="SEF251" s="9"/>
      <c r="SEG251" s="4"/>
      <c r="SEH251" s="9"/>
      <c r="SEI251" s="4"/>
      <c r="SEJ251" s="9"/>
      <c r="SEK251" s="4"/>
      <c r="SEL251" s="9"/>
      <c r="SEM251" s="4"/>
      <c r="SEN251" s="9"/>
      <c r="SEO251" s="4"/>
      <c r="SEP251" s="9"/>
      <c r="SEQ251" s="4"/>
      <c r="SER251" s="9"/>
      <c r="SES251" s="4"/>
      <c r="SET251" s="9"/>
      <c r="SEU251" s="4"/>
      <c r="SEV251" s="9"/>
      <c r="SEW251" s="4"/>
      <c r="SEX251" s="9"/>
      <c r="SEY251" s="4"/>
      <c r="SEZ251" s="9"/>
      <c r="SFA251" s="4"/>
      <c r="SFB251" s="9"/>
      <c r="SFC251" s="4"/>
      <c r="SFD251" s="9"/>
      <c r="SFE251" s="4"/>
      <c r="SFF251" s="9"/>
      <c r="SFG251" s="4"/>
      <c r="SFH251" s="9"/>
      <c r="SFI251" s="4"/>
      <c r="SFJ251" s="9"/>
      <c r="SFK251" s="4"/>
      <c r="SFL251" s="9"/>
      <c r="SFM251" s="4"/>
      <c r="SFN251" s="9"/>
      <c r="SFO251" s="4"/>
      <c r="SFP251" s="9"/>
      <c r="SFQ251" s="4"/>
      <c r="SFR251" s="9"/>
      <c r="SFS251" s="4"/>
      <c r="SFT251" s="9"/>
      <c r="SFU251" s="4"/>
      <c r="SFV251" s="9"/>
      <c r="SFW251" s="4"/>
      <c r="SFX251" s="9"/>
      <c r="SFY251" s="4"/>
      <c r="SFZ251" s="9"/>
      <c r="SGA251" s="4"/>
      <c r="SGB251" s="9"/>
      <c r="SGC251" s="4"/>
      <c r="SGD251" s="9"/>
      <c r="SGE251" s="4"/>
      <c r="SGF251" s="9"/>
      <c r="SGG251" s="4"/>
      <c r="SGH251" s="9"/>
      <c r="SGI251" s="4"/>
      <c r="SGJ251" s="9"/>
      <c r="SGK251" s="4"/>
      <c r="SGL251" s="9"/>
      <c r="SGM251" s="4"/>
      <c r="SGN251" s="9"/>
      <c r="SGO251" s="4"/>
      <c r="SGP251" s="9"/>
      <c r="SGQ251" s="4"/>
      <c r="SGR251" s="9"/>
      <c r="SGS251" s="4"/>
      <c r="SGT251" s="9"/>
      <c r="SGU251" s="4"/>
      <c r="SGV251" s="9"/>
      <c r="SGW251" s="4"/>
      <c r="SGX251" s="9"/>
      <c r="SGY251" s="4"/>
      <c r="SGZ251" s="9"/>
      <c r="SHA251" s="4"/>
      <c r="SHB251" s="9"/>
      <c r="SHC251" s="4"/>
      <c r="SHD251" s="9"/>
      <c r="SHE251" s="4"/>
      <c r="SHF251" s="9"/>
      <c r="SHG251" s="4"/>
      <c r="SHH251" s="9"/>
      <c r="SHI251" s="4"/>
      <c r="SHJ251" s="9"/>
      <c r="SHK251" s="4"/>
      <c r="SHL251" s="9"/>
      <c r="SHM251" s="4"/>
      <c r="SHN251" s="9"/>
      <c r="SHO251" s="4"/>
      <c r="SHP251" s="9"/>
      <c r="SHQ251" s="4"/>
      <c r="SHR251" s="9"/>
      <c r="SHS251" s="4"/>
      <c r="SHT251" s="9"/>
      <c r="SHU251" s="4"/>
      <c r="SHV251" s="9"/>
      <c r="SHW251" s="4"/>
      <c r="SHX251" s="9"/>
      <c r="SHY251" s="4"/>
      <c r="SHZ251" s="9"/>
      <c r="SIA251" s="4"/>
      <c r="SIB251" s="9"/>
      <c r="SIC251" s="4"/>
      <c r="SID251" s="9"/>
      <c r="SIE251" s="4"/>
      <c r="SIF251" s="9"/>
      <c r="SIG251" s="4"/>
      <c r="SIH251" s="9"/>
      <c r="SII251" s="4"/>
      <c r="SIJ251" s="9"/>
      <c r="SIK251" s="4"/>
      <c r="SIL251" s="9"/>
      <c r="SIM251" s="4"/>
      <c r="SIN251" s="9"/>
      <c r="SIO251" s="4"/>
      <c r="SIP251" s="9"/>
      <c r="SIQ251" s="4"/>
      <c r="SIR251" s="9"/>
      <c r="SIS251" s="4"/>
      <c r="SIT251" s="9"/>
      <c r="SIU251" s="4"/>
      <c r="SIV251" s="9"/>
      <c r="SIW251" s="4"/>
      <c r="SIX251" s="9"/>
      <c r="SIY251" s="4"/>
      <c r="SIZ251" s="9"/>
      <c r="SJA251" s="4"/>
      <c r="SJB251" s="9"/>
      <c r="SJC251" s="4"/>
      <c r="SJD251" s="9"/>
      <c r="SJE251" s="4"/>
      <c r="SJF251" s="9"/>
      <c r="SJG251" s="4"/>
      <c r="SJH251" s="9"/>
      <c r="SJI251" s="4"/>
      <c r="SJJ251" s="9"/>
      <c r="SJK251" s="4"/>
      <c r="SJL251" s="9"/>
      <c r="SJM251" s="4"/>
      <c r="SJN251" s="9"/>
      <c r="SJO251" s="4"/>
      <c r="SJP251" s="9"/>
      <c r="SJQ251" s="4"/>
      <c r="SJR251" s="9"/>
      <c r="SJS251" s="4"/>
      <c r="SJT251" s="9"/>
      <c r="SJU251" s="4"/>
      <c r="SJV251" s="9"/>
      <c r="SJW251" s="4"/>
      <c r="SJX251" s="9"/>
      <c r="SJY251" s="4"/>
      <c r="SJZ251" s="9"/>
      <c r="SKA251" s="4"/>
      <c r="SKB251" s="9"/>
      <c r="SKC251" s="4"/>
      <c r="SKD251" s="9"/>
      <c r="SKE251" s="4"/>
      <c r="SKF251" s="9"/>
      <c r="SKG251" s="4"/>
      <c r="SKH251" s="9"/>
      <c r="SKI251" s="4"/>
      <c r="SKJ251" s="9"/>
      <c r="SKK251" s="4"/>
      <c r="SKL251" s="9"/>
      <c r="SKM251" s="4"/>
      <c r="SKN251" s="9"/>
      <c r="SKO251" s="4"/>
      <c r="SKP251" s="9"/>
      <c r="SKQ251" s="4"/>
      <c r="SKR251" s="9"/>
      <c r="SKS251" s="4"/>
      <c r="SKT251" s="9"/>
      <c r="SKU251" s="4"/>
      <c r="SKV251" s="9"/>
      <c r="SKW251" s="4"/>
      <c r="SKX251" s="9"/>
      <c r="SKY251" s="4"/>
      <c r="SKZ251" s="9"/>
      <c r="SLA251" s="4"/>
      <c r="SLB251" s="9"/>
      <c r="SLC251" s="4"/>
      <c r="SLD251" s="9"/>
      <c r="SLE251" s="4"/>
      <c r="SLF251" s="9"/>
      <c r="SLG251" s="4"/>
      <c r="SLH251" s="9"/>
      <c r="SLI251" s="4"/>
      <c r="SLJ251" s="9"/>
      <c r="SLK251" s="4"/>
      <c r="SLL251" s="9"/>
      <c r="SLM251" s="4"/>
      <c r="SLN251" s="9"/>
      <c r="SLO251" s="4"/>
      <c r="SLP251" s="9"/>
      <c r="SLQ251" s="4"/>
      <c r="SLR251" s="9"/>
      <c r="SLS251" s="4"/>
      <c r="SLT251" s="9"/>
      <c r="SLU251" s="4"/>
      <c r="SLV251" s="9"/>
      <c r="SLW251" s="4"/>
      <c r="SLX251" s="9"/>
      <c r="SLY251" s="4"/>
      <c r="SLZ251" s="9"/>
      <c r="SMA251" s="4"/>
      <c r="SMB251" s="9"/>
      <c r="SMC251" s="4"/>
      <c r="SMD251" s="9"/>
      <c r="SME251" s="4"/>
      <c r="SMF251" s="9"/>
      <c r="SMG251" s="4"/>
      <c r="SMH251" s="9"/>
      <c r="SMI251" s="4"/>
      <c r="SMJ251" s="9"/>
      <c r="SMK251" s="4"/>
      <c r="SML251" s="9"/>
      <c r="SMM251" s="4"/>
      <c r="SMN251" s="9"/>
      <c r="SMO251" s="4"/>
      <c r="SMP251" s="9"/>
      <c r="SMQ251" s="4"/>
      <c r="SMR251" s="9"/>
      <c r="SMS251" s="4"/>
      <c r="SMT251" s="9"/>
      <c r="SMU251" s="4"/>
      <c r="SMV251" s="9"/>
      <c r="SMW251" s="4"/>
      <c r="SMX251" s="9"/>
      <c r="SMY251" s="4"/>
      <c r="SMZ251" s="9"/>
      <c r="SNA251" s="4"/>
      <c r="SNB251" s="9"/>
      <c r="SNC251" s="4"/>
      <c r="SND251" s="9"/>
      <c r="SNE251" s="4"/>
      <c r="SNF251" s="9"/>
      <c r="SNG251" s="4"/>
      <c r="SNH251" s="9"/>
      <c r="SNI251" s="4"/>
      <c r="SNJ251" s="9"/>
      <c r="SNK251" s="4"/>
      <c r="SNL251" s="9"/>
      <c r="SNM251" s="4"/>
      <c r="SNN251" s="9"/>
      <c r="SNO251" s="4"/>
      <c r="SNP251" s="9"/>
      <c r="SNQ251" s="4"/>
      <c r="SNR251" s="9"/>
      <c r="SNS251" s="4"/>
      <c r="SNT251" s="9"/>
      <c r="SNU251" s="4"/>
      <c r="SNV251" s="9"/>
      <c r="SNW251" s="4"/>
      <c r="SNX251" s="9"/>
      <c r="SNY251" s="4"/>
      <c r="SNZ251" s="9"/>
      <c r="SOA251" s="4"/>
      <c r="SOB251" s="9"/>
      <c r="SOC251" s="4"/>
      <c r="SOD251" s="9"/>
      <c r="SOE251" s="4"/>
      <c r="SOF251" s="9"/>
      <c r="SOG251" s="4"/>
      <c r="SOH251" s="9"/>
      <c r="SOI251" s="4"/>
      <c r="SOJ251" s="9"/>
      <c r="SOK251" s="4"/>
      <c r="SOL251" s="9"/>
      <c r="SOM251" s="4"/>
      <c r="SON251" s="9"/>
      <c r="SOO251" s="4"/>
      <c r="SOP251" s="9"/>
      <c r="SOQ251" s="4"/>
      <c r="SOR251" s="9"/>
      <c r="SOS251" s="4"/>
      <c r="SOT251" s="9"/>
      <c r="SOU251" s="4"/>
      <c r="SOV251" s="9"/>
      <c r="SOW251" s="4"/>
      <c r="SOX251" s="9"/>
      <c r="SOY251" s="4"/>
      <c r="SOZ251" s="9"/>
      <c r="SPA251" s="4"/>
      <c r="SPB251" s="9"/>
      <c r="SPC251" s="4"/>
      <c r="SPD251" s="9"/>
      <c r="SPE251" s="4"/>
      <c r="SPF251" s="9"/>
      <c r="SPG251" s="4"/>
      <c r="SPH251" s="9"/>
      <c r="SPI251" s="4"/>
      <c r="SPJ251" s="9"/>
      <c r="SPK251" s="4"/>
      <c r="SPL251" s="9"/>
      <c r="SPM251" s="4"/>
      <c r="SPN251" s="9"/>
      <c r="SPO251" s="4"/>
      <c r="SPP251" s="9"/>
      <c r="SPQ251" s="4"/>
      <c r="SPR251" s="9"/>
      <c r="SPS251" s="4"/>
      <c r="SPT251" s="9"/>
      <c r="SPU251" s="4"/>
      <c r="SPV251" s="9"/>
      <c r="SPW251" s="4"/>
      <c r="SPX251" s="9"/>
      <c r="SPY251" s="4"/>
      <c r="SPZ251" s="9"/>
      <c r="SQA251" s="4"/>
      <c r="SQB251" s="9"/>
      <c r="SQC251" s="4"/>
      <c r="SQD251" s="9"/>
      <c r="SQE251" s="4"/>
      <c r="SQF251" s="9"/>
      <c r="SQG251" s="4"/>
      <c r="SQH251" s="9"/>
      <c r="SQI251" s="4"/>
      <c r="SQJ251" s="9"/>
      <c r="SQK251" s="4"/>
      <c r="SQL251" s="9"/>
      <c r="SQM251" s="4"/>
      <c r="SQN251" s="9"/>
      <c r="SQO251" s="4"/>
      <c r="SQP251" s="9"/>
      <c r="SQQ251" s="4"/>
      <c r="SQR251" s="9"/>
      <c r="SQS251" s="4"/>
      <c r="SQT251" s="9"/>
      <c r="SQU251" s="4"/>
      <c r="SQV251" s="9"/>
      <c r="SQW251" s="4"/>
      <c r="SQX251" s="9"/>
      <c r="SQY251" s="4"/>
      <c r="SQZ251" s="9"/>
      <c r="SRA251" s="4"/>
      <c r="SRB251" s="9"/>
      <c r="SRC251" s="4"/>
      <c r="SRD251" s="9"/>
      <c r="SRE251" s="4"/>
      <c r="SRF251" s="9"/>
      <c r="SRG251" s="4"/>
      <c r="SRH251" s="9"/>
      <c r="SRI251" s="4"/>
      <c r="SRJ251" s="9"/>
      <c r="SRK251" s="4"/>
      <c r="SRL251" s="9"/>
      <c r="SRM251" s="4"/>
      <c r="SRN251" s="9"/>
      <c r="SRO251" s="4"/>
      <c r="SRP251" s="9"/>
      <c r="SRQ251" s="4"/>
      <c r="SRR251" s="9"/>
      <c r="SRS251" s="4"/>
      <c r="SRT251" s="9"/>
      <c r="SRU251" s="4"/>
      <c r="SRV251" s="9"/>
      <c r="SRW251" s="4"/>
      <c r="SRX251" s="9"/>
      <c r="SRY251" s="4"/>
      <c r="SRZ251" s="9"/>
      <c r="SSA251" s="4"/>
      <c r="SSB251" s="9"/>
      <c r="SSC251" s="4"/>
      <c r="SSD251" s="9"/>
      <c r="SSE251" s="4"/>
      <c r="SSF251" s="9"/>
      <c r="SSG251" s="4"/>
      <c r="SSH251" s="9"/>
      <c r="SSI251" s="4"/>
      <c r="SSJ251" s="9"/>
      <c r="SSK251" s="4"/>
      <c r="SSL251" s="9"/>
      <c r="SSM251" s="4"/>
      <c r="SSN251" s="9"/>
      <c r="SSO251" s="4"/>
      <c r="SSP251" s="9"/>
      <c r="SSQ251" s="4"/>
      <c r="SSR251" s="9"/>
      <c r="SSS251" s="4"/>
      <c r="SST251" s="9"/>
      <c r="SSU251" s="4"/>
      <c r="SSV251" s="9"/>
      <c r="SSW251" s="4"/>
      <c r="SSX251" s="9"/>
      <c r="SSY251" s="4"/>
      <c r="SSZ251" s="9"/>
      <c r="STA251" s="4"/>
      <c r="STB251" s="9"/>
      <c r="STC251" s="4"/>
      <c r="STD251" s="9"/>
      <c r="STE251" s="4"/>
      <c r="STF251" s="9"/>
      <c r="STG251" s="4"/>
      <c r="STH251" s="9"/>
      <c r="STI251" s="4"/>
      <c r="STJ251" s="9"/>
      <c r="STK251" s="4"/>
      <c r="STL251" s="9"/>
      <c r="STM251" s="4"/>
      <c r="STN251" s="9"/>
      <c r="STO251" s="4"/>
      <c r="STP251" s="9"/>
      <c r="STQ251" s="4"/>
      <c r="STR251" s="9"/>
      <c r="STS251" s="4"/>
      <c r="STT251" s="9"/>
      <c r="STU251" s="4"/>
      <c r="STV251" s="9"/>
      <c r="STW251" s="4"/>
      <c r="STX251" s="9"/>
      <c r="STY251" s="4"/>
      <c r="STZ251" s="9"/>
      <c r="SUA251" s="4"/>
      <c r="SUB251" s="9"/>
      <c r="SUC251" s="4"/>
      <c r="SUD251" s="9"/>
      <c r="SUE251" s="4"/>
      <c r="SUF251" s="9"/>
      <c r="SUG251" s="4"/>
      <c r="SUH251" s="9"/>
      <c r="SUI251" s="4"/>
      <c r="SUJ251" s="9"/>
      <c r="SUK251" s="4"/>
      <c r="SUL251" s="9"/>
      <c r="SUM251" s="4"/>
      <c r="SUN251" s="9"/>
      <c r="SUO251" s="4"/>
      <c r="SUP251" s="9"/>
      <c r="SUQ251" s="4"/>
      <c r="SUR251" s="9"/>
      <c r="SUS251" s="4"/>
      <c r="SUT251" s="9"/>
      <c r="SUU251" s="4"/>
      <c r="SUV251" s="9"/>
      <c r="SUW251" s="4"/>
      <c r="SUX251" s="9"/>
      <c r="SUY251" s="4"/>
      <c r="SUZ251" s="9"/>
      <c r="SVA251" s="4"/>
      <c r="SVB251" s="9"/>
      <c r="SVC251" s="4"/>
      <c r="SVD251" s="9"/>
      <c r="SVE251" s="4"/>
      <c r="SVF251" s="9"/>
      <c r="SVG251" s="4"/>
      <c r="SVH251" s="9"/>
      <c r="SVI251" s="4"/>
      <c r="SVJ251" s="9"/>
      <c r="SVK251" s="4"/>
      <c r="SVL251" s="9"/>
      <c r="SVM251" s="4"/>
      <c r="SVN251" s="9"/>
      <c r="SVO251" s="4"/>
      <c r="SVP251" s="9"/>
      <c r="SVQ251" s="4"/>
      <c r="SVR251" s="9"/>
      <c r="SVS251" s="4"/>
      <c r="SVT251" s="9"/>
      <c r="SVU251" s="4"/>
      <c r="SVV251" s="9"/>
      <c r="SVW251" s="4"/>
      <c r="SVX251" s="9"/>
      <c r="SVY251" s="4"/>
      <c r="SVZ251" s="9"/>
      <c r="SWA251" s="4"/>
      <c r="SWB251" s="9"/>
      <c r="SWC251" s="4"/>
      <c r="SWD251" s="9"/>
      <c r="SWE251" s="4"/>
      <c r="SWF251" s="9"/>
      <c r="SWG251" s="4"/>
      <c r="SWH251" s="9"/>
      <c r="SWI251" s="4"/>
      <c r="SWJ251" s="9"/>
      <c r="SWK251" s="4"/>
      <c r="SWL251" s="9"/>
      <c r="SWM251" s="4"/>
      <c r="SWN251" s="9"/>
      <c r="SWO251" s="4"/>
      <c r="SWP251" s="9"/>
      <c r="SWQ251" s="4"/>
      <c r="SWR251" s="9"/>
      <c r="SWS251" s="4"/>
      <c r="SWT251" s="9"/>
      <c r="SWU251" s="4"/>
      <c r="SWV251" s="9"/>
      <c r="SWW251" s="4"/>
      <c r="SWX251" s="9"/>
      <c r="SWY251" s="4"/>
      <c r="SWZ251" s="9"/>
      <c r="SXA251" s="4"/>
      <c r="SXB251" s="9"/>
      <c r="SXC251" s="4"/>
      <c r="SXD251" s="9"/>
      <c r="SXE251" s="4"/>
      <c r="SXF251" s="9"/>
      <c r="SXG251" s="4"/>
      <c r="SXH251" s="9"/>
      <c r="SXI251" s="4"/>
      <c r="SXJ251" s="9"/>
      <c r="SXK251" s="4"/>
      <c r="SXL251" s="9"/>
      <c r="SXM251" s="4"/>
      <c r="SXN251" s="9"/>
      <c r="SXO251" s="4"/>
      <c r="SXP251" s="9"/>
      <c r="SXQ251" s="4"/>
      <c r="SXR251" s="9"/>
      <c r="SXS251" s="4"/>
      <c r="SXT251" s="9"/>
      <c r="SXU251" s="4"/>
      <c r="SXV251" s="9"/>
      <c r="SXW251" s="4"/>
      <c r="SXX251" s="9"/>
      <c r="SXY251" s="4"/>
      <c r="SXZ251" s="9"/>
      <c r="SYA251" s="4"/>
      <c r="SYB251" s="9"/>
      <c r="SYC251" s="4"/>
      <c r="SYD251" s="9"/>
      <c r="SYE251" s="4"/>
      <c r="SYF251" s="9"/>
      <c r="SYG251" s="4"/>
      <c r="SYH251" s="9"/>
      <c r="SYI251" s="4"/>
      <c r="SYJ251" s="9"/>
      <c r="SYK251" s="4"/>
      <c r="SYL251" s="9"/>
      <c r="SYM251" s="4"/>
      <c r="SYN251" s="9"/>
      <c r="SYO251" s="4"/>
      <c r="SYP251" s="9"/>
      <c r="SYQ251" s="4"/>
      <c r="SYR251" s="9"/>
      <c r="SYS251" s="4"/>
      <c r="SYT251" s="9"/>
      <c r="SYU251" s="4"/>
      <c r="SYV251" s="9"/>
      <c r="SYW251" s="4"/>
      <c r="SYX251" s="9"/>
      <c r="SYY251" s="4"/>
      <c r="SYZ251" s="9"/>
      <c r="SZA251" s="4"/>
      <c r="SZB251" s="9"/>
      <c r="SZC251" s="4"/>
      <c r="SZD251" s="9"/>
      <c r="SZE251" s="4"/>
      <c r="SZF251" s="9"/>
      <c r="SZG251" s="4"/>
      <c r="SZH251" s="9"/>
      <c r="SZI251" s="4"/>
      <c r="SZJ251" s="9"/>
      <c r="SZK251" s="4"/>
      <c r="SZL251" s="9"/>
      <c r="SZM251" s="4"/>
      <c r="SZN251" s="9"/>
      <c r="SZO251" s="4"/>
      <c r="SZP251" s="9"/>
      <c r="SZQ251" s="4"/>
      <c r="SZR251" s="9"/>
      <c r="SZS251" s="4"/>
      <c r="SZT251" s="9"/>
      <c r="SZU251" s="4"/>
      <c r="SZV251" s="9"/>
      <c r="SZW251" s="4"/>
      <c r="SZX251" s="9"/>
      <c r="SZY251" s="4"/>
      <c r="SZZ251" s="9"/>
      <c r="TAA251" s="4"/>
      <c r="TAB251" s="9"/>
      <c r="TAC251" s="4"/>
      <c r="TAD251" s="9"/>
      <c r="TAE251" s="4"/>
      <c r="TAF251" s="9"/>
      <c r="TAG251" s="4"/>
      <c r="TAH251" s="9"/>
      <c r="TAI251" s="4"/>
      <c r="TAJ251" s="9"/>
      <c r="TAK251" s="4"/>
      <c r="TAL251" s="9"/>
      <c r="TAM251" s="4"/>
      <c r="TAN251" s="9"/>
      <c r="TAO251" s="4"/>
      <c r="TAP251" s="9"/>
      <c r="TAQ251" s="4"/>
      <c r="TAR251" s="9"/>
      <c r="TAS251" s="4"/>
      <c r="TAT251" s="9"/>
      <c r="TAU251" s="4"/>
      <c r="TAV251" s="9"/>
      <c r="TAW251" s="4"/>
      <c r="TAX251" s="9"/>
      <c r="TAY251" s="4"/>
      <c r="TAZ251" s="9"/>
      <c r="TBA251" s="4"/>
      <c r="TBB251" s="9"/>
      <c r="TBC251" s="4"/>
      <c r="TBD251" s="9"/>
      <c r="TBE251" s="4"/>
      <c r="TBF251" s="9"/>
      <c r="TBG251" s="4"/>
      <c r="TBH251" s="9"/>
      <c r="TBI251" s="4"/>
      <c r="TBJ251" s="9"/>
      <c r="TBK251" s="4"/>
      <c r="TBL251" s="9"/>
      <c r="TBM251" s="4"/>
      <c r="TBN251" s="9"/>
      <c r="TBO251" s="4"/>
      <c r="TBP251" s="9"/>
      <c r="TBQ251" s="4"/>
      <c r="TBR251" s="9"/>
      <c r="TBS251" s="4"/>
      <c r="TBT251" s="9"/>
      <c r="TBU251" s="4"/>
      <c r="TBV251" s="9"/>
      <c r="TBW251" s="4"/>
      <c r="TBX251" s="9"/>
      <c r="TBY251" s="4"/>
      <c r="TBZ251" s="9"/>
      <c r="TCA251" s="4"/>
      <c r="TCB251" s="9"/>
      <c r="TCC251" s="4"/>
      <c r="TCD251" s="9"/>
      <c r="TCE251" s="4"/>
      <c r="TCF251" s="9"/>
      <c r="TCG251" s="4"/>
      <c r="TCH251" s="9"/>
      <c r="TCI251" s="4"/>
      <c r="TCJ251" s="9"/>
      <c r="TCK251" s="4"/>
      <c r="TCL251" s="9"/>
      <c r="TCM251" s="4"/>
      <c r="TCN251" s="9"/>
      <c r="TCO251" s="4"/>
      <c r="TCP251" s="9"/>
      <c r="TCQ251" s="4"/>
      <c r="TCR251" s="9"/>
      <c r="TCS251" s="4"/>
      <c r="TCT251" s="9"/>
      <c r="TCU251" s="4"/>
      <c r="TCV251" s="9"/>
      <c r="TCW251" s="4"/>
      <c r="TCX251" s="9"/>
      <c r="TCY251" s="4"/>
      <c r="TCZ251" s="9"/>
      <c r="TDA251" s="4"/>
      <c r="TDB251" s="9"/>
      <c r="TDC251" s="4"/>
      <c r="TDD251" s="9"/>
      <c r="TDE251" s="4"/>
      <c r="TDF251" s="9"/>
      <c r="TDG251" s="4"/>
      <c r="TDH251" s="9"/>
      <c r="TDI251" s="4"/>
      <c r="TDJ251" s="9"/>
      <c r="TDK251" s="4"/>
      <c r="TDL251" s="9"/>
      <c r="TDM251" s="4"/>
      <c r="TDN251" s="9"/>
      <c r="TDO251" s="4"/>
      <c r="TDP251" s="9"/>
      <c r="TDQ251" s="4"/>
      <c r="TDR251" s="9"/>
      <c r="TDS251" s="4"/>
      <c r="TDT251" s="9"/>
      <c r="TDU251" s="4"/>
      <c r="TDV251" s="9"/>
      <c r="TDW251" s="4"/>
      <c r="TDX251" s="9"/>
      <c r="TDY251" s="4"/>
      <c r="TDZ251" s="9"/>
      <c r="TEA251" s="4"/>
      <c r="TEB251" s="9"/>
      <c r="TEC251" s="4"/>
      <c r="TED251" s="9"/>
      <c r="TEE251" s="4"/>
      <c r="TEF251" s="9"/>
      <c r="TEG251" s="4"/>
      <c r="TEH251" s="9"/>
      <c r="TEI251" s="4"/>
      <c r="TEJ251" s="9"/>
      <c r="TEK251" s="4"/>
      <c r="TEL251" s="9"/>
      <c r="TEM251" s="4"/>
      <c r="TEN251" s="9"/>
      <c r="TEO251" s="4"/>
      <c r="TEP251" s="9"/>
      <c r="TEQ251" s="4"/>
      <c r="TER251" s="9"/>
      <c r="TES251" s="4"/>
      <c r="TET251" s="9"/>
      <c r="TEU251" s="4"/>
      <c r="TEV251" s="9"/>
      <c r="TEW251" s="4"/>
      <c r="TEX251" s="9"/>
      <c r="TEY251" s="4"/>
      <c r="TEZ251" s="9"/>
      <c r="TFA251" s="4"/>
      <c r="TFB251" s="9"/>
      <c r="TFC251" s="4"/>
      <c r="TFD251" s="9"/>
      <c r="TFE251" s="4"/>
      <c r="TFF251" s="9"/>
      <c r="TFG251" s="4"/>
      <c r="TFH251" s="9"/>
      <c r="TFI251" s="4"/>
      <c r="TFJ251" s="9"/>
      <c r="TFK251" s="4"/>
      <c r="TFL251" s="9"/>
      <c r="TFM251" s="4"/>
      <c r="TFN251" s="9"/>
      <c r="TFO251" s="4"/>
      <c r="TFP251" s="9"/>
      <c r="TFQ251" s="4"/>
      <c r="TFR251" s="9"/>
      <c r="TFS251" s="4"/>
      <c r="TFT251" s="9"/>
      <c r="TFU251" s="4"/>
      <c r="TFV251" s="9"/>
      <c r="TFW251" s="4"/>
      <c r="TFX251" s="9"/>
      <c r="TFY251" s="4"/>
      <c r="TFZ251" s="9"/>
      <c r="TGA251" s="4"/>
      <c r="TGB251" s="9"/>
      <c r="TGC251" s="4"/>
      <c r="TGD251" s="9"/>
      <c r="TGE251" s="4"/>
      <c r="TGF251" s="9"/>
      <c r="TGG251" s="4"/>
      <c r="TGH251" s="9"/>
      <c r="TGI251" s="4"/>
      <c r="TGJ251" s="9"/>
      <c r="TGK251" s="4"/>
      <c r="TGL251" s="9"/>
      <c r="TGM251" s="4"/>
      <c r="TGN251" s="9"/>
      <c r="TGO251" s="4"/>
      <c r="TGP251" s="9"/>
      <c r="TGQ251" s="4"/>
      <c r="TGR251" s="9"/>
      <c r="TGS251" s="4"/>
      <c r="TGT251" s="9"/>
      <c r="TGU251" s="4"/>
      <c r="TGV251" s="9"/>
      <c r="TGW251" s="4"/>
      <c r="TGX251" s="9"/>
      <c r="TGY251" s="4"/>
      <c r="TGZ251" s="9"/>
      <c r="THA251" s="4"/>
      <c r="THB251" s="9"/>
      <c r="THC251" s="4"/>
      <c r="THD251" s="9"/>
      <c r="THE251" s="4"/>
      <c r="THF251" s="9"/>
      <c r="THG251" s="4"/>
      <c r="THH251" s="9"/>
      <c r="THI251" s="4"/>
      <c r="THJ251" s="9"/>
      <c r="THK251" s="4"/>
      <c r="THL251" s="9"/>
      <c r="THM251" s="4"/>
      <c r="THN251" s="9"/>
      <c r="THO251" s="4"/>
      <c r="THP251" s="9"/>
      <c r="THQ251" s="4"/>
      <c r="THR251" s="9"/>
      <c r="THS251" s="4"/>
      <c r="THT251" s="9"/>
      <c r="THU251" s="4"/>
      <c r="THV251" s="9"/>
      <c r="THW251" s="4"/>
      <c r="THX251" s="9"/>
      <c r="THY251" s="4"/>
      <c r="THZ251" s="9"/>
      <c r="TIA251" s="4"/>
      <c r="TIB251" s="9"/>
      <c r="TIC251" s="4"/>
      <c r="TID251" s="9"/>
      <c r="TIE251" s="4"/>
      <c r="TIF251" s="9"/>
      <c r="TIG251" s="4"/>
      <c r="TIH251" s="9"/>
      <c r="TII251" s="4"/>
      <c r="TIJ251" s="9"/>
      <c r="TIK251" s="4"/>
      <c r="TIL251" s="9"/>
      <c r="TIM251" s="4"/>
      <c r="TIN251" s="9"/>
      <c r="TIO251" s="4"/>
      <c r="TIP251" s="9"/>
      <c r="TIQ251" s="4"/>
      <c r="TIR251" s="9"/>
      <c r="TIS251" s="4"/>
      <c r="TIT251" s="9"/>
      <c r="TIU251" s="4"/>
      <c r="TIV251" s="9"/>
      <c r="TIW251" s="4"/>
      <c r="TIX251" s="9"/>
      <c r="TIY251" s="4"/>
      <c r="TIZ251" s="9"/>
      <c r="TJA251" s="4"/>
      <c r="TJB251" s="9"/>
      <c r="TJC251" s="4"/>
      <c r="TJD251" s="9"/>
      <c r="TJE251" s="4"/>
      <c r="TJF251" s="9"/>
      <c r="TJG251" s="4"/>
      <c r="TJH251" s="9"/>
      <c r="TJI251" s="4"/>
      <c r="TJJ251" s="9"/>
      <c r="TJK251" s="4"/>
      <c r="TJL251" s="9"/>
      <c r="TJM251" s="4"/>
      <c r="TJN251" s="9"/>
      <c r="TJO251" s="4"/>
      <c r="TJP251" s="9"/>
      <c r="TJQ251" s="4"/>
      <c r="TJR251" s="9"/>
      <c r="TJS251" s="4"/>
      <c r="TJT251" s="9"/>
      <c r="TJU251" s="4"/>
      <c r="TJV251" s="9"/>
      <c r="TJW251" s="4"/>
      <c r="TJX251" s="9"/>
      <c r="TJY251" s="4"/>
      <c r="TJZ251" s="9"/>
      <c r="TKA251" s="4"/>
      <c r="TKB251" s="9"/>
      <c r="TKC251" s="4"/>
      <c r="TKD251" s="9"/>
      <c r="TKE251" s="4"/>
      <c r="TKF251" s="9"/>
      <c r="TKG251" s="4"/>
      <c r="TKH251" s="9"/>
      <c r="TKI251" s="4"/>
      <c r="TKJ251" s="9"/>
      <c r="TKK251" s="4"/>
      <c r="TKL251" s="9"/>
      <c r="TKM251" s="4"/>
      <c r="TKN251" s="9"/>
      <c r="TKO251" s="4"/>
      <c r="TKP251" s="9"/>
      <c r="TKQ251" s="4"/>
      <c r="TKR251" s="9"/>
      <c r="TKS251" s="4"/>
      <c r="TKT251" s="9"/>
      <c r="TKU251" s="4"/>
      <c r="TKV251" s="9"/>
      <c r="TKW251" s="4"/>
      <c r="TKX251" s="9"/>
      <c r="TKY251" s="4"/>
      <c r="TKZ251" s="9"/>
      <c r="TLA251" s="4"/>
      <c r="TLB251" s="9"/>
      <c r="TLC251" s="4"/>
      <c r="TLD251" s="9"/>
      <c r="TLE251" s="4"/>
      <c r="TLF251" s="9"/>
      <c r="TLG251" s="4"/>
      <c r="TLH251" s="9"/>
      <c r="TLI251" s="4"/>
      <c r="TLJ251" s="9"/>
      <c r="TLK251" s="4"/>
      <c r="TLL251" s="9"/>
      <c r="TLM251" s="4"/>
      <c r="TLN251" s="9"/>
      <c r="TLO251" s="4"/>
      <c r="TLP251" s="9"/>
      <c r="TLQ251" s="4"/>
      <c r="TLR251" s="9"/>
      <c r="TLS251" s="4"/>
      <c r="TLT251" s="9"/>
      <c r="TLU251" s="4"/>
      <c r="TLV251" s="9"/>
      <c r="TLW251" s="4"/>
      <c r="TLX251" s="9"/>
      <c r="TLY251" s="4"/>
      <c r="TLZ251" s="9"/>
      <c r="TMA251" s="4"/>
      <c r="TMB251" s="9"/>
      <c r="TMC251" s="4"/>
      <c r="TMD251" s="9"/>
      <c r="TME251" s="4"/>
      <c r="TMF251" s="9"/>
      <c r="TMG251" s="4"/>
      <c r="TMH251" s="9"/>
      <c r="TMI251" s="4"/>
      <c r="TMJ251" s="9"/>
      <c r="TMK251" s="4"/>
      <c r="TML251" s="9"/>
      <c r="TMM251" s="4"/>
      <c r="TMN251" s="9"/>
      <c r="TMO251" s="4"/>
      <c r="TMP251" s="9"/>
      <c r="TMQ251" s="4"/>
      <c r="TMR251" s="9"/>
      <c r="TMS251" s="4"/>
      <c r="TMT251" s="9"/>
      <c r="TMU251" s="4"/>
      <c r="TMV251" s="9"/>
      <c r="TMW251" s="4"/>
      <c r="TMX251" s="9"/>
      <c r="TMY251" s="4"/>
      <c r="TMZ251" s="9"/>
      <c r="TNA251" s="4"/>
      <c r="TNB251" s="9"/>
      <c r="TNC251" s="4"/>
      <c r="TND251" s="9"/>
      <c r="TNE251" s="4"/>
      <c r="TNF251" s="9"/>
      <c r="TNG251" s="4"/>
      <c r="TNH251" s="9"/>
      <c r="TNI251" s="4"/>
      <c r="TNJ251" s="9"/>
      <c r="TNK251" s="4"/>
      <c r="TNL251" s="9"/>
      <c r="TNM251" s="4"/>
      <c r="TNN251" s="9"/>
      <c r="TNO251" s="4"/>
      <c r="TNP251" s="9"/>
      <c r="TNQ251" s="4"/>
      <c r="TNR251" s="9"/>
      <c r="TNS251" s="4"/>
      <c r="TNT251" s="9"/>
      <c r="TNU251" s="4"/>
      <c r="TNV251" s="9"/>
      <c r="TNW251" s="4"/>
      <c r="TNX251" s="9"/>
      <c r="TNY251" s="4"/>
      <c r="TNZ251" s="9"/>
      <c r="TOA251" s="4"/>
      <c r="TOB251" s="9"/>
      <c r="TOC251" s="4"/>
      <c r="TOD251" s="9"/>
      <c r="TOE251" s="4"/>
      <c r="TOF251" s="9"/>
      <c r="TOG251" s="4"/>
      <c r="TOH251" s="9"/>
      <c r="TOI251" s="4"/>
      <c r="TOJ251" s="9"/>
      <c r="TOK251" s="4"/>
      <c r="TOL251" s="9"/>
      <c r="TOM251" s="4"/>
      <c r="TON251" s="9"/>
      <c r="TOO251" s="4"/>
      <c r="TOP251" s="9"/>
      <c r="TOQ251" s="4"/>
      <c r="TOR251" s="9"/>
      <c r="TOS251" s="4"/>
      <c r="TOT251" s="9"/>
      <c r="TOU251" s="4"/>
      <c r="TOV251" s="9"/>
      <c r="TOW251" s="4"/>
      <c r="TOX251" s="9"/>
      <c r="TOY251" s="4"/>
      <c r="TOZ251" s="9"/>
      <c r="TPA251" s="4"/>
      <c r="TPB251" s="9"/>
      <c r="TPC251" s="4"/>
      <c r="TPD251" s="9"/>
      <c r="TPE251" s="4"/>
      <c r="TPF251" s="9"/>
      <c r="TPG251" s="4"/>
      <c r="TPH251" s="9"/>
      <c r="TPI251" s="4"/>
      <c r="TPJ251" s="9"/>
      <c r="TPK251" s="4"/>
      <c r="TPL251" s="9"/>
      <c r="TPM251" s="4"/>
      <c r="TPN251" s="9"/>
      <c r="TPO251" s="4"/>
      <c r="TPP251" s="9"/>
      <c r="TPQ251" s="4"/>
      <c r="TPR251" s="9"/>
      <c r="TPS251" s="4"/>
      <c r="TPT251" s="9"/>
      <c r="TPU251" s="4"/>
      <c r="TPV251" s="9"/>
      <c r="TPW251" s="4"/>
      <c r="TPX251" s="9"/>
      <c r="TPY251" s="4"/>
      <c r="TPZ251" s="9"/>
      <c r="TQA251" s="4"/>
      <c r="TQB251" s="9"/>
      <c r="TQC251" s="4"/>
      <c r="TQD251" s="9"/>
      <c r="TQE251" s="4"/>
      <c r="TQF251" s="9"/>
      <c r="TQG251" s="4"/>
      <c r="TQH251" s="9"/>
      <c r="TQI251" s="4"/>
      <c r="TQJ251" s="9"/>
      <c r="TQK251" s="4"/>
      <c r="TQL251" s="9"/>
      <c r="TQM251" s="4"/>
      <c r="TQN251" s="9"/>
      <c r="TQO251" s="4"/>
      <c r="TQP251" s="9"/>
      <c r="TQQ251" s="4"/>
      <c r="TQR251" s="9"/>
      <c r="TQS251" s="4"/>
      <c r="TQT251" s="9"/>
      <c r="TQU251" s="4"/>
      <c r="TQV251" s="9"/>
      <c r="TQW251" s="4"/>
      <c r="TQX251" s="9"/>
      <c r="TQY251" s="4"/>
      <c r="TQZ251" s="9"/>
      <c r="TRA251" s="4"/>
      <c r="TRB251" s="9"/>
      <c r="TRC251" s="4"/>
      <c r="TRD251" s="9"/>
      <c r="TRE251" s="4"/>
      <c r="TRF251" s="9"/>
      <c r="TRG251" s="4"/>
      <c r="TRH251" s="9"/>
      <c r="TRI251" s="4"/>
      <c r="TRJ251" s="9"/>
      <c r="TRK251" s="4"/>
      <c r="TRL251" s="9"/>
      <c r="TRM251" s="4"/>
      <c r="TRN251" s="9"/>
      <c r="TRO251" s="4"/>
      <c r="TRP251" s="9"/>
      <c r="TRQ251" s="4"/>
      <c r="TRR251" s="9"/>
      <c r="TRS251" s="4"/>
      <c r="TRT251" s="9"/>
      <c r="TRU251" s="4"/>
      <c r="TRV251" s="9"/>
      <c r="TRW251" s="4"/>
      <c r="TRX251" s="9"/>
      <c r="TRY251" s="4"/>
      <c r="TRZ251" s="9"/>
      <c r="TSA251" s="4"/>
      <c r="TSB251" s="9"/>
      <c r="TSC251" s="4"/>
      <c r="TSD251" s="9"/>
      <c r="TSE251" s="4"/>
      <c r="TSF251" s="9"/>
      <c r="TSG251" s="4"/>
      <c r="TSH251" s="9"/>
      <c r="TSI251" s="4"/>
      <c r="TSJ251" s="9"/>
      <c r="TSK251" s="4"/>
      <c r="TSL251" s="9"/>
      <c r="TSM251" s="4"/>
      <c r="TSN251" s="9"/>
      <c r="TSO251" s="4"/>
      <c r="TSP251" s="9"/>
      <c r="TSQ251" s="4"/>
      <c r="TSR251" s="9"/>
      <c r="TSS251" s="4"/>
      <c r="TST251" s="9"/>
      <c r="TSU251" s="4"/>
      <c r="TSV251" s="9"/>
      <c r="TSW251" s="4"/>
      <c r="TSX251" s="9"/>
      <c r="TSY251" s="4"/>
      <c r="TSZ251" s="9"/>
      <c r="TTA251" s="4"/>
      <c r="TTB251" s="9"/>
      <c r="TTC251" s="4"/>
      <c r="TTD251" s="9"/>
      <c r="TTE251" s="4"/>
      <c r="TTF251" s="9"/>
      <c r="TTG251" s="4"/>
      <c r="TTH251" s="9"/>
      <c r="TTI251" s="4"/>
      <c r="TTJ251" s="9"/>
      <c r="TTK251" s="4"/>
      <c r="TTL251" s="9"/>
      <c r="TTM251" s="4"/>
      <c r="TTN251" s="9"/>
      <c r="TTO251" s="4"/>
      <c r="TTP251" s="9"/>
      <c r="TTQ251" s="4"/>
      <c r="TTR251" s="9"/>
      <c r="TTS251" s="4"/>
      <c r="TTT251" s="9"/>
      <c r="TTU251" s="4"/>
      <c r="TTV251" s="9"/>
      <c r="TTW251" s="4"/>
      <c r="TTX251" s="9"/>
      <c r="TTY251" s="4"/>
      <c r="TTZ251" s="9"/>
      <c r="TUA251" s="4"/>
      <c r="TUB251" s="9"/>
      <c r="TUC251" s="4"/>
      <c r="TUD251" s="9"/>
      <c r="TUE251" s="4"/>
      <c r="TUF251" s="9"/>
      <c r="TUG251" s="4"/>
      <c r="TUH251" s="9"/>
      <c r="TUI251" s="4"/>
      <c r="TUJ251" s="9"/>
      <c r="TUK251" s="4"/>
      <c r="TUL251" s="9"/>
      <c r="TUM251" s="4"/>
      <c r="TUN251" s="9"/>
      <c r="TUO251" s="4"/>
      <c r="TUP251" s="9"/>
      <c r="TUQ251" s="4"/>
      <c r="TUR251" s="9"/>
      <c r="TUS251" s="4"/>
      <c r="TUT251" s="9"/>
      <c r="TUU251" s="4"/>
      <c r="TUV251" s="9"/>
      <c r="TUW251" s="4"/>
      <c r="TUX251" s="9"/>
      <c r="TUY251" s="4"/>
      <c r="TUZ251" s="9"/>
      <c r="TVA251" s="4"/>
      <c r="TVB251" s="9"/>
      <c r="TVC251" s="4"/>
      <c r="TVD251" s="9"/>
      <c r="TVE251" s="4"/>
      <c r="TVF251" s="9"/>
      <c r="TVG251" s="4"/>
      <c r="TVH251" s="9"/>
      <c r="TVI251" s="4"/>
      <c r="TVJ251" s="9"/>
      <c r="TVK251" s="4"/>
      <c r="TVL251" s="9"/>
      <c r="TVM251" s="4"/>
      <c r="TVN251" s="9"/>
      <c r="TVO251" s="4"/>
      <c r="TVP251" s="9"/>
      <c r="TVQ251" s="4"/>
      <c r="TVR251" s="9"/>
      <c r="TVS251" s="4"/>
      <c r="TVT251" s="9"/>
      <c r="TVU251" s="4"/>
      <c r="TVV251" s="9"/>
      <c r="TVW251" s="4"/>
      <c r="TVX251" s="9"/>
      <c r="TVY251" s="4"/>
      <c r="TVZ251" s="9"/>
      <c r="TWA251" s="4"/>
      <c r="TWB251" s="9"/>
      <c r="TWC251" s="4"/>
      <c r="TWD251" s="9"/>
      <c r="TWE251" s="4"/>
      <c r="TWF251" s="9"/>
      <c r="TWG251" s="4"/>
      <c r="TWH251" s="9"/>
      <c r="TWI251" s="4"/>
      <c r="TWJ251" s="9"/>
      <c r="TWK251" s="4"/>
      <c r="TWL251" s="9"/>
      <c r="TWM251" s="4"/>
      <c r="TWN251" s="9"/>
      <c r="TWO251" s="4"/>
      <c r="TWP251" s="9"/>
      <c r="TWQ251" s="4"/>
      <c r="TWR251" s="9"/>
      <c r="TWS251" s="4"/>
      <c r="TWT251" s="9"/>
      <c r="TWU251" s="4"/>
      <c r="TWV251" s="9"/>
      <c r="TWW251" s="4"/>
      <c r="TWX251" s="9"/>
      <c r="TWY251" s="4"/>
      <c r="TWZ251" s="9"/>
      <c r="TXA251" s="4"/>
      <c r="TXB251" s="9"/>
      <c r="TXC251" s="4"/>
      <c r="TXD251" s="9"/>
      <c r="TXE251" s="4"/>
      <c r="TXF251" s="9"/>
      <c r="TXG251" s="4"/>
      <c r="TXH251" s="9"/>
      <c r="TXI251" s="4"/>
      <c r="TXJ251" s="9"/>
      <c r="TXK251" s="4"/>
      <c r="TXL251" s="9"/>
      <c r="TXM251" s="4"/>
      <c r="TXN251" s="9"/>
      <c r="TXO251" s="4"/>
      <c r="TXP251" s="9"/>
      <c r="TXQ251" s="4"/>
      <c r="TXR251" s="9"/>
      <c r="TXS251" s="4"/>
      <c r="TXT251" s="9"/>
      <c r="TXU251" s="4"/>
      <c r="TXV251" s="9"/>
      <c r="TXW251" s="4"/>
      <c r="TXX251" s="9"/>
      <c r="TXY251" s="4"/>
      <c r="TXZ251" s="9"/>
      <c r="TYA251" s="4"/>
      <c r="TYB251" s="9"/>
      <c r="TYC251" s="4"/>
      <c r="TYD251" s="9"/>
      <c r="TYE251" s="4"/>
      <c r="TYF251" s="9"/>
      <c r="TYG251" s="4"/>
      <c r="TYH251" s="9"/>
      <c r="TYI251" s="4"/>
      <c r="TYJ251" s="9"/>
      <c r="TYK251" s="4"/>
      <c r="TYL251" s="9"/>
      <c r="TYM251" s="4"/>
      <c r="TYN251" s="9"/>
      <c r="TYO251" s="4"/>
      <c r="TYP251" s="9"/>
      <c r="TYQ251" s="4"/>
      <c r="TYR251" s="9"/>
      <c r="TYS251" s="4"/>
      <c r="TYT251" s="9"/>
      <c r="TYU251" s="4"/>
      <c r="TYV251" s="9"/>
      <c r="TYW251" s="4"/>
      <c r="TYX251" s="9"/>
      <c r="TYY251" s="4"/>
      <c r="TYZ251" s="9"/>
      <c r="TZA251" s="4"/>
      <c r="TZB251" s="9"/>
      <c r="TZC251" s="4"/>
      <c r="TZD251" s="9"/>
      <c r="TZE251" s="4"/>
      <c r="TZF251" s="9"/>
      <c r="TZG251" s="4"/>
      <c r="TZH251" s="9"/>
      <c r="TZI251" s="4"/>
      <c r="TZJ251" s="9"/>
      <c r="TZK251" s="4"/>
      <c r="TZL251" s="9"/>
      <c r="TZM251" s="4"/>
      <c r="TZN251" s="9"/>
      <c r="TZO251" s="4"/>
      <c r="TZP251" s="9"/>
      <c r="TZQ251" s="4"/>
      <c r="TZR251" s="9"/>
      <c r="TZS251" s="4"/>
      <c r="TZT251" s="9"/>
      <c r="TZU251" s="4"/>
      <c r="TZV251" s="9"/>
      <c r="TZW251" s="4"/>
      <c r="TZX251" s="9"/>
      <c r="TZY251" s="4"/>
      <c r="TZZ251" s="9"/>
      <c r="UAA251" s="4"/>
      <c r="UAB251" s="9"/>
      <c r="UAC251" s="4"/>
      <c r="UAD251" s="9"/>
      <c r="UAE251" s="4"/>
      <c r="UAF251" s="9"/>
      <c r="UAG251" s="4"/>
      <c r="UAH251" s="9"/>
      <c r="UAI251" s="4"/>
      <c r="UAJ251" s="9"/>
      <c r="UAK251" s="4"/>
      <c r="UAL251" s="9"/>
      <c r="UAM251" s="4"/>
      <c r="UAN251" s="9"/>
      <c r="UAO251" s="4"/>
      <c r="UAP251" s="9"/>
      <c r="UAQ251" s="4"/>
      <c r="UAR251" s="9"/>
      <c r="UAS251" s="4"/>
      <c r="UAT251" s="9"/>
      <c r="UAU251" s="4"/>
      <c r="UAV251" s="9"/>
      <c r="UAW251" s="4"/>
      <c r="UAX251" s="9"/>
      <c r="UAY251" s="4"/>
      <c r="UAZ251" s="9"/>
      <c r="UBA251" s="4"/>
      <c r="UBB251" s="9"/>
      <c r="UBC251" s="4"/>
      <c r="UBD251" s="9"/>
      <c r="UBE251" s="4"/>
      <c r="UBF251" s="9"/>
      <c r="UBG251" s="4"/>
      <c r="UBH251" s="9"/>
      <c r="UBI251" s="4"/>
      <c r="UBJ251" s="9"/>
      <c r="UBK251" s="4"/>
      <c r="UBL251" s="9"/>
      <c r="UBM251" s="4"/>
      <c r="UBN251" s="9"/>
      <c r="UBO251" s="4"/>
      <c r="UBP251" s="9"/>
      <c r="UBQ251" s="4"/>
      <c r="UBR251" s="9"/>
      <c r="UBS251" s="4"/>
      <c r="UBT251" s="9"/>
      <c r="UBU251" s="4"/>
      <c r="UBV251" s="9"/>
      <c r="UBW251" s="4"/>
      <c r="UBX251" s="9"/>
      <c r="UBY251" s="4"/>
      <c r="UBZ251" s="9"/>
      <c r="UCA251" s="4"/>
      <c r="UCB251" s="9"/>
      <c r="UCC251" s="4"/>
      <c r="UCD251" s="9"/>
      <c r="UCE251" s="4"/>
      <c r="UCF251" s="9"/>
      <c r="UCG251" s="4"/>
      <c r="UCH251" s="9"/>
      <c r="UCI251" s="4"/>
      <c r="UCJ251" s="9"/>
      <c r="UCK251" s="4"/>
      <c r="UCL251" s="9"/>
      <c r="UCM251" s="4"/>
      <c r="UCN251" s="9"/>
      <c r="UCO251" s="4"/>
      <c r="UCP251" s="9"/>
      <c r="UCQ251" s="4"/>
      <c r="UCR251" s="9"/>
      <c r="UCS251" s="4"/>
      <c r="UCT251" s="9"/>
      <c r="UCU251" s="4"/>
      <c r="UCV251" s="9"/>
      <c r="UCW251" s="4"/>
      <c r="UCX251" s="9"/>
      <c r="UCY251" s="4"/>
      <c r="UCZ251" s="9"/>
      <c r="UDA251" s="4"/>
      <c r="UDB251" s="9"/>
      <c r="UDC251" s="4"/>
      <c r="UDD251" s="9"/>
      <c r="UDE251" s="4"/>
      <c r="UDF251" s="9"/>
      <c r="UDG251" s="4"/>
      <c r="UDH251" s="9"/>
      <c r="UDI251" s="4"/>
      <c r="UDJ251" s="9"/>
      <c r="UDK251" s="4"/>
      <c r="UDL251" s="9"/>
      <c r="UDM251" s="4"/>
      <c r="UDN251" s="9"/>
      <c r="UDO251" s="4"/>
      <c r="UDP251" s="9"/>
      <c r="UDQ251" s="4"/>
      <c r="UDR251" s="9"/>
      <c r="UDS251" s="4"/>
      <c r="UDT251" s="9"/>
      <c r="UDU251" s="4"/>
      <c r="UDV251" s="9"/>
      <c r="UDW251" s="4"/>
      <c r="UDX251" s="9"/>
      <c r="UDY251" s="4"/>
      <c r="UDZ251" s="9"/>
      <c r="UEA251" s="4"/>
      <c r="UEB251" s="9"/>
      <c r="UEC251" s="4"/>
      <c r="UED251" s="9"/>
      <c r="UEE251" s="4"/>
      <c r="UEF251" s="9"/>
      <c r="UEG251" s="4"/>
      <c r="UEH251" s="9"/>
      <c r="UEI251" s="4"/>
      <c r="UEJ251" s="9"/>
      <c r="UEK251" s="4"/>
      <c r="UEL251" s="9"/>
      <c r="UEM251" s="4"/>
      <c r="UEN251" s="9"/>
      <c r="UEO251" s="4"/>
      <c r="UEP251" s="9"/>
      <c r="UEQ251" s="4"/>
      <c r="UER251" s="9"/>
      <c r="UES251" s="4"/>
      <c r="UET251" s="9"/>
      <c r="UEU251" s="4"/>
      <c r="UEV251" s="9"/>
      <c r="UEW251" s="4"/>
      <c r="UEX251" s="9"/>
      <c r="UEY251" s="4"/>
      <c r="UEZ251" s="9"/>
      <c r="UFA251" s="4"/>
      <c r="UFB251" s="9"/>
      <c r="UFC251" s="4"/>
      <c r="UFD251" s="9"/>
      <c r="UFE251" s="4"/>
      <c r="UFF251" s="9"/>
      <c r="UFG251" s="4"/>
      <c r="UFH251" s="9"/>
      <c r="UFI251" s="4"/>
      <c r="UFJ251" s="9"/>
      <c r="UFK251" s="4"/>
      <c r="UFL251" s="9"/>
      <c r="UFM251" s="4"/>
      <c r="UFN251" s="9"/>
      <c r="UFO251" s="4"/>
      <c r="UFP251" s="9"/>
      <c r="UFQ251" s="4"/>
      <c r="UFR251" s="9"/>
      <c r="UFS251" s="4"/>
      <c r="UFT251" s="9"/>
      <c r="UFU251" s="4"/>
      <c r="UFV251" s="9"/>
      <c r="UFW251" s="4"/>
      <c r="UFX251" s="9"/>
      <c r="UFY251" s="4"/>
      <c r="UFZ251" s="9"/>
      <c r="UGA251" s="4"/>
      <c r="UGB251" s="9"/>
      <c r="UGC251" s="4"/>
      <c r="UGD251" s="9"/>
      <c r="UGE251" s="4"/>
      <c r="UGF251" s="9"/>
      <c r="UGG251" s="4"/>
      <c r="UGH251" s="9"/>
      <c r="UGI251" s="4"/>
      <c r="UGJ251" s="9"/>
      <c r="UGK251" s="4"/>
      <c r="UGL251" s="9"/>
      <c r="UGM251" s="4"/>
      <c r="UGN251" s="9"/>
      <c r="UGO251" s="4"/>
      <c r="UGP251" s="9"/>
      <c r="UGQ251" s="4"/>
      <c r="UGR251" s="9"/>
      <c r="UGS251" s="4"/>
      <c r="UGT251" s="9"/>
      <c r="UGU251" s="4"/>
      <c r="UGV251" s="9"/>
      <c r="UGW251" s="4"/>
      <c r="UGX251" s="9"/>
      <c r="UGY251" s="4"/>
      <c r="UGZ251" s="9"/>
      <c r="UHA251" s="4"/>
      <c r="UHB251" s="9"/>
      <c r="UHC251" s="4"/>
      <c r="UHD251" s="9"/>
      <c r="UHE251" s="4"/>
      <c r="UHF251" s="9"/>
      <c r="UHG251" s="4"/>
      <c r="UHH251" s="9"/>
      <c r="UHI251" s="4"/>
      <c r="UHJ251" s="9"/>
      <c r="UHK251" s="4"/>
      <c r="UHL251" s="9"/>
      <c r="UHM251" s="4"/>
      <c r="UHN251" s="9"/>
      <c r="UHO251" s="4"/>
      <c r="UHP251" s="9"/>
      <c r="UHQ251" s="4"/>
      <c r="UHR251" s="9"/>
      <c r="UHS251" s="4"/>
      <c r="UHT251" s="9"/>
      <c r="UHU251" s="4"/>
      <c r="UHV251" s="9"/>
      <c r="UHW251" s="4"/>
      <c r="UHX251" s="9"/>
      <c r="UHY251" s="4"/>
      <c r="UHZ251" s="9"/>
      <c r="UIA251" s="4"/>
      <c r="UIB251" s="9"/>
      <c r="UIC251" s="4"/>
      <c r="UID251" s="9"/>
      <c r="UIE251" s="4"/>
      <c r="UIF251" s="9"/>
      <c r="UIG251" s="4"/>
      <c r="UIH251" s="9"/>
      <c r="UII251" s="4"/>
      <c r="UIJ251" s="9"/>
      <c r="UIK251" s="4"/>
      <c r="UIL251" s="9"/>
      <c r="UIM251" s="4"/>
      <c r="UIN251" s="9"/>
      <c r="UIO251" s="4"/>
      <c r="UIP251" s="9"/>
      <c r="UIQ251" s="4"/>
      <c r="UIR251" s="9"/>
      <c r="UIS251" s="4"/>
      <c r="UIT251" s="9"/>
      <c r="UIU251" s="4"/>
      <c r="UIV251" s="9"/>
      <c r="UIW251" s="4"/>
      <c r="UIX251" s="9"/>
      <c r="UIY251" s="4"/>
      <c r="UIZ251" s="9"/>
      <c r="UJA251" s="4"/>
      <c r="UJB251" s="9"/>
      <c r="UJC251" s="4"/>
      <c r="UJD251" s="9"/>
      <c r="UJE251" s="4"/>
      <c r="UJF251" s="9"/>
      <c r="UJG251" s="4"/>
      <c r="UJH251" s="9"/>
      <c r="UJI251" s="4"/>
      <c r="UJJ251" s="9"/>
      <c r="UJK251" s="4"/>
      <c r="UJL251" s="9"/>
      <c r="UJM251" s="4"/>
      <c r="UJN251" s="9"/>
      <c r="UJO251" s="4"/>
      <c r="UJP251" s="9"/>
      <c r="UJQ251" s="4"/>
      <c r="UJR251" s="9"/>
      <c r="UJS251" s="4"/>
      <c r="UJT251" s="9"/>
      <c r="UJU251" s="4"/>
      <c r="UJV251" s="9"/>
      <c r="UJW251" s="4"/>
      <c r="UJX251" s="9"/>
      <c r="UJY251" s="4"/>
      <c r="UJZ251" s="9"/>
      <c r="UKA251" s="4"/>
      <c r="UKB251" s="9"/>
      <c r="UKC251" s="4"/>
      <c r="UKD251" s="9"/>
      <c r="UKE251" s="4"/>
      <c r="UKF251" s="9"/>
      <c r="UKG251" s="4"/>
      <c r="UKH251" s="9"/>
      <c r="UKI251" s="4"/>
      <c r="UKJ251" s="9"/>
      <c r="UKK251" s="4"/>
      <c r="UKL251" s="9"/>
      <c r="UKM251" s="4"/>
      <c r="UKN251" s="9"/>
      <c r="UKO251" s="4"/>
      <c r="UKP251" s="9"/>
      <c r="UKQ251" s="4"/>
      <c r="UKR251" s="9"/>
      <c r="UKS251" s="4"/>
      <c r="UKT251" s="9"/>
      <c r="UKU251" s="4"/>
      <c r="UKV251" s="9"/>
      <c r="UKW251" s="4"/>
      <c r="UKX251" s="9"/>
      <c r="UKY251" s="4"/>
      <c r="UKZ251" s="9"/>
      <c r="ULA251" s="4"/>
      <c r="ULB251" s="9"/>
      <c r="ULC251" s="4"/>
      <c r="ULD251" s="9"/>
      <c r="ULE251" s="4"/>
      <c r="ULF251" s="9"/>
      <c r="ULG251" s="4"/>
      <c r="ULH251" s="9"/>
      <c r="ULI251" s="4"/>
      <c r="ULJ251" s="9"/>
      <c r="ULK251" s="4"/>
      <c r="ULL251" s="9"/>
      <c r="ULM251" s="4"/>
      <c r="ULN251" s="9"/>
      <c r="ULO251" s="4"/>
      <c r="ULP251" s="9"/>
      <c r="ULQ251" s="4"/>
      <c r="ULR251" s="9"/>
      <c r="ULS251" s="4"/>
      <c r="ULT251" s="9"/>
      <c r="ULU251" s="4"/>
      <c r="ULV251" s="9"/>
      <c r="ULW251" s="4"/>
      <c r="ULX251" s="9"/>
      <c r="ULY251" s="4"/>
      <c r="ULZ251" s="9"/>
      <c r="UMA251" s="4"/>
      <c r="UMB251" s="9"/>
      <c r="UMC251" s="4"/>
      <c r="UMD251" s="9"/>
      <c r="UME251" s="4"/>
      <c r="UMF251" s="9"/>
      <c r="UMG251" s="4"/>
      <c r="UMH251" s="9"/>
      <c r="UMI251" s="4"/>
      <c r="UMJ251" s="9"/>
      <c r="UMK251" s="4"/>
      <c r="UML251" s="9"/>
      <c r="UMM251" s="4"/>
      <c r="UMN251" s="9"/>
      <c r="UMO251" s="4"/>
      <c r="UMP251" s="9"/>
      <c r="UMQ251" s="4"/>
      <c r="UMR251" s="9"/>
      <c r="UMS251" s="4"/>
      <c r="UMT251" s="9"/>
      <c r="UMU251" s="4"/>
      <c r="UMV251" s="9"/>
      <c r="UMW251" s="4"/>
      <c r="UMX251" s="9"/>
      <c r="UMY251" s="4"/>
      <c r="UMZ251" s="9"/>
      <c r="UNA251" s="4"/>
      <c r="UNB251" s="9"/>
      <c r="UNC251" s="4"/>
      <c r="UND251" s="9"/>
      <c r="UNE251" s="4"/>
      <c r="UNF251" s="9"/>
      <c r="UNG251" s="4"/>
      <c r="UNH251" s="9"/>
      <c r="UNI251" s="4"/>
      <c r="UNJ251" s="9"/>
      <c r="UNK251" s="4"/>
      <c r="UNL251" s="9"/>
      <c r="UNM251" s="4"/>
      <c r="UNN251" s="9"/>
      <c r="UNO251" s="4"/>
      <c r="UNP251" s="9"/>
      <c r="UNQ251" s="4"/>
      <c r="UNR251" s="9"/>
      <c r="UNS251" s="4"/>
      <c r="UNT251" s="9"/>
      <c r="UNU251" s="4"/>
      <c r="UNV251" s="9"/>
      <c r="UNW251" s="4"/>
      <c r="UNX251" s="9"/>
      <c r="UNY251" s="4"/>
      <c r="UNZ251" s="9"/>
      <c r="UOA251" s="4"/>
      <c r="UOB251" s="9"/>
      <c r="UOC251" s="4"/>
      <c r="UOD251" s="9"/>
      <c r="UOE251" s="4"/>
      <c r="UOF251" s="9"/>
      <c r="UOG251" s="4"/>
      <c r="UOH251" s="9"/>
      <c r="UOI251" s="4"/>
      <c r="UOJ251" s="9"/>
      <c r="UOK251" s="4"/>
      <c r="UOL251" s="9"/>
      <c r="UOM251" s="4"/>
      <c r="UON251" s="9"/>
      <c r="UOO251" s="4"/>
      <c r="UOP251" s="9"/>
      <c r="UOQ251" s="4"/>
      <c r="UOR251" s="9"/>
      <c r="UOS251" s="4"/>
      <c r="UOT251" s="9"/>
      <c r="UOU251" s="4"/>
      <c r="UOV251" s="9"/>
      <c r="UOW251" s="4"/>
      <c r="UOX251" s="9"/>
      <c r="UOY251" s="4"/>
      <c r="UOZ251" s="9"/>
      <c r="UPA251" s="4"/>
      <c r="UPB251" s="9"/>
      <c r="UPC251" s="4"/>
      <c r="UPD251" s="9"/>
      <c r="UPE251" s="4"/>
      <c r="UPF251" s="9"/>
      <c r="UPG251" s="4"/>
      <c r="UPH251" s="9"/>
      <c r="UPI251" s="4"/>
      <c r="UPJ251" s="9"/>
      <c r="UPK251" s="4"/>
      <c r="UPL251" s="9"/>
      <c r="UPM251" s="4"/>
      <c r="UPN251" s="9"/>
      <c r="UPO251" s="4"/>
      <c r="UPP251" s="9"/>
      <c r="UPQ251" s="4"/>
      <c r="UPR251" s="9"/>
      <c r="UPS251" s="4"/>
      <c r="UPT251" s="9"/>
      <c r="UPU251" s="4"/>
      <c r="UPV251" s="9"/>
      <c r="UPW251" s="4"/>
      <c r="UPX251" s="9"/>
      <c r="UPY251" s="4"/>
      <c r="UPZ251" s="9"/>
      <c r="UQA251" s="4"/>
      <c r="UQB251" s="9"/>
      <c r="UQC251" s="4"/>
      <c r="UQD251" s="9"/>
      <c r="UQE251" s="4"/>
      <c r="UQF251" s="9"/>
      <c r="UQG251" s="4"/>
      <c r="UQH251" s="9"/>
      <c r="UQI251" s="4"/>
      <c r="UQJ251" s="9"/>
      <c r="UQK251" s="4"/>
      <c r="UQL251" s="9"/>
      <c r="UQM251" s="4"/>
      <c r="UQN251" s="9"/>
      <c r="UQO251" s="4"/>
      <c r="UQP251" s="9"/>
      <c r="UQQ251" s="4"/>
      <c r="UQR251" s="9"/>
      <c r="UQS251" s="4"/>
      <c r="UQT251" s="9"/>
      <c r="UQU251" s="4"/>
      <c r="UQV251" s="9"/>
      <c r="UQW251" s="4"/>
      <c r="UQX251" s="9"/>
      <c r="UQY251" s="4"/>
      <c r="UQZ251" s="9"/>
      <c r="URA251" s="4"/>
      <c r="URB251" s="9"/>
      <c r="URC251" s="4"/>
      <c r="URD251" s="9"/>
      <c r="URE251" s="4"/>
      <c r="URF251" s="9"/>
      <c r="URG251" s="4"/>
      <c r="URH251" s="9"/>
      <c r="URI251" s="4"/>
      <c r="URJ251" s="9"/>
      <c r="URK251" s="4"/>
      <c r="URL251" s="9"/>
      <c r="URM251" s="4"/>
      <c r="URN251" s="9"/>
      <c r="URO251" s="4"/>
      <c r="URP251" s="9"/>
      <c r="URQ251" s="4"/>
      <c r="URR251" s="9"/>
      <c r="URS251" s="4"/>
      <c r="URT251" s="9"/>
      <c r="URU251" s="4"/>
      <c r="URV251" s="9"/>
      <c r="URW251" s="4"/>
      <c r="URX251" s="9"/>
      <c r="URY251" s="4"/>
      <c r="URZ251" s="9"/>
      <c r="USA251" s="4"/>
      <c r="USB251" s="9"/>
      <c r="USC251" s="4"/>
      <c r="USD251" s="9"/>
      <c r="USE251" s="4"/>
      <c r="USF251" s="9"/>
      <c r="USG251" s="4"/>
      <c r="USH251" s="9"/>
      <c r="USI251" s="4"/>
      <c r="USJ251" s="9"/>
      <c r="USK251" s="4"/>
      <c r="USL251" s="9"/>
      <c r="USM251" s="4"/>
      <c r="USN251" s="9"/>
      <c r="USO251" s="4"/>
      <c r="USP251" s="9"/>
      <c r="USQ251" s="4"/>
      <c r="USR251" s="9"/>
      <c r="USS251" s="4"/>
      <c r="UST251" s="9"/>
      <c r="USU251" s="4"/>
      <c r="USV251" s="9"/>
      <c r="USW251" s="4"/>
      <c r="USX251" s="9"/>
      <c r="USY251" s="4"/>
      <c r="USZ251" s="9"/>
      <c r="UTA251" s="4"/>
      <c r="UTB251" s="9"/>
      <c r="UTC251" s="4"/>
      <c r="UTD251" s="9"/>
      <c r="UTE251" s="4"/>
      <c r="UTF251" s="9"/>
      <c r="UTG251" s="4"/>
      <c r="UTH251" s="9"/>
      <c r="UTI251" s="4"/>
      <c r="UTJ251" s="9"/>
      <c r="UTK251" s="4"/>
      <c r="UTL251" s="9"/>
      <c r="UTM251" s="4"/>
      <c r="UTN251" s="9"/>
      <c r="UTO251" s="4"/>
      <c r="UTP251" s="9"/>
      <c r="UTQ251" s="4"/>
      <c r="UTR251" s="9"/>
      <c r="UTS251" s="4"/>
      <c r="UTT251" s="9"/>
      <c r="UTU251" s="4"/>
      <c r="UTV251" s="9"/>
      <c r="UTW251" s="4"/>
      <c r="UTX251" s="9"/>
      <c r="UTY251" s="4"/>
      <c r="UTZ251" s="9"/>
      <c r="UUA251" s="4"/>
      <c r="UUB251" s="9"/>
      <c r="UUC251" s="4"/>
      <c r="UUD251" s="9"/>
      <c r="UUE251" s="4"/>
      <c r="UUF251" s="9"/>
      <c r="UUG251" s="4"/>
      <c r="UUH251" s="9"/>
      <c r="UUI251" s="4"/>
      <c r="UUJ251" s="9"/>
      <c r="UUK251" s="4"/>
      <c r="UUL251" s="9"/>
      <c r="UUM251" s="4"/>
      <c r="UUN251" s="9"/>
      <c r="UUO251" s="4"/>
      <c r="UUP251" s="9"/>
      <c r="UUQ251" s="4"/>
      <c r="UUR251" s="9"/>
      <c r="UUS251" s="4"/>
      <c r="UUT251" s="9"/>
      <c r="UUU251" s="4"/>
      <c r="UUV251" s="9"/>
      <c r="UUW251" s="4"/>
      <c r="UUX251" s="9"/>
      <c r="UUY251" s="4"/>
      <c r="UUZ251" s="9"/>
      <c r="UVA251" s="4"/>
      <c r="UVB251" s="9"/>
      <c r="UVC251" s="4"/>
      <c r="UVD251" s="9"/>
      <c r="UVE251" s="4"/>
      <c r="UVF251" s="9"/>
      <c r="UVG251" s="4"/>
      <c r="UVH251" s="9"/>
      <c r="UVI251" s="4"/>
      <c r="UVJ251" s="9"/>
      <c r="UVK251" s="4"/>
      <c r="UVL251" s="9"/>
      <c r="UVM251" s="4"/>
      <c r="UVN251" s="9"/>
      <c r="UVO251" s="4"/>
      <c r="UVP251" s="9"/>
      <c r="UVQ251" s="4"/>
      <c r="UVR251" s="9"/>
      <c r="UVS251" s="4"/>
      <c r="UVT251" s="9"/>
      <c r="UVU251" s="4"/>
      <c r="UVV251" s="9"/>
      <c r="UVW251" s="4"/>
      <c r="UVX251" s="9"/>
      <c r="UVY251" s="4"/>
      <c r="UVZ251" s="9"/>
      <c r="UWA251" s="4"/>
      <c r="UWB251" s="9"/>
      <c r="UWC251" s="4"/>
      <c r="UWD251" s="9"/>
      <c r="UWE251" s="4"/>
      <c r="UWF251" s="9"/>
      <c r="UWG251" s="4"/>
      <c r="UWH251" s="9"/>
      <c r="UWI251" s="4"/>
      <c r="UWJ251" s="9"/>
      <c r="UWK251" s="4"/>
      <c r="UWL251" s="9"/>
      <c r="UWM251" s="4"/>
      <c r="UWN251" s="9"/>
      <c r="UWO251" s="4"/>
      <c r="UWP251" s="9"/>
      <c r="UWQ251" s="4"/>
      <c r="UWR251" s="9"/>
      <c r="UWS251" s="4"/>
      <c r="UWT251" s="9"/>
      <c r="UWU251" s="4"/>
      <c r="UWV251" s="9"/>
      <c r="UWW251" s="4"/>
      <c r="UWX251" s="9"/>
      <c r="UWY251" s="4"/>
      <c r="UWZ251" s="9"/>
      <c r="UXA251" s="4"/>
      <c r="UXB251" s="9"/>
      <c r="UXC251" s="4"/>
      <c r="UXD251" s="9"/>
      <c r="UXE251" s="4"/>
      <c r="UXF251" s="9"/>
      <c r="UXG251" s="4"/>
      <c r="UXH251" s="9"/>
      <c r="UXI251" s="4"/>
      <c r="UXJ251" s="9"/>
      <c r="UXK251" s="4"/>
      <c r="UXL251" s="9"/>
      <c r="UXM251" s="4"/>
      <c r="UXN251" s="9"/>
      <c r="UXO251" s="4"/>
      <c r="UXP251" s="9"/>
      <c r="UXQ251" s="4"/>
      <c r="UXR251" s="9"/>
      <c r="UXS251" s="4"/>
      <c r="UXT251" s="9"/>
      <c r="UXU251" s="4"/>
      <c r="UXV251" s="9"/>
      <c r="UXW251" s="4"/>
      <c r="UXX251" s="9"/>
      <c r="UXY251" s="4"/>
      <c r="UXZ251" s="9"/>
      <c r="UYA251" s="4"/>
      <c r="UYB251" s="9"/>
      <c r="UYC251" s="4"/>
      <c r="UYD251" s="9"/>
      <c r="UYE251" s="4"/>
      <c r="UYF251" s="9"/>
      <c r="UYG251" s="4"/>
      <c r="UYH251" s="9"/>
      <c r="UYI251" s="4"/>
      <c r="UYJ251" s="9"/>
      <c r="UYK251" s="4"/>
      <c r="UYL251" s="9"/>
      <c r="UYM251" s="4"/>
      <c r="UYN251" s="9"/>
      <c r="UYO251" s="4"/>
      <c r="UYP251" s="9"/>
      <c r="UYQ251" s="4"/>
      <c r="UYR251" s="9"/>
      <c r="UYS251" s="4"/>
      <c r="UYT251" s="9"/>
      <c r="UYU251" s="4"/>
      <c r="UYV251" s="9"/>
      <c r="UYW251" s="4"/>
      <c r="UYX251" s="9"/>
      <c r="UYY251" s="4"/>
      <c r="UYZ251" s="9"/>
      <c r="UZA251" s="4"/>
      <c r="UZB251" s="9"/>
      <c r="UZC251" s="4"/>
      <c r="UZD251" s="9"/>
      <c r="UZE251" s="4"/>
      <c r="UZF251" s="9"/>
      <c r="UZG251" s="4"/>
      <c r="UZH251" s="9"/>
      <c r="UZI251" s="4"/>
      <c r="UZJ251" s="9"/>
      <c r="UZK251" s="4"/>
      <c r="UZL251" s="9"/>
      <c r="UZM251" s="4"/>
      <c r="UZN251" s="9"/>
      <c r="UZO251" s="4"/>
      <c r="UZP251" s="9"/>
      <c r="UZQ251" s="4"/>
      <c r="UZR251" s="9"/>
      <c r="UZS251" s="4"/>
      <c r="UZT251" s="9"/>
      <c r="UZU251" s="4"/>
      <c r="UZV251" s="9"/>
      <c r="UZW251" s="4"/>
      <c r="UZX251" s="9"/>
      <c r="UZY251" s="4"/>
      <c r="UZZ251" s="9"/>
      <c r="VAA251" s="4"/>
      <c r="VAB251" s="9"/>
      <c r="VAC251" s="4"/>
      <c r="VAD251" s="9"/>
      <c r="VAE251" s="4"/>
      <c r="VAF251" s="9"/>
      <c r="VAG251" s="4"/>
      <c r="VAH251" s="9"/>
      <c r="VAI251" s="4"/>
      <c r="VAJ251" s="9"/>
      <c r="VAK251" s="4"/>
      <c r="VAL251" s="9"/>
      <c r="VAM251" s="4"/>
      <c r="VAN251" s="9"/>
      <c r="VAO251" s="4"/>
      <c r="VAP251" s="9"/>
      <c r="VAQ251" s="4"/>
      <c r="VAR251" s="9"/>
      <c r="VAS251" s="4"/>
      <c r="VAT251" s="9"/>
      <c r="VAU251" s="4"/>
      <c r="VAV251" s="9"/>
      <c r="VAW251" s="4"/>
      <c r="VAX251" s="9"/>
      <c r="VAY251" s="4"/>
      <c r="VAZ251" s="9"/>
      <c r="VBA251" s="4"/>
      <c r="VBB251" s="9"/>
      <c r="VBC251" s="4"/>
      <c r="VBD251" s="9"/>
      <c r="VBE251" s="4"/>
      <c r="VBF251" s="9"/>
      <c r="VBG251" s="4"/>
      <c r="VBH251" s="9"/>
      <c r="VBI251" s="4"/>
      <c r="VBJ251" s="9"/>
      <c r="VBK251" s="4"/>
      <c r="VBL251" s="9"/>
      <c r="VBM251" s="4"/>
      <c r="VBN251" s="9"/>
      <c r="VBO251" s="4"/>
      <c r="VBP251" s="9"/>
      <c r="VBQ251" s="4"/>
      <c r="VBR251" s="9"/>
      <c r="VBS251" s="4"/>
      <c r="VBT251" s="9"/>
      <c r="VBU251" s="4"/>
      <c r="VBV251" s="9"/>
      <c r="VBW251" s="4"/>
      <c r="VBX251" s="9"/>
      <c r="VBY251" s="4"/>
      <c r="VBZ251" s="9"/>
      <c r="VCA251" s="4"/>
      <c r="VCB251" s="9"/>
      <c r="VCC251" s="4"/>
      <c r="VCD251" s="9"/>
      <c r="VCE251" s="4"/>
      <c r="VCF251" s="9"/>
      <c r="VCG251" s="4"/>
      <c r="VCH251" s="9"/>
      <c r="VCI251" s="4"/>
      <c r="VCJ251" s="9"/>
      <c r="VCK251" s="4"/>
      <c r="VCL251" s="9"/>
      <c r="VCM251" s="4"/>
      <c r="VCN251" s="9"/>
      <c r="VCO251" s="4"/>
      <c r="VCP251" s="9"/>
      <c r="VCQ251" s="4"/>
      <c r="VCR251" s="9"/>
      <c r="VCS251" s="4"/>
      <c r="VCT251" s="9"/>
      <c r="VCU251" s="4"/>
      <c r="VCV251" s="9"/>
      <c r="VCW251" s="4"/>
      <c r="VCX251" s="9"/>
      <c r="VCY251" s="4"/>
      <c r="VCZ251" s="9"/>
      <c r="VDA251" s="4"/>
      <c r="VDB251" s="9"/>
      <c r="VDC251" s="4"/>
      <c r="VDD251" s="9"/>
      <c r="VDE251" s="4"/>
      <c r="VDF251" s="9"/>
      <c r="VDG251" s="4"/>
      <c r="VDH251" s="9"/>
      <c r="VDI251" s="4"/>
      <c r="VDJ251" s="9"/>
      <c r="VDK251" s="4"/>
      <c r="VDL251" s="9"/>
      <c r="VDM251" s="4"/>
      <c r="VDN251" s="9"/>
      <c r="VDO251" s="4"/>
      <c r="VDP251" s="9"/>
      <c r="VDQ251" s="4"/>
      <c r="VDR251" s="9"/>
      <c r="VDS251" s="4"/>
      <c r="VDT251" s="9"/>
      <c r="VDU251" s="4"/>
      <c r="VDV251" s="9"/>
      <c r="VDW251" s="4"/>
      <c r="VDX251" s="9"/>
      <c r="VDY251" s="4"/>
      <c r="VDZ251" s="9"/>
      <c r="VEA251" s="4"/>
      <c r="VEB251" s="9"/>
      <c r="VEC251" s="4"/>
      <c r="VED251" s="9"/>
      <c r="VEE251" s="4"/>
      <c r="VEF251" s="9"/>
      <c r="VEG251" s="4"/>
      <c r="VEH251" s="9"/>
      <c r="VEI251" s="4"/>
      <c r="VEJ251" s="9"/>
      <c r="VEK251" s="4"/>
      <c r="VEL251" s="9"/>
      <c r="VEM251" s="4"/>
      <c r="VEN251" s="9"/>
      <c r="VEO251" s="4"/>
      <c r="VEP251" s="9"/>
      <c r="VEQ251" s="4"/>
      <c r="VER251" s="9"/>
      <c r="VES251" s="4"/>
      <c r="VET251" s="9"/>
      <c r="VEU251" s="4"/>
      <c r="VEV251" s="9"/>
      <c r="VEW251" s="4"/>
      <c r="VEX251" s="9"/>
      <c r="VEY251" s="4"/>
      <c r="VEZ251" s="9"/>
      <c r="VFA251" s="4"/>
      <c r="VFB251" s="9"/>
      <c r="VFC251" s="4"/>
      <c r="VFD251" s="9"/>
      <c r="VFE251" s="4"/>
      <c r="VFF251" s="9"/>
      <c r="VFG251" s="4"/>
      <c r="VFH251" s="9"/>
      <c r="VFI251" s="4"/>
      <c r="VFJ251" s="9"/>
      <c r="VFK251" s="4"/>
      <c r="VFL251" s="9"/>
      <c r="VFM251" s="4"/>
      <c r="VFN251" s="9"/>
      <c r="VFO251" s="4"/>
      <c r="VFP251" s="9"/>
      <c r="VFQ251" s="4"/>
      <c r="VFR251" s="9"/>
      <c r="VFS251" s="4"/>
      <c r="VFT251" s="9"/>
      <c r="VFU251" s="4"/>
      <c r="VFV251" s="9"/>
      <c r="VFW251" s="4"/>
      <c r="VFX251" s="9"/>
      <c r="VFY251" s="4"/>
      <c r="VFZ251" s="9"/>
      <c r="VGA251" s="4"/>
      <c r="VGB251" s="9"/>
      <c r="VGC251" s="4"/>
      <c r="VGD251" s="9"/>
      <c r="VGE251" s="4"/>
      <c r="VGF251" s="9"/>
      <c r="VGG251" s="4"/>
      <c r="VGH251" s="9"/>
      <c r="VGI251" s="4"/>
      <c r="VGJ251" s="9"/>
      <c r="VGK251" s="4"/>
      <c r="VGL251" s="9"/>
      <c r="VGM251" s="4"/>
      <c r="VGN251" s="9"/>
      <c r="VGO251" s="4"/>
      <c r="VGP251" s="9"/>
      <c r="VGQ251" s="4"/>
      <c r="VGR251" s="9"/>
      <c r="VGS251" s="4"/>
      <c r="VGT251" s="9"/>
      <c r="VGU251" s="4"/>
      <c r="VGV251" s="9"/>
      <c r="VGW251" s="4"/>
      <c r="VGX251" s="9"/>
      <c r="VGY251" s="4"/>
      <c r="VGZ251" s="9"/>
      <c r="VHA251" s="4"/>
      <c r="VHB251" s="9"/>
      <c r="VHC251" s="4"/>
      <c r="VHD251" s="9"/>
      <c r="VHE251" s="4"/>
      <c r="VHF251" s="9"/>
      <c r="VHG251" s="4"/>
      <c r="VHH251" s="9"/>
      <c r="VHI251" s="4"/>
      <c r="VHJ251" s="9"/>
      <c r="VHK251" s="4"/>
      <c r="VHL251" s="9"/>
      <c r="VHM251" s="4"/>
      <c r="VHN251" s="9"/>
      <c r="VHO251" s="4"/>
      <c r="VHP251" s="9"/>
      <c r="VHQ251" s="4"/>
      <c r="VHR251" s="9"/>
      <c r="VHS251" s="4"/>
      <c r="VHT251" s="9"/>
      <c r="VHU251" s="4"/>
      <c r="VHV251" s="9"/>
      <c r="VHW251" s="4"/>
      <c r="VHX251" s="9"/>
      <c r="VHY251" s="4"/>
      <c r="VHZ251" s="9"/>
      <c r="VIA251" s="4"/>
      <c r="VIB251" s="9"/>
      <c r="VIC251" s="4"/>
      <c r="VID251" s="9"/>
      <c r="VIE251" s="4"/>
      <c r="VIF251" s="9"/>
      <c r="VIG251" s="4"/>
      <c r="VIH251" s="9"/>
      <c r="VII251" s="4"/>
      <c r="VIJ251" s="9"/>
      <c r="VIK251" s="4"/>
      <c r="VIL251" s="9"/>
      <c r="VIM251" s="4"/>
      <c r="VIN251" s="9"/>
      <c r="VIO251" s="4"/>
      <c r="VIP251" s="9"/>
      <c r="VIQ251" s="4"/>
      <c r="VIR251" s="9"/>
      <c r="VIS251" s="4"/>
      <c r="VIT251" s="9"/>
      <c r="VIU251" s="4"/>
      <c r="VIV251" s="9"/>
      <c r="VIW251" s="4"/>
      <c r="VIX251" s="9"/>
      <c r="VIY251" s="4"/>
      <c r="VIZ251" s="9"/>
      <c r="VJA251" s="4"/>
      <c r="VJB251" s="9"/>
      <c r="VJC251" s="4"/>
      <c r="VJD251" s="9"/>
      <c r="VJE251" s="4"/>
      <c r="VJF251" s="9"/>
      <c r="VJG251" s="4"/>
      <c r="VJH251" s="9"/>
      <c r="VJI251" s="4"/>
      <c r="VJJ251" s="9"/>
      <c r="VJK251" s="4"/>
      <c r="VJL251" s="9"/>
      <c r="VJM251" s="4"/>
      <c r="VJN251" s="9"/>
      <c r="VJO251" s="4"/>
      <c r="VJP251" s="9"/>
      <c r="VJQ251" s="4"/>
      <c r="VJR251" s="9"/>
      <c r="VJS251" s="4"/>
      <c r="VJT251" s="9"/>
      <c r="VJU251" s="4"/>
      <c r="VJV251" s="9"/>
      <c r="VJW251" s="4"/>
      <c r="VJX251" s="9"/>
      <c r="VJY251" s="4"/>
      <c r="VJZ251" s="9"/>
      <c r="VKA251" s="4"/>
      <c r="VKB251" s="9"/>
      <c r="VKC251" s="4"/>
      <c r="VKD251" s="9"/>
      <c r="VKE251" s="4"/>
      <c r="VKF251" s="9"/>
      <c r="VKG251" s="4"/>
      <c r="VKH251" s="9"/>
      <c r="VKI251" s="4"/>
      <c r="VKJ251" s="9"/>
      <c r="VKK251" s="4"/>
      <c r="VKL251" s="9"/>
      <c r="VKM251" s="4"/>
      <c r="VKN251" s="9"/>
      <c r="VKO251" s="4"/>
      <c r="VKP251" s="9"/>
      <c r="VKQ251" s="4"/>
      <c r="VKR251" s="9"/>
      <c r="VKS251" s="4"/>
      <c r="VKT251" s="9"/>
      <c r="VKU251" s="4"/>
      <c r="VKV251" s="9"/>
      <c r="VKW251" s="4"/>
      <c r="VKX251" s="9"/>
      <c r="VKY251" s="4"/>
      <c r="VKZ251" s="9"/>
      <c r="VLA251" s="4"/>
      <c r="VLB251" s="9"/>
      <c r="VLC251" s="4"/>
      <c r="VLD251" s="9"/>
      <c r="VLE251" s="4"/>
      <c r="VLF251" s="9"/>
      <c r="VLG251" s="4"/>
      <c r="VLH251" s="9"/>
      <c r="VLI251" s="4"/>
      <c r="VLJ251" s="9"/>
      <c r="VLK251" s="4"/>
      <c r="VLL251" s="9"/>
      <c r="VLM251" s="4"/>
      <c r="VLN251" s="9"/>
      <c r="VLO251" s="4"/>
      <c r="VLP251" s="9"/>
      <c r="VLQ251" s="4"/>
      <c r="VLR251" s="9"/>
      <c r="VLS251" s="4"/>
      <c r="VLT251" s="9"/>
      <c r="VLU251" s="4"/>
      <c r="VLV251" s="9"/>
      <c r="VLW251" s="4"/>
      <c r="VLX251" s="9"/>
      <c r="VLY251" s="4"/>
      <c r="VLZ251" s="9"/>
      <c r="VMA251" s="4"/>
      <c r="VMB251" s="9"/>
      <c r="VMC251" s="4"/>
      <c r="VMD251" s="9"/>
      <c r="VME251" s="4"/>
      <c r="VMF251" s="9"/>
      <c r="VMG251" s="4"/>
      <c r="VMH251" s="9"/>
      <c r="VMI251" s="4"/>
      <c r="VMJ251" s="9"/>
      <c r="VMK251" s="4"/>
      <c r="VML251" s="9"/>
      <c r="VMM251" s="4"/>
      <c r="VMN251" s="9"/>
      <c r="VMO251" s="4"/>
      <c r="VMP251" s="9"/>
      <c r="VMQ251" s="4"/>
      <c r="VMR251" s="9"/>
      <c r="VMS251" s="4"/>
      <c r="VMT251" s="9"/>
      <c r="VMU251" s="4"/>
      <c r="VMV251" s="9"/>
      <c r="VMW251" s="4"/>
      <c r="VMX251" s="9"/>
      <c r="VMY251" s="4"/>
      <c r="VMZ251" s="9"/>
      <c r="VNA251" s="4"/>
      <c r="VNB251" s="9"/>
      <c r="VNC251" s="4"/>
      <c r="VND251" s="9"/>
      <c r="VNE251" s="4"/>
      <c r="VNF251" s="9"/>
      <c r="VNG251" s="4"/>
      <c r="VNH251" s="9"/>
      <c r="VNI251" s="4"/>
      <c r="VNJ251" s="9"/>
      <c r="VNK251" s="4"/>
      <c r="VNL251" s="9"/>
      <c r="VNM251" s="4"/>
      <c r="VNN251" s="9"/>
      <c r="VNO251" s="4"/>
      <c r="VNP251" s="9"/>
      <c r="VNQ251" s="4"/>
      <c r="VNR251" s="9"/>
      <c r="VNS251" s="4"/>
      <c r="VNT251" s="9"/>
      <c r="VNU251" s="4"/>
      <c r="VNV251" s="9"/>
      <c r="VNW251" s="4"/>
      <c r="VNX251" s="9"/>
      <c r="VNY251" s="4"/>
      <c r="VNZ251" s="9"/>
      <c r="VOA251" s="4"/>
      <c r="VOB251" s="9"/>
      <c r="VOC251" s="4"/>
      <c r="VOD251" s="9"/>
      <c r="VOE251" s="4"/>
      <c r="VOF251" s="9"/>
      <c r="VOG251" s="4"/>
      <c r="VOH251" s="9"/>
      <c r="VOI251" s="4"/>
      <c r="VOJ251" s="9"/>
      <c r="VOK251" s="4"/>
      <c r="VOL251" s="9"/>
      <c r="VOM251" s="4"/>
      <c r="VON251" s="9"/>
      <c r="VOO251" s="4"/>
      <c r="VOP251" s="9"/>
      <c r="VOQ251" s="4"/>
      <c r="VOR251" s="9"/>
      <c r="VOS251" s="4"/>
      <c r="VOT251" s="9"/>
      <c r="VOU251" s="4"/>
      <c r="VOV251" s="9"/>
      <c r="VOW251" s="4"/>
      <c r="VOX251" s="9"/>
      <c r="VOY251" s="4"/>
      <c r="VOZ251" s="9"/>
      <c r="VPA251" s="4"/>
      <c r="VPB251" s="9"/>
      <c r="VPC251" s="4"/>
      <c r="VPD251" s="9"/>
      <c r="VPE251" s="4"/>
      <c r="VPF251" s="9"/>
      <c r="VPG251" s="4"/>
      <c r="VPH251" s="9"/>
      <c r="VPI251" s="4"/>
      <c r="VPJ251" s="9"/>
      <c r="VPK251" s="4"/>
      <c r="VPL251" s="9"/>
      <c r="VPM251" s="4"/>
      <c r="VPN251" s="9"/>
      <c r="VPO251" s="4"/>
      <c r="VPP251" s="9"/>
      <c r="VPQ251" s="4"/>
      <c r="VPR251" s="9"/>
      <c r="VPS251" s="4"/>
      <c r="VPT251" s="9"/>
      <c r="VPU251" s="4"/>
      <c r="VPV251" s="9"/>
      <c r="VPW251" s="4"/>
      <c r="VPX251" s="9"/>
      <c r="VPY251" s="4"/>
      <c r="VPZ251" s="9"/>
      <c r="VQA251" s="4"/>
      <c r="VQB251" s="9"/>
      <c r="VQC251" s="4"/>
      <c r="VQD251" s="9"/>
      <c r="VQE251" s="4"/>
      <c r="VQF251" s="9"/>
      <c r="VQG251" s="4"/>
      <c r="VQH251" s="9"/>
      <c r="VQI251" s="4"/>
      <c r="VQJ251" s="9"/>
      <c r="VQK251" s="4"/>
      <c r="VQL251" s="9"/>
      <c r="VQM251" s="4"/>
      <c r="VQN251" s="9"/>
      <c r="VQO251" s="4"/>
      <c r="VQP251" s="9"/>
      <c r="VQQ251" s="4"/>
      <c r="VQR251" s="9"/>
      <c r="VQS251" s="4"/>
      <c r="VQT251" s="9"/>
      <c r="VQU251" s="4"/>
      <c r="VQV251" s="9"/>
      <c r="VQW251" s="4"/>
      <c r="VQX251" s="9"/>
      <c r="VQY251" s="4"/>
      <c r="VQZ251" s="9"/>
      <c r="VRA251" s="4"/>
      <c r="VRB251" s="9"/>
      <c r="VRC251" s="4"/>
      <c r="VRD251" s="9"/>
      <c r="VRE251" s="4"/>
      <c r="VRF251" s="9"/>
      <c r="VRG251" s="4"/>
      <c r="VRH251" s="9"/>
      <c r="VRI251" s="4"/>
      <c r="VRJ251" s="9"/>
      <c r="VRK251" s="4"/>
      <c r="VRL251" s="9"/>
      <c r="VRM251" s="4"/>
      <c r="VRN251" s="9"/>
      <c r="VRO251" s="4"/>
      <c r="VRP251" s="9"/>
      <c r="VRQ251" s="4"/>
      <c r="VRR251" s="9"/>
      <c r="VRS251" s="4"/>
      <c r="VRT251" s="9"/>
      <c r="VRU251" s="4"/>
      <c r="VRV251" s="9"/>
      <c r="VRW251" s="4"/>
      <c r="VRX251" s="9"/>
      <c r="VRY251" s="4"/>
      <c r="VRZ251" s="9"/>
      <c r="VSA251" s="4"/>
      <c r="VSB251" s="9"/>
      <c r="VSC251" s="4"/>
      <c r="VSD251" s="9"/>
      <c r="VSE251" s="4"/>
      <c r="VSF251" s="9"/>
      <c r="VSG251" s="4"/>
      <c r="VSH251" s="9"/>
      <c r="VSI251" s="4"/>
      <c r="VSJ251" s="9"/>
      <c r="VSK251" s="4"/>
      <c r="VSL251" s="9"/>
      <c r="VSM251" s="4"/>
      <c r="VSN251" s="9"/>
      <c r="VSO251" s="4"/>
      <c r="VSP251" s="9"/>
      <c r="VSQ251" s="4"/>
      <c r="VSR251" s="9"/>
      <c r="VSS251" s="4"/>
      <c r="VST251" s="9"/>
      <c r="VSU251" s="4"/>
      <c r="VSV251" s="9"/>
      <c r="VSW251" s="4"/>
      <c r="VSX251" s="9"/>
      <c r="VSY251" s="4"/>
      <c r="VSZ251" s="9"/>
      <c r="VTA251" s="4"/>
      <c r="VTB251" s="9"/>
      <c r="VTC251" s="4"/>
      <c r="VTD251" s="9"/>
      <c r="VTE251" s="4"/>
      <c r="VTF251" s="9"/>
      <c r="VTG251" s="4"/>
      <c r="VTH251" s="9"/>
      <c r="VTI251" s="4"/>
      <c r="VTJ251" s="9"/>
      <c r="VTK251" s="4"/>
      <c r="VTL251" s="9"/>
      <c r="VTM251" s="4"/>
      <c r="VTN251" s="9"/>
      <c r="VTO251" s="4"/>
      <c r="VTP251" s="9"/>
      <c r="VTQ251" s="4"/>
      <c r="VTR251" s="9"/>
      <c r="VTS251" s="4"/>
      <c r="VTT251" s="9"/>
      <c r="VTU251" s="4"/>
      <c r="VTV251" s="9"/>
      <c r="VTW251" s="4"/>
      <c r="VTX251" s="9"/>
      <c r="VTY251" s="4"/>
      <c r="VTZ251" s="9"/>
      <c r="VUA251" s="4"/>
      <c r="VUB251" s="9"/>
      <c r="VUC251" s="4"/>
      <c r="VUD251" s="9"/>
      <c r="VUE251" s="4"/>
      <c r="VUF251" s="9"/>
      <c r="VUG251" s="4"/>
      <c r="VUH251" s="9"/>
      <c r="VUI251" s="4"/>
      <c r="VUJ251" s="9"/>
      <c r="VUK251" s="4"/>
      <c r="VUL251" s="9"/>
      <c r="VUM251" s="4"/>
      <c r="VUN251" s="9"/>
      <c r="VUO251" s="4"/>
      <c r="VUP251" s="9"/>
      <c r="VUQ251" s="4"/>
      <c r="VUR251" s="9"/>
      <c r="VUS251" s="4"/>
      <c r="VUT251" s="9"/>
      <c r="VUU251" s="4"/>
      <c r="VUV251" s="9"/>
      <c r="VUW251" s="4"/>
      <c r="VUX251" s="9"/>
      <c r="VUY251" s="4"/>
      <c r="VUZ251" s="9"/>
      <c r="VVA251" s="4"/>
      <c r="VVB251" s="9"/>
      <c r="VVC251" s="4"/>
      <c r="VVD251" s="9"/>
      <c r="VVE251" s="4"/>
      <c r="VVF251" s="9"/>
      <c r="VVG251" s="4"/>
      <c r="VVH251" s="9"/>
      <c r="VVI251" s="4"/>
      <c r="VVJ251" s="9"/>
      <c r="VVK251" s="4"/>
      <c r="VVL251" s="9"/>
      <c r="VVM251" s="4"/>
      <c r="VVN251" s="9"/>
      <c r="VVO251" s="4"/>
      <c r="VVP251" s="9"/>
      <c r="VVQ251" s="4"/>
      <c r="VVR251" s="9"/>
      <c r="VVS251" s="4"/>
      <c r="VVT251" s="9"/>
      <c r="VVU251" s="4"/>
      <c r="VVV251" s="9"/>
      <c r="VVW251" s="4"/>
      <c r="VVX251" s="9"/>
      <c r="VVY251" s="4"/>
      <c r="VVZ251" s="9"/>
      <c r="VWA251" s="4"/>
      <c r="VWB251" s="9"/>
      <c r="VWC251" s="4"/>
      <c r="VWD251" s="9"/>
      <c r="VWE251" s="4"/>
      <c r="VWF251" s="9"/>
      <c r="VWG251" s="4"/>
      <c r="VWH251" s="9"/>
      <c r="VWI251" s="4"/>
      <c r="VWJ251" s="9"/>
      <c r="VWK251" s="4"/>
      <c r="VWL251" s="9"/>
      <c r="VWM251" s="4"/>
      <c r="VWN251" s="9"/>
      <c r="VWO251" s="4"/>
      <c r="VWP251" s="9"/>
      <c r="VWQ251" s="4"/>
      <c r="VWR251" s="9"/>
      <c r="VWS251" s="4"/>
      <c r="VWT251" s="9"/>
      <c r="VWU251" s="4"/>
      <c r="VWV251" s="9"/>
      <c r="VWW251" s="4"/>
      <c r="VWX251" s="9"/>
      <c r="VWY251" s="4"/>
      <c r="VWZ251" s="9"/>
      <c r="VXA251" s="4"/>
      <c r="VXB251" s="9"/>
      <c r="VXC251" s="4"/>
      <c r="VXD251" s="9"/>
      <c r="VXE251" s="4"/>
      <c r="VXF251" s="9"/>
      <c r="VXG251" s="4"/>
      <c r="VXH251" s="9"/>
      <c r="VXI251" s="4"/>
      <c r="VXJ251" s="9"/>
      <c r="VXK251" s="4"/>
      <c r="VXL251" s="9"/>
      <c r="VXM251" s="4"/>
      <c r="VXN251" s="9"/>
      <c r="VXO251" s="4"/>
      <c r="VXP251" s="9"/>
      <c r="VXQ251" s="4"/>
      <c r="VXR251" s="9"/>
      <c r="VXS251" s="4"/>
      <c r="VXT251" s="9"/>
      <c r="VXU251" s="4"/>
      <c r="VXV251" s="9"/>
      <c r="VXW251" s="4"/>
      <c r="VXX251" s="9"/>
      <c r="VXY251" s="4"/>
      <c r="VXZ251" s="9"/>
      <c r="VYA251" s="4"/>
      <c r="VYB251" s="9"/>
      <c r="VYC251" s="4"/>
      <c r="VYD251" s="9"/>
      <c r="VYE251" s="4"/>
      <c r="VYF251" s="9"/>
      <c r="VYG251" s="4"/>
      <c r="VYH251" s="9"/>
      <c r="VYI251" s="4"/>
      <c r="VYJ251" s="9"/>
      <c r="VYK251" s="4"/>
      <c r="VYL251" s="9"/>
      <c r="VYM251" s="4"/>
      <c r="VYN251" s="9"/>
      <c r="VYO251" s="4"/>
      <c r="VYP251" s="9"/>
      <c r="VYQ251" s="4"/>
      <c r="VYR251" s="9"/>
      <c r="VYS251" s="4"/>
      <c r="VYT251" s="9"/>
      <c r="VYU251" s="4"/>
      <c r="VYV251" s="9"/>
      <c r="VYW251" s="4"/>
      <c r="VYX251" s="9"/>
      <c r="VYY251" s="4"/>
      <c r="VYZ251" s="9"/>
      <c r="VZA251" s="4"/>
      <c r="VZB251" s="9"/>
      <c r="VZC251" s="4"/>
      <c r="VZD251" s="9"/>
      <c r="VZE251" s="4"/>
      <c r="VZF251" s="9"/>
      <c r="VZG251" s="4"/>
      <c r="VZH251" s="9"/>
      <c r="VZI251" s="4"/>
      <c r="VZJ251" s="9"/>
      <c r="VZK251" s="4"/>
      <c r="VZL251" s="9"/>
      <c r="VZM251" s="4"/>
      <c r="VZN251" s="9"/>
      <c r="VZO251" s="4"/>
      <c r="VZP251" s="9"/>
      <c r="VZQ251" s="4"/>
      <c r="VZR251" s="9"/>
      <c r="VZS251" s="4"/>
      <c r="VZT251" s="9"/>
      <c r="VZU251" s="4"/>
      <c r="VZV251" s="9"/>
      <c r="VZW251" s="4"/>
      <c r="VZX251" s="9"/>
      <c r="VZY251" s="4"/>
      <c r="VZZ251" s="9"/>
      <c r="WAA251" s="4"/>
      <c r="WAB251" s="9"/>
      <c r="WAC251" s="4"/>
      <c r="WAD251" s="9"/>
      <c r="WAE251" s="4"/>
      <c r="WAF251" s="9"/>
      <c r="WAG251" s="4"/>
      <c r="WAH251" s="9"/>
      <c r="WAI251" s="4"/>
      <c r="WAJ251" s="9"/>
      <c r="WAK251" s="4"/>
      <c r="WAL251" s="9"/>
      <c r="WAM251" s="4"/>
      <c r="WAN251" s="9"/>
      <c r="WAO251" s="4"/>
      <c r="WAP251" s="9"/>
      <c r="WAQ251" s="4"/>
      <c r="WAR251" s="9"/>
      <c r="WAS251" s="4"/>
      <c r="WAT251" s="9"/>
      <c r="WAU251" s="4"/>
      <c r="WAV251" s="9"/>
      <c r="WAW251" s="4"/>
      <c r="WAX251" s="9"/>
      <c r="WAY251" s="4"/>
      <c r="WAZ251" s="9"/>
      <c r="WBA251" s="4"/>
      <c r="WBB251" s="9"/>
      <c r="WBC251" s="4"/>
      <c r="WBD251" s="9"/>
      <c r="WBE251" s="4"/>
      <c r="WBF251" s="9"/>
      <c r="WBG251" s="4"/>
      <c r="WBH251" s="9"/>
      <c r="WBI251" s="4"/>
      <c r="WBJ251" s="9"/>
      <c r="WBK251" s="4"/>
      <c r="WBL251" s="9"/>
      <c r="WBM251" s="4"/>
      <c r="WBN251" s="9"/>
      <c r="WBO251" s="4"/>
      <c r="WBP251" s="9"/>
      <c r="WBQ251" s="4"/>
      <c r="WBR251" s="9"/>
      <c r="WBS251" s="4"/>
      <c r="WBT251" s="9"/>
      <c r="WBU251" s="4"/>
      <c r="WBV251" s="9"/>
      <c r="WBW251" s="4"/>
      <c r="WBX251" s="9"/>
      <c r="WBY251" s="4"/>
      <c r="WBZ251" s="9"/>
      <c r="WCA251" s="4"/>
      <c r="WCB251" s="9"/>
      <c r="WCC251" s="4"/>
      <c r="WCD251" s="9"/>
      <c r="WCE251" s="4"/>
      <c r="WCF251" s="9"/>
      <c r="WCG251" s="4"/>
      <c r="WCH251" s="9"/>
      <c r="WCI251" s="4"/>
      <c r="WCJ251" s="9"/>
      <c r="WCK251" s="4"/>
      <c r="WCL251" s="9"/>
      <c r="WCM251" s="4"/>
      <c r="WCN251" s="9"/>
      <c r="WCO251" s="4"/>
      <c r="WCP251" s="9"/>
      <c r="WCQ251" s="4"/>
      <c r="WCR251" s="9"/>
      <c r="WCS251" s="4"/>
      <c r="WCT251" s="9"/>
      <c r="WCU251" s="4"/>
      <c r="WCV251" s="9"/>
      <c r="WCW251" s="4"/>
      <c r="WCX251" s="9"/>
      <c r="WCY251" s="4"/>
      <c r="WCZ251" s="9"/>
      <c r="WDA251" s="4"/>
      <c r="WDB251" s="9"/>
      <c r="WDC251" s="4"/>
      <c r="WDD251" s="9"/>
      <c r="WDE251" s="4"/>
      <c r="WDF251" s="9"/>
      <c r="WDG251" s="4"/>
      <c r="WDH251" s="9"/>
      <c r="WDI251" s="4"/>
      <c r="WDJ251" s="9"/>
      <c r="WDK251" s="4"/>
      <c r="WDL251" s="9"/>
      <c r="WDM251" s="4"/>
      <c r="WDN251" s="9"/>
      <c r="WDO251" s="4"/>
      <c r="WDP251" s="9"/>
      <c r="WDQ251" s="4"/>
      <c r="WDR251" s="9"/>
      <c r="WDS251" s="4"/>
      <c r="WDT251" s="9"/>
      <c r="WDU251" s="4"/>
      <c r="WDV251" s="9"/>
      <c r="WDW251" s="4"/>
      <c r="WDX251" s="9"/>
      <c r="WDY251" s="4"/>
      <c r="WDZ251" s="9"/>
      <c r="WEA251" s="4"/>
      <c r="WEB251" s="9"/>
      <c r="WEC251" s="4"/>
      <c r="WED251" s="9"/>
      <c r="WEE251" s="4"/>
      <c r="WEF251" s="9"/>
      <c r="WEG251" s="4"/>
      <c r="WEH251" s="9"/>
      <c r="WEI251" s="4"/>
      <c r="WEJ251" s="9"/>
      <c r="WEK251" s="4"/>
      <c r="WEL251" s="9"/>
      <c r="WEM251" s="4"/>
      <c r="WEN251" s="9"/>
      <c r="WEO251" s="4"/>
      <c r="WEP251" s="9"/>
      <c r="WEQ251" s="4"/>
      <c r="WER251" s="9"/>
      <c r="WES251" s="4"/>
      <c r="WET251" s="9"/>
      <c r="WEU251" s="4"/>
      <c r="WEV251" s="9"/>
      <c r="WEW251" s="4"/>
      <c r="WEX251" s="9"/>
      <c r="WEY251" s="4"/>
      <c r="WEZ251" s="9"/>
      <c r="WFA251" s="4"/>
      <c r="WFB251" s="9"/>
      <c r="WFC251" s="4"/>
      <c r="WFD251" s="9"/>
      <c r="WFE251" s="4"/>
      <c r="WFF251" s="9"/>
      <c r="WFG251" s="4"/>
      <c r="WFH251" s="9"/>
      <c r="WFI251" s="4"/>
      <c r="WFJ251" s="9"/>
      <c r="WFK251" s="4"/>
      <c r="WFL251" s="9"/>
      <c r="WFM251" s="4"/>
      <c r="WFN251" s="9"/>
      <c r="WFO251" s="4"/>
      <c r="WFP251" s="9"/>
      <c r="WFQ251" s="4"/>
      <c r="WFR251" s="9"/>
      <c r="WFS251" s="4"/>
      <c r="WFT251" s="9"/>
      <c r="WFU251" s="4"/>
      <c r="WFV251" s="9"/>
      <c r="WFW251" s="4"/>
      <c r="WFX251" s="9"/>
      <c r="WFY251" s="4"/>
      <c r="WFZ251" s="9"/>
      <c r="WGA251" s="4"/>
      <c r="WGB251" s="9"/>
      <c r="WGC251" s="4"/>
      <c r="WGD251" s="9"/>
      <c r="WGE251" s="4"/>
      <c r="WGF251" s="9"/>
      <c r="WGG251" s="4"/>
      <c r="WGH251" s="9"/>
      <c r="WGI251" s="4"/>
      <c r="WGJ251" s="9"/>
      <c r="WGK251" s="4"/>
      <c r="WGL251" s="9"/>
      <c r="WGM251" s="4"/>
      <c r="WGN251" s="9"/>
      <c r="WGO251" s="4"/>
      <c r="WGP251" s="9"/>
      <c r="WGQ251" s="4"/>
      <c r="WGR251" s="9"/>
      <c r="WGS251" s="4"/>
      <c r="WGT251" s="9"/>
      <c r="WGU251" s="4"/>
      <c r="WGV251" s="9"/>
      <c r="WGW251" s="4"/>
      <c r="WGX251" s="9"/>
      <c r="WGY251" s="4"/>
      <c r="WGZ251" s="9"/>
      <c r="WHA251" s="4"/>
      <c r="WHB251" s="9"/>
      <c r="WHC251" s="4"/>
      <c r="WHD251" s="9"/>
      <c r="WHE251" s="4"/>
      <c r="WHF251" s="9"/>
      <c r="WHG251" s="4"/>
      <c r="WHH251" s="9"/>
      <c r="WHI251" s="4"/>
      <c r="WHJ251" s="9"/>
      <c r="WHK251" s="4"/>
      <c r="WHL251" s="9"/>
      <c r="WHM251" s="4"/>
      <c r="WHN251" s="9"/>
      <c r="WHO251" s="4"/>
      <c r="WHP251" s="9"/>
      <c r="WHQ251" s="4"/>
      <c r="WHR251" s="9"/>
      <c r="WHS251" s="4"/>
      <c r="WHT251" s="9"/>
      <c r="WHU251" s="4"/>
      <c r="WHV251" s="9"/>
      <c r="WHW251" s="4"/>
      <c r="WHX251" s="9"/>
      <c r="WHY251" s="4"/>
      <c r="WHZ251" s="9"/>
      <c r="WIA251" s="4"/>
      <c r="WIB251" s="9"/>
      <c r="WIC251" s="4"/>
      <c r="WID251" s="9"/>
      <c r="WIE251" s="4"/>
      <c r="WIF251" s="9"/>
      <c r="WIG251" s="4"/>
      <c r="WIH251" s="9"/>
      <c r="WII251" s="4"/>
      <c r="WIJ251" s="9"/>
      <c r="WIK251" s="4"/>
      <c r="WIL251" s="9"/>
      <c r="WIM251" s="4"/>
      <c r="WIN251" s="9"/>
      <c r="WIO251" s="4"/>
      <c r="WIP251" s="9"/>
      <c r="WIQ251" s="4"/>
      <c r="WIR251" s="9"/>
      <c r="WIS251" s="4"/>
      <c r="WIT251" s="9"/>
      <c r="WIU251" s="4"/>
      <c r="WIV251" s="9"/>
      <c r="WIW251" s="4"/>
      <c r="WIX251" s="9"/>
      <c r="WIY251" s="4"/>
      <c r="WIZ251" s="9"/>
      <c r="WJA251" s="4"/>
      <c r="WJB251" s="9"/>
      <c r="WJC251" s="4"/>
      <c r="WJD251" s="9"/>
      <c r="WJE251" s="4"/>
      <c r="WJF251" s="9"/>
      <c r="WJG251" s="4"/>
      <c r="WJH251" s="9"/>
      <c r="WJI251" s="4"/>
      <c r="WJJ251" s="9"/>
      <c r="WJK251" s="4"/>
      <c r="WJL251" s="9"/>
      <c r="WJM251" s="4"/>
      <c r="WJN251" s="9"/>
      <c r="WJO251" s="4"/>
      <c r="WJP251" s="9"/>
      <c r="WJQ251" s="4"/>
      <c r="WJR251" s="9"/>
      <c r="WJS251" s="4"/>
      <c r="WJT251" s="9"/>
      <c r="WJU251" s="4"/>
      <c r="WJV251" s="9"/>
      <c r="WJW251" s="4"/>
      <c r="WJX251" s="9"/>
      <c r="WJY251" s="4"/>
      <c r="WJZ251" s="9"/>
      <c r="WKA251" s="4"/>
      <c r="WKB251" s="9"/>
      <c r="WKC251" s="4"/>
      <c r="WKD251" s="9"/>
      <c r="WKE251" s="4"/>
      <c r="WKF251" s="9"/>
      <c r="WKG251" s="4"/>
      <c r="WKH251" s="9"/>
      <c r="WKI251" s="4"/>
      <c r="WKJ251" s="9"/>
      <c r="WKK251" s="4"/>
      <c r="WKL251" s="9"/>
      <c r="WKM251" s="4"/>
      <c r="WKN251" s="9"/>
      <c r="WKO251" s="4"/>
      <c r="WKP251" s="9"/>
      <c r="WKQ251" s="4"/>
      <c r="WKR251" s="9"/>
      <c r="WKS251" s="4"/>
      <c r="WKT251" s="9"/>
      <c r="WKU251" s="4"/>
      <c r="WKV251" s="9"/>
      <c r="WKW251" s="4"/>
      <c r="WKX251" s="9"/>
      <c r="WKY251" s="4"/>
      <c r="WKZ251" s="9"/>
      <c r="WLA251" s="4"/>
      <c r="WLB251" s="9"/>
      <c r="WLC251" s="4"/>
      <c r="WLD251" s="9"/>
      <c r="WLE251" s="4"/>
      <c r="WLF251" s="9"/>
      <c r="WLG251" s="4"/>
      <c r="WLH251" s="9"/>
      <c r="WLI251" s="4"/>
      <c r="WLJ251" s="9"/>
      <c r="WLK251" s="4"/>
      <c r="WLL251" s="9"/>
      <c r="WLM251" s="4"/>
      <c r="WLN251" s="9"/>
      <c r="WLO251" s="4"/>
      <c r="WLP251" s="9"/>
      <c r="WLQ251" s="4"/>
      <c r="WLR251" s="9"/>
      <c r="WLS251" s="4"/>
      <c r="WLT251" s="9"/>
      <c r="WLU251" s="4"/>
      <c r="WLV251" s="9"/>
      <c r="WLW251" s="4"/>
      <c r="WLX251" s="9"/>
      <c r="WLY251" s="4"/>
      <c r="WLZ251" s="9"/>
      <c r="WMA251" s="4"/>
      <c r="WMB251" s="9"/>
      <c r="WMC251" s="4"/>
      <c r="WMD251" s="9"/>
      <c r="WME251" s="4"/>
      <c r="WMF251" s="9"/>
      <c r="WMG251" s="4"/>
      <c r="WMH251" s="9"/>
      <c r="WMI251" s="4"/>
      <c r="WMJ251" s="9"/>
      <c r="WMK251" s="4"/>
      <c r="WML251" s="9"/>
      <c r="WMM251" s="4"/>
      <c r="WMN251" s="9"/>
      <c r="WMO251" s="4"/>
      <c r="WMP251" s="9"/>
      <c r="WMQ251" s="4"/>
      <c r="WMR251" s="9"/>
      <c r="WMS251" s="4"/>
      <c r="WMT251" s="9"/>
      <c r="WMU251" s="4"/>
      <c r="WMV251" s="9"/>
      <c r="WMW251" s="4"/>
      <c r="WMX251" s="9"/>
      <c r="WMY251" s="4"/>
      <c r="WMZ251" s="9"/>
      <c r="WNA251" s="4"/>
      <c r="WNB251" s="9"/>
      <c r="WNC251" s="4"/>
      <c r="WND251" s="9"/>
      <c r="WNE251" s="4"/>
      <c r="WNF251" s="9"/>
      <c r="WNG251" s="4"/>
      <c r="WNH251" s="9"/>
      <c r="WNI251" s="4"/>
      <c r="WNJ251" s="9"/>
      <c r="WNK251" s="4"/>
      <c r="WNL251" s="9"/>
      <c r="WNM251" s="4"/>
      <c r="WNN251" s="9"/>
      <c r="WNO251" s="4"/>
      <c r="WNP251" s="9"/>
      <c r="WNQ251" s="4"/>
      <c r="WNR251" s="9"/>
      <c r="WNS251" s="4"/>
      <c r="WNT251" s="9"/>
      <c r="WNU251" s="4"/>
      <c r="WNV251" s="9"/>
      <c r="WNW251" s="4"/>
      <c r="WNX251" s="9"/>
      <c r="WNY251" s="4"/>
      <c r="WNZ251" s="9"/>
      <c r="WOA251" s="4"/>
      <c r="WOB251" s="9"/>
      <c r="WOC251" s="4"/>
      <c r="WOD251" s="9"/>
      <c r="WOE251" s="4"/>
      <c r="WOF251" s="9"/>
      <c r="WOG251" s="4"/>
      <c r="WOH251" s="9"/>
      <c r="WOI251" s="4"/>
      <c r="WOJ251" s="9"/>
      <c r="WOK251" s="4"/>
      <c r="WOL251" s="9"/>
      <c r="WOM251" s="4"/>
      <c r="WON251" s="9"/>
      <c r="WOO251" s="4"/>
      <c r="WOP251" s="9"/>
      <c r="WOQ251" s="4"/>
      <c r="WOR251" s="9"/>
      <c r="WOS251" s="4"/>
      <c r="WOT251" s="9"/>
      <c r="WOU251" s="4"/>
      <c r="WOV251" s="9"/>
      <c r="WOW251" s="4"/>
      <c r="WOX251" s="9"/>
      <c r="WOY251" s="4"/>
      <c r="WOZ251" s="9"/>
      <c r="WPA251" s="4"/>
      <c r="WPB251" s="9"/>
      <c r="WPC251" s="4"/>
      <c r="WPD251" s="9"/>
      <c r="WPE251" s="4"/>
      <c r="WPF251" s="9"/>
      <c r="WPG251" s="4"/>
      <c r="WPH251" s="9"/>
      <c r="WPI251" s="4"/>
      <c r="WPJ251" s="9"/>
      <c r="WPK251" s="4"/>
      <c r="WPL251" s="9"/>
      <c r="WPM251" s="4"/>
      <c r="WPN251" s="9"/>
      <c r="WPO251" s="4"/>
      <c r="WPP251" s="9"/>
      <c r="WPQ251" s="4"/>
      <c r="WPR251" s="9"/>
      <c r="WPS251" s="4"/>
      <c r="WPT251" s="9"/>
      <c r="WPU251" s="4"/>
      <c r="WPV251" s="9"/>
      <c r="WPW251" s="4"/>
      <c r="WPX251" s="9"/>
      <c r="WPY251" s="4"/>
      <c r="WPZ251" s="9"/>
      <c r="WQA251" s="4"/>
      <c r="WQB251" s="9"/>
      <c r="WQC251" s="4"/>
      <c r="WQD251" s="9"/>
      <c r="WQE251" s="4"/>
      <c r="WQF251" s="9"/>
      <c r="WQG251" s="4"/>
      <c r="WQH251" s="9"/>
      <c r="WQI251" s="4"/>
      <c r="WQJ251" s="9"/>
      <c r="WQK251" s="4"/>
      <c r="WQL251" s="9"/>
      <c r="WQM251" s="4"/>
      <c r="WQN251" s="9"/>
      <c r="WQO251" s="4"/>
      <c r="WQP251" s="9"/>
      <c r="WQQ251" s="4"/>
      <c r="WQR251" s="9"/>
      <c r="WQS251" s="4"/>
      <c r="WQT251" s="9"/>
      <c r="WQU251" s="4"/>
      <c r="WQV251" s="9"/>
      <c r="WQW251" s="4"/>
      <c r="WQX251" s="9"/>
      <c r="WQY251" s="4"/>
      <c r="WQZ251" s="9"/>
      <c r="WRA251" s="4"/>
      <c r="WRB251" s="9"/>
      <c r="WRC251" s="4"/>
      <c r="WRD251" s="9"/>
      <c r="WRE251" s="4"/>
      <c r="WRF251" s="9"/>
      <c r="WRG251" s="4"/>
      <c r="WRH251" s="9"/>
      <c r="WRI251" s="4"/>
      <c r="WRJ251" s="9"/>
      <c r="WRK251" s="4"/>
      <c r="WRL251" s="9"/>
      <c r="WRM251" s="4"/>
      <c r="WRN251" s="9"/>
      <c r="WRO251" s="4"/>
      <c r="WRP251" s="9"/>
      <c r="WRQ251" s="4"/>
      <c r="WRR251" s="9"/>
      <c r="WRS251" s="4"/>
      <c r="WRT251" s="9"/>
      <c r="WRU251" s="4"/>
      <c r="WRV251" s="9"/>
      <c r="WRW251" s="4"/>
      <c r="WRX251" s="9"/>
      <c r="WRY251" s="4"/>
      <c r="WRZ251" s="9"/>
      <c r="WSA251" s="4"/>
      <c r="WSB251" s="9"/>
      <c r="WSC251" s="4"/>
      <c r="WSD251" s="9"/>
      <c r="WSE251" s="4"/>
      <c r="WSF251" s="9"/>
      <c r="WSG251" s="4"/>
      <c r="WSH251" s="9"/>
      <c r="WSI251" s="4"/>
      <c r="WSJ251" s="9"/>
      <c r="WSK251" s="4"/>
      <c r="WSL251" s="9"/>
      <c r="WSM251" s="4"/>
      <c r="WSN251" s="9"/>
      <c r="WSO251" s="4"/>
      <c r="WSP251" s="9"/>
      <c r="WSQ251" s="4"/>
      <c r="WSR251" s="9"/>
      <c r="WSS251" s="4"/>
      <c r="WST251" s="9"/>
      <c r="WSU251" s="4"/>
      <c r="WSV251" s="9"/>
      <c r="WSW251" s="4"/>
      <c r="WSX251" s="9"/>
      <c r="WSY251" s="4"/>
      <c r="WSZ251" s="9"/>
      <c r="WTA251" s="4"/>
      <c r="WTB251" s="9"/>
      <c r="WTC251" s="4"/>
      <c r="WTD251" s="9"/>
      <c r="WTE251" s="4"/>
      <c r="WTF251" s="9"/>
      <c r="WTG251" s="4"/>
      <c r="WTH251" s="9"/>
      <c r="WTI251" s="4"/>
      <c r="WTJ251" s="9"/>
      <c r="WTK251" s="4"/>
      <c r="WTL251" s="9"/>
      <c r="WTM251" s="4"/>
      <c r="WTN251" s="9"/>
      <c r="WTO251" s="4"/>
      <c r="WTP251" s="9"/>
      <c r="WTQ251" s="4"/>
      <c r="WTR251" s="9"/>
      <c r="WTS251" s="4"/>
      <c r="WTT251" s="9"/>
      <c r="WTU251" s="4"/>
      <c r="WTV251" s="9"/>
      <c r="WTW251" s="4"/>
      <c r="WTX251" s="9"/>
      <c r="WTY251" s="4"/>
      <c r="WTZ251" s="9"/>
      <c r="WUA251" s="4"/>
      <c r="WUB251" s="9"/>
      <c r="WUC251" s="4"/>
      <c r="WUD251" s="9"/>
      <c r="WUE251" s="4"/>
      <c r="WUF251" s="9"/>
      <c r="WUG251" s="4"/>
      <c r="WUH251" s="9"/>
      <c r="WUI251" s="4"/>
      <c r="WUJ251" s="9"/>
      <c r="WUK251" s="4"/>
      <c r="WUL251" s="9"/>
      <c r="WUM251" s="4"/>
      <c r="WUN251" s="9"/>
      <c r="WUO251" s="4"/>
      <c r="WUP251" s="9"/>
      <c r="WUQ251" s="4"/>
      <c r="WUR251" s="9"/>
      <c r="WUS251" s="4"/>
      <c r="WUT251" s="9"/>
      <c r="WUU251" s="4"/>
      <c r="WUV251" s="9"/>
      <c r="WUW251" s="4"/>
      <c r="WUX251" s="9"/>
      <c r="WUY251" s="4"/>
      <c r="WUZ251" s="9"/>
      <c r="WVA251" s="4"/>
      <c r="WVB251" s="9"/>
      <c r="WVC251" s="4"/>
      <c r="WVD251" s="9"/>
      <c r="WVE251" s="4"/>
      <c r="WVF251" s="9"/>
      <c r="WVG251" s="4"/>
      <c r="WVH251" s="9"/>
      <c r="WVI251" s="4"/>
      <c r="WVJ251" s="9"/>
      <c r="WVK251" s="4"/>
      <c r="WVL251" s="9"/>
      <c r="WVM251" s="4"/>
      <c r="WVN251" s="9"/>
      <c r="WVO251" s="4"/>
      <c r="WVP251" s="9"/>
      <c r="WVQ251" s="4"/>
      <c r="WVR251" s="9"/>
      <c r="WVS251" s="4"/>
      <c r="WVT251" s="9"/>
      <c r="WVU251" s="4"/>
      <c r="WVV251" s="9"/>
      <c r="WVW251" s="4"/>
      <c r="WVX251" s="9"/>
      <c r="WVY251" s="4"/>
      <c r="WVZ251" s="9"/>
      <c r="WWA251" s="4"/>
      <c r="WWB251" s="9"/>
      <c r="WWC251" s="4"/>
      <c r="WWD251" s="9"/>
      <c r="WWE251" s="4"/>
      <c r="WWF251" s="9"/>
      <c r="WWG251" s="4"/>
      <c r="WWH251" s="9"/>
      <c r="WWI251" s="4"/>
      <c r="WWJ251" s="9"/>
      <c r="WWK251" s="4"/>
      <c r="WWL251" s="9"/>
      <c r="WWM251" s="4"/>
      <c r="WWN251" s="9"/>
      <c r="WWO251" s="4"/>
      <c r="WWP251" s="9"/>
      <c r="WWQ251" s="4"/>
      <c r="WWR251" s="9"/>
      <c r="WWS251" s="4"/>
      <c r="WWT251" s="9"/>
      <c r="WWU251" s="4"/>
      <c r="WWV251" s="9"/>
      <c r="WWW251" s="4"/>
      <c r="WWX251" s="9"/>
      <c r="WWY251" s="4"/>
      <c r="WWZ251" s="9"/>
      <c r="WXA251" s="4"/>
      <c r="WXB251" s="9"/>
      <c r="WXC251" s="4"/>
      <c r="WXD251" s="9"/>
      <c r="WXE251" s="4"/>
      <c r="WXF251" s="9"/>
      <c r="WXG251" s="4"/>
      <c r="WXH251" s="9"/>
      <c r="WXI251" s="4"/>
      <c r="WXJ251" s="9"/>
      <c r="WXK251" s="4"/>
      <c r="WXL251" s="9"/>
      <c r="WXM251" s="4"/>
      <c r="WXN251" s="9"/>
      <c r="WXO251" s="4"/>
      <c r="WXP251" s="9"/>
      <c r="WXQ251" s="4"/>
      <c r="WXR251" s="9"/>
      <c r="WXS251" s="4"/>
      <c r="WXT251" s="9"/>
      <c r="WXU251" s="4"/>
      <c r="WXV251" s="9"/>
      <c r="WXW251" s="4"/>
      <c r="WXX251" s="9"/>
      <c r="WXY251" s="4"/>
      <c r="WXZ251" s="9"/>
      <c r="WYA251" s="4"/>
      <c r="WYB251" s="9"/>
      <c r="WYC251" s="4"/>
      <c r="WYD251" s="9"/>
      <c r="WYE251" s="4"/>
      <c r="WYF251" s="9"/>
      <c r="WYG251" s="4"/>
      <c r="WYH251" s="9"/>
      <c r="WYI251" s="4"/>
      <c r="WYJ251" s="9"/>
      <c r="WYK251" s="4"/>
      <c r="WYL251" s="9"/>
      <c r="WYM251" s="4"/>
      <c r="WYN251" s="9"/>
      <c r="WYO251" s="4"/>
      <c r="WYP251" s="9"/>
      <c r="WYQ251" s="4"/>
      <c r="WYR251" s="9"/>
      <c r="WYS251" s="4"/>
      <c r="WYT251" s="9"/>
      <c r="WYU251" s="4"/>
      <c r="WYV251" s="9"/>
      <c r="WYW251" s="4"/>
      <c r="WYX251" s="9"/>
      <c r="WYY251" s="4"/>
      <c r="WYZ251" s="9"/>
      <c r="WZA251" s="4"/>
      <c r="WZB251" s="9"/>
      <c r="WZC251" s="4"/>
      <c r="WZD251" s="9"/>
      <c r="WZE251" s="4"/>
      <c r="WZF251" s="9"/>
      <c r="WZG251" s="4"/>
      <c r="WZH251" s="9"/>
      <c r="WZI251" s="4"/>
      <c r="WZJ251" s="9"/>
      <c r="WZK251" s="4"/>
      <c r="WZL251" s="9"/>
      <c r="WZM251" s="4"/>
      <c r="WZN251" s="9"/>
      <c r="WZO251" s="4"/>
      <c r="WZP251" s="9"/>
      <c r="WZQ251" s="4"/>
      <c r="WZR251" s="9"/>
      <c r="WZS251" s="4"/>
      <c r="WZT251" s="9"/>
      <c r="WZU251" s="4"/>
      <c r="WZV251" s="9"/>
      <c r="WZW251" s="4"/>
      <c r="WZX251" s="9"/>
      <c r="WZY251" s="4"/>
      <c r="WZZ251" s="9"/>
      <c r="XAA251" s="4"/>
      <c r="XAB251" s="9"/>
      <c r="XAC251" s="4"/>
      <c r="XAD251" s="9"/>
      <c r="XAE251" s="4"/>
      <c r="XAF251" s="9"/>
      <c r="XAG251" s="4"/>
      <c r="XAH251" s="9"/>
      <c r="XAI251" s="4"/>
      <c r="XAJ251" s="9"/>
      <c r="XAK251" s="4"/>
      <c r="XAL251" s="9"/>
      <c r="XAM251" s="4"/>
      <c r="XAN251" s="9"/>
      <c r="XAO251" s="4"/>
      <c r="XAP251" s="9"/>
      <c r="XAQ251" s="4"/>
      <c r="XAR251" s="9"/>
      <c r="XAS251" s="4"/>
      <c r="XAT251" s="9"/>
      <c r="XAU251" s="4"/>
      <c r="XAV251" s="9"/>
      <c r="XAW251" s="4"/>
      <c r="XAX251" s="9"/>
      <c r="XAY251" s="4"/>
      <c r="XAZ251" s="9"/>
      <c r="XBA251" s="4"/>
      <c r="XBB251" s="9"/>
      <c r="XBC251" s="4"/>
      <c r="XBD251" s="9"/>
      <c r="XBE251" s="4"/>
      <c r="XBF251" s="9"/>
      <c r="XBG251" s="4"/>
      <c r="XBH251" s="9"/>
      <c r="XBI251" s="4"/>
      <c r="XBJ251" s="9"/>
      <c r="XBK251" s="4"/>
      <c r="XBL251" s="9"/>
      <c r="XBM251" s="4"/>
      <c r="XBN251" s="9"/>
      <c r="XBO251" s="4"/>
      <c r="XBP251" s="9"/>
      <c r="XBQ251" s="4"/>
      <c r="XBR251" s="9"/>
      <c r="XBS251" s="4"/>
      <c r="XBT251" s="9"/>
      <c r="XBU251" s="4"/>
      <c r="XBV251" s="9"/>
      <c r="XBW251" s="4"/>
      <c r="XBX251" s="9"/>
      <c r="XBY251" s="4"/>
      <c r="XBZ251" s="9"/>
      <c r="XCA251" s="4"/>
      <c r="XCB251" s="9"/>
      <c r="XCC251" s="4"/>
      <c r="XCD251" s="9"/>
      <c r="XCE251" s="4"/>
      <c r="XCF251" s="9"/>
      <c r="XCG251" s="4"/>
      <c r="XCH251" s="9"/>
      <c r="XCI251" s="4"/>
      <c r="XCJ251" s="9"/>
      <c r="XCK251" s="4"/>
      <c r="XCL251" s="9"/>
      <c r="XCM251" s="4"/>
      <c r="XCN251" s="9"/>
      <c r="XCO251" s="4"/>
      <c r="XCP251" s="9"/>
      <c r="XCQ251" s="4"/>
      <c r="XCR251" s="9"/>
      <c r="XCS251" s="4"/>
      <c r="XCT251" s="9"/>
      <c r="XCU251" s="4"/>
      <c r="XCV251" s="9"/>
      <c r="XCW251" s="4"/>
      <c r="XCX251" s="9"/>
      <c r="XCY251" s="4"/>
      <c r="XCZ251" s="9"/>
      <c r="XDA251" s="4"/>
      <c r="XDB251" s="9"/>
      <c r="XDC251" s="4"/>
      <c r="XDD251" s="9"/>
      <c r="XDE251" s="4"/>
      <c r="XDF251" s="9"/>
      <c r="XDG251" s="4"/>
      <c r="XDH251" s="9"/>
      <c r="XDI251" s="4"/>
      <c r="XDJ251" s="9"/>
      <c r="XDK251" s="4"/>
      <c r="XDL251" s="9"/>
      <c r="XDM251" s="4"/>
      <c r="XDN251" s="9"/>
      <c r="XDO251" s="4"/>
      <c r="XDP251" s="9"/>
      <c r="XDQ251" s="4"/>
      <c r="XDR251" s="9"/>
      <c r="XDS251" s="4"/>
      <c r="XDT251" s="9"/>
      <c r="XDU251" s="4"/>
      <c r="XDV251" s="9"/>
      <c r="XDW251" s="4"/>
      <c r="XDX251" s="9"/>
      <c r="XDY251" s="4"/>
      <c r="XDZ251" s="9"/>
      <c r="XEA251" s="4"/>
      <c r="XEB251" s="9"/>
      <c r="XEC251" s="4"/>
      <c r="XED251" s="9"/>
      <c r="XEE251" s="4"/>
      <c r="XEF251" s="9"/>
      <c r="XEG251" s="4"/>
      <c r="XEH251" s="9"/>
      <c r="XEI251" s="4"/>
      <c r="XEJ251" s="9"/>
      <c r="XEK251" s="4"/>
      <c r="XEL251" s="9"/>
      <c r="XEM251" s="4"/>
      <c r="XEN251" s="9"/>
      <c r="XEO251" s="4"/>
      <c r="XEP251" s="9"/>
      <c r="XEQ251" s="4"/>
      <c r="XER251" s="9"/>
      <c r="XES251" s="4"/>
      <c r="XET251" s="9"/>
      <c r="XEU251" s="4"/>
      <c r="XEV251" s="9"/>
      <c r="XEW251" s="4"/>
      <c r="XEX251" s="9"/>
      <c r="XEY251" s="4"/>
      <c r="XEZ251" s="9"/>
      <c r="XFA251" s="4"/>
      <c r="XFB251" s="9"/>
      <c r="XFC251" s="4"/>
    </row>
    <row r="252" spans="2:16383">
      <c r="B252" s="92"/>
      <c r="C252" s="4"/>
      <c r="D252" s="9"/>
      <c r="E252" s="4"/>
      <c r="F252" s="161"/>
      <c r="G252" s="4"/>
      <c r="H252" s="9"/>
      <c r="I252" s="4"/>
      <c r="J252" s="9"/>
      <c r="K252" s="4"/>
      <c r="L252" s="9"/>
      <c r="M252" s="4"/>
      <c r="N252" s="9"/>
      <c r="O252" s="4"/>
      <c r="P252" s="9"/>
      <c r="Q252" s="4"/>
      <c r="R252" s="9"/>
      <c r="S252" s="4"/>
      <c r="T252" s="9"/>
      <c r="U252" s="4"/>
      <c r="V252" s="9"/>
      <c r="W252" s="4"/>
      <c r="X252" s="9"/>
      <c r="Y252" s="4"/>
      <c r="Z252" s="9"/>
      <c r="AA252" s="4"/>
      <c r="AB252" s="9"/>
      <c r="AC252" s="4"/>
      <c r="AD252" s="9"/>
      <c r="AE252" s="4"/>
      <c r="AF252" s="9"/>
      <c r="AG252" s="4"/>
      <c r="AH252" s="9"/>
      <c r="AI252" s="4"/>
      <c r="AJ252" s="9"/>
      <c r="AK252" s="4"/>
      <c r="AL252" s="9"/>
      <c r="AM252" s="4"/>
      <c r="AN252" s="9"/>
      <c r="AO252" s="4"/>
      <c r="AP252" s="9"/>
      <c r="AQ252" s="4"/>
      <c r="AR252" s="9"/>
      <c r="AS252" s="4"/>
      <c r="AT252" s="9"/>
      <c r="AU252" s="4"/>
      <c r="AV252" s="9"/>
      <c r="AW252" s="4"/>
      <c r="AX252" s="9"/>
      <c r="AY252" s="4"/>
      <c r="AZ252" s="9"/>
      <c r="BA252" s="4"/>
      <c r="BB252" s="9"/>
      <c r="BC252" s="4"/>
      <c r="BD252" s="9"/>
      <c r="BE252" s="4"/>
      <c r="BF252" s="9"/>
      <c r="BG252" s="4"/>
      <c r="BH252" s="9"/>
      <c r="BI252" s="4"/>
      <c r="BJ252" s="9"/>
      <c r="BK252" s="4"/>
      <c r="BL252" s="9"/>
      <c r="BM252" s="4"/>
      <c r="BN252" s="9"/>
      <c r="BO252" s="4"/>
      <c r="BP252" s="9"/>
      <c r="BQ252" s="4"/>
      <c r="BR252" s="9"/>
      <c r="BS252" s="4"/>
      <c r="BT252" s="9"/>
      <c r="BU252" s="4"/>
      <c r="BV252" s="9"/>
      <c r="BW252" s="4"/>
      <c r="BX252" s="9"/>
      <c r="BY252" s="4"/>
      <c r="BZ252" s="9"/>
      <c r="CA252" s="4"/>
      <c r="CB252" s="9"/>
      <c r="CC252" s="4"/>
      <c r="CD252" s="9"/>
      <c r="CE252" s="4"/>
      <c r="CF252" s="9"/>
      <c r="CG252" s="4"/>
      <c r="CH252" s="9"/>
      <c r="CI252" s="4"/>
      <c r="CJ252" s="9"/>
      <c r="CK252" s="4"/>
      <c r="CL252" s="9"/>
      <c r="CM252" s="4"/>
      <c r="CN252" s="9"/>
      <c r="CO252" s="4"/>
      <c r="CP252" s="9"/>
      <c r="CQ252" s="4"/>
      <c r="CR252" s="9"/>
      <c r="CS252" s="4"/>
      <c r="CT252" s="9"/>
      <c r="CU252" s="4"/>
      <c r="CV252" s="9"/>
      <c r="CW252" s="4"/>
      <c r="CX252" s="9"/>
      <c r="CY252" s="4"/>
      <c r="CZ252" s="9"/>
      <c r="DA252" s="4"/>
      <c r="DB252" s="9"/>
      <c r="DC252" s="4"/>
      <c r="DD252" s="9"/>
      <c r="DE252" s="4"/>
      <c r="DF252" s="9"/>
      <c r="DG252" s="4"/>
      <c r="DH252" s="9"/>
      <c r="DI252" s="4"/>
      <c r="DJ252" s="9"/>
      <c r="DK252" s="4"/>
      <c r="DL252" s="9"/>
      <c r="DM252" s="4"/>
      <c r="DN252" s="9"/>
      <c r="DO252" s="4"/>
      <c r="DP252" s="9"/>
      <c r="DQ252" s="4"/>
      <c r="DR252" s="9"/>
      <c r="DS252" s="4"/>
      <c r="DT252" s="9"/>
      <c r="DU252" s="4"/>
      <c r="DV252" s="9"/>
      <c r="DW252" s="4"/>
      <c r="DX252" s="9"/>
      <c r="DY252" s="4"/>
      <c r="DZ252" s="9"/>
      <c r="EA252" s="4"/>
      <c r="EB252" s="9"/>
      <c r="EC252" s="4"/>
      <c r="ED252" s="9"/>
      <c r="EE252" s="4"/>
      <c r="EF252" s="9"/>
      <c r="EG252" s="4"/>
      <c r="EH252" s="9"/>
      <c r="EI252" s="4"/>
      <c r="EJ252" s="9"/>
      <c r="EK252" s="4"/>
      <c r="EL252" s="9"/>
      <c r="EM252" s="4"/>
      <c r="EN252" s="9"/>
      <c r="EO252" s="4"/>
      <c r="EP252" s="9"/>
      <c r="EQ252" s="4"/>
      <c r="ER252" s="9"/>
      <c r="ES252" s="4"/>
      <c r="ET252" s="9"/>
      <c r="EU252" s="4"/>
      <c r="EV252" s="9"/>
      <c r="EW252" s="4"/>
      <c r="EX252" s="9"/>
      <c r="EY252" s="4"/>
      <c r="EZ252" s="9"/>
      <c r="FA252" s="4"/>
      <c r="FB252" s="9"/>
      <c r="FC252" s="4"/>
      <c r="FD252" s="9"/>
      <c r="FE252" s="4"/>
      <c r="FF252" s="9"/>
      <c r="FG252" s="4"/>
      <c r="FH252" s="9"/>
      <c r="FI252" s="4"/>
      <c r="FJ252" s="9"/>
      <c r="FK252" s="4"/>
      <c r="FL252" s="9"/>
      <c r="FM252" s="4"/>
      <c r="FN252" s="9"/>
      <c r="FO252" s="4"/>
      <c r="FP252" s="9"/>
      <c r="FQ252" s="4"/>
      <c r="FR252" s="9"/>
      <c r="FS252" s="4"/>
      <c r="FT252" s="9"/>
      <c r="FU252" s="4"/>
      <c r="FV252" s="9"/>
      <c r="FW252" s="4"/>
      <c r="FX252" s="9"/>
      <c r="FY252" s="4"/>
      <c r="FZ252" s="9"/>
      <c r="GA252" s="4"/>
      <c r="GB252" s="9"/>
      <c r="GC252" s="4"/>
      <c r="GD252" s="9"/>
      <c r="GE252" s="4"/>
      <c r="GF252" s="9"/>
      <c r="GG252" s="4"/>
      <c r="GH252" s="9"/>
      <c r="GI252" s="4"/>
      <c r="GJ252" s="9"/>
      <c r="GK252" s="4"/>
      <c r="GL252" s="9"/>
      <c r="GM252" s="4"/>
      <c r="GN252" s="9"/>
      <c r="GO252" s="4"/>
      <c r="GP252" s="9"/>
      <c r="GQ252" s="4"/>
      <c r="GR252" s="9"/>
      <c r="GS252" s="4"/>
      <c r="GT252" s="9"/>
      <c r="GU252" s="4"/>
      <c r="GV252" s="9"/>
      <c r="GW252" s="4"/>
      <c r="GX252" s="9"/>
      <c r="GY252" s="4"/>
      <c r="GZ252" s="9"/>
      <c r="HA252" s="4"/>
      <c r="HB252" s="9"/>
      <c r="HC252" s="4"/>
      <c r="HD252" s="9"/>
      <c r="HE252" s="4"/>
      <c r="HF252" s="9"/>
      <c r="HG252" s="4"/>
      <c r="HH252" s="9"/>
      <c r="HI252" s="4"/>
      <c r="HJ252" s="9"/>
      <c r="HK252" s="4"/>
      <c r="HL252" s="9"/>
      <c r="HM252" s="4"/>
      <c r="HN252" s="9"/>
      <c r="HO252" s="4"/>
      <c r="HP252" s="9"/>
      <c r="HQ252" s="4"/>
      <c r="HR252" s="9"/>
      <c r="HS252" s="4"/>
      <c r="HT252" s="9"/>
      <c r="HU252" s="4"/>
      <c r="HV252" s="9"/>
      <c r="HW252" s="4"/>
      <c r="HX252" s="9"/>
      <c r="HY252" s="4"/>
      <c r="HZ252" s="9"/>
      <c r="IA252" s="4"/>
      <c r="IB252" s="9"/>
      <c r="IC252" s="4"/>
      <c r="ID252" s="9"/>
      <c r="IE252" s="4"/>
      <c r="IF252" s="9"/>
      <c r="IG252" s="4"/>
      <c r="IH252" s="9"/>
      <c r="II252" s="4"/>
      <c r="IJ252" s="9"/>
      <c r="IK252" s="4"/>
      <c r="IL252" s="9"/>
      <c r="IM252" s="4"/>
      <c r="IN252" s="9"/>
      <c r="IO252" s="4"/>
      <c r="IP252" s="9"/>
      <c r="IQ252" s="4"/>
      <c r="IR252" s="9"/>
      <c r="IS252" s="4"/>
      <c r="IT252" s="9"/>
      <c r="IU252" s="4"/>
      <c r="IV252" s="9"/>
      <c r="IW252" s="4"/>
      <c r="IX252" s="9"/>
      <c r="IY252" s="4"/>
      <c r="IZ252" s="9"/>
      <c r="JA252" s="4"/>
      <c r="JB252" s="9"/>
      <c r="JC252" s="4"/>
      <c r="JD252" s="9"/>
      <c r="JE252" s="4"/>
      <c r="JF252" s="9"/>
      <c r="JG252" s="4"/>
      <c r="JH252" s="9"/>
      <c r="JI252" s="4"/>
      <c r="JJ252" s="9"/>
      <c r="JK252" s="4"/>
      <c r="JL252" s="9"/>
      <c r="JM252" s="4"/>
      <c r="JN252" s="9"/>
      <c r="JO252" s="4"/>
      <c r="JP252" s="9"/>
      <c r="JQ252" s="4"/>
      <c r="JR252" s="9"/>
      <c r="JS252" s="4"/>
      <c r="JT252" s="9"/>
      <c r="JU252" s="4"/>
      <c r="JV252" s="9"/>
      <c r="JW252" s="4"/>
      <c r="JX252" s="9"/>
      <c r="JY252" s="4"/>
      <c r="JZ252" s="9"/>
      <c r="KA252" s="4"/>
      <c r="KB252" s="9"/>
      <c r="KC252" s="4"/>
      <c r="KD252" s="9"/>
      <c r="KE252" s="4"/>
      <c r="KF252" s="9"/>
      <c r="KG252" s="4"/>
      <c r="KH252" s="9"/>
      <c r="KI252" s="4"/>
      <c r="KJ252" s="9"/>
      <c r="KK252" s="4"/>
      <c r="KL252" s="9"/>
      <c r="KM252" s="4"/>
      <c r="KN252" s="9"/>
      <c r="KO252" s="4"/>
      <c r="KP252" s="9"/>
      <c r="KQ252" s="4"/>
      <c r="KR252" s="9"/>
      <c r="KS252" s="4"/>
      <c r="KT252" s="9"/>
      <c r="KU252" s="4"/>
      <c r="KV252" s="9"/>
      <c r="KW252" s="4"/>
      <c r="KX252" s="9"/>
      <c r="KY252" s="4"/>
      <c r="KZ252" s="9"/>
      <c r="LA252" s="4"/>
      <c r="LB252" s="9"/>
      <c r="LC252" s="4"/>
      <c r="LD252" s="9"/>
      <c r="LE252" s="4"/>
      <c r="LF252" s="9"/>
      <c r="LG252" s="4"/>
      <c r="LH252" s="9"/>
      <c r="LI252" s="4"/>
      <c r="LJ252" s="9"/>
      <c r="LK252" s="4"/>
      <c r="LL252" s="9"/>
      <c r="LM252" s="4"/>
      <c r="LN252" s="9"/>
      <c r="LO252" s="4"/>
      <c r="LP252" s="9"/>
      <c r="LQ252" s="4"/>
      <c r="LR252" s="9"/>
      <c r="LS252" s="4"/>
      <c r="LT252" s="9"/>
      <c r="LU252" s="4"/>
      <c r="LV252" s="9"/>
      <c r="LW252" s="4"/>
      <c r="LX252" s="9"/>
      <c r="LY252" s="4"/>
      <c r="LZ252" s="9"/>
      <c r="MA252" s="4"/>
      <c r="MB252" s="9"/>
      <c r="MC252" s="4"/>
      <c r="MD252" s="9"/>
      <c r="ME252" s="4"/>
      <c r="MF252" s="9"/>
      <c r="MG252" s="4"/>
      <c r="MH252" s="9"/>
      <c r="MI252" s="4"/>
      <c r="MJ252" s="9"/>
      <c r="MK252" s="4"/>
      <c r="ML252" s="9"/>
      <c r="MM252" s="4"/>
      <c r="MN252" s="9"/>
      <c r="MO252" s="4"/>
      <c r="MP252" s="9"/>
      <c r="MQ252" s="4"/>
      <c r="MR252" s="9"/>
      <c r="MS252" s="4"/>
      <c r="MT252" s="9"/>
      <c r="MU252" s="4"/>
      <c r="MV252" s="9"/>
      <c r="MW252" s="4"/>
      <c r="MX252" s="9"/>
      <c r="MY252" s="4"/>
      <c r="MZ252" s="9"/>
      <c r="NA252" s="4"/>
      <c r="NB252" s="9"/>
      <c r="NC252" s="4"/>
      <c r="ND252" s="9"/>
      <c r="NE252" s="4"/>
      <c r="NF252" s="9"/>
      <c r="NG252" s="4"/>
      <c r="NH252" s="9"/>
      <c r="NI252" s="4"/>
      <c r="NJ252" s="9"/>
      <c r="NK252" s="4"/>
      <c r="NL252" s="9"/>
      <c r="NM252" s="4"/>
      <c r="NN252" s="9"/>
      <c r="NO252" s="4"/>
      <c r="NP252" s="9"/>
      <c r="NQ252" s="4"/>
      <c r="NR252" s="9"/>
      <c r="NS252" s="4"/>
      <c r="NT252" s="9"/>
      <c r="NU252" s="4"/>
      <c r="NV252" s="9"/>
      <c r="NW252" s="4"/>
      <c r="NX252" s="9"/>
      <c r="NY252" s="4"/>
      <c r="NZ252" s="9"/>
      <c r="OA252" s="4"/>
      <c r="OB252" s="9"/>
      <c r="OC252" s="4"/>
      <c r="OD252" s="9"/>
      <c r="OE252" s="4"/>
      <c r="OF252" s="9"/>
      <c r="OG252" s="4"/>
      <c r="OH252" s="9"/>
      <c r="OI252" s="4"/>
      <c r="OJ252" s="9"/>
      <c r="OK252" s="4"/>
      <c r="OL252" s="9"/>
      <c r="OM252" s="4"/>
      <c r="ON252" s="9"/>
      <c r="OO252" s="4"/>
      <c r="OP252" s="9"/>
      <c r="OQ252" s="4"/>
      <c r="OR252" s="9"/>
      <c r="OS252" s="4"/>
      <c r="OT252" s="9"/>
      <c r="OU252" s="4"/>
      <c r="OV252" s="9"/>
      <c r="OW252" s="4"/>
      <c r="OX252" s="9"/>
      <c r="OY252" s="4"/>
      <c r="OZ252" s="9"/>
      <c r="PA252" s="4"/>
      <c r="PB252" s="9"/>
      <c r="PC252" s="4"/>
      <c r="PD252" s="9"/>
      <c r="PE252" s="4"/>
      <c r="PF252" s="9"/>
      <c r="PG252" s="4"/>
      <c r="PH252" s="9"/>
      <c r="PI252" s="4"/>
      <c r="PJ252" s="9"/>
      <c r="PK252" s="4"/>
      <c r="PL252" s="9"/>
      <c r="PM252" s="4"/>
      <c r="PN252" s="9"/>
      <c r="PO252" s="4"/>
      <c r="PP252" s="9"/>
      <c r="PQ252" s="4"/>
      <c r="PR252" s="9"/>
      <c r="PS252" s="4"/>
      <c r="PT252" s="9"/>
      <c r="PU252" s="4"/>
      <c r="PV252" s="9"/>
      <c r="PW252" s="4"/>
      <c r="PX252" s="9"/>
      <c r="PY252" s="4"/>
      <c r="PZ252" s="9"/>
      <c r="QA252" s="4"/>
      <c r="QB252" s="9"/>
      <c r="QC252" s="4"/>
      <c r="QD252" s="9"/>
      <c r="QE252" s="4"/>
      <c r="QF252" s="9"/>
      <c r="QG252" s="4"/>
      <c r="QH252" s="9"/>
      <c r="QI252" s="4"/>
      <c r="QJ252" s="9"/>
      <c r="QK252" s="4"/>
      <c r="QL252" s="9"/>
      <c r="QM252" s="4"/>
      <c r="QN252" s="9"/>
      <c r="QO252" s="4"/>
      <c r="QP252" s="9"/>
      <c r="QQ252" s="4"/>
      <c r="QR252" s="9"/>
      <c r="QS252" s="4"/>
      <c r="QT252" s="9"/>
      <c r="QU252" s="4"/>
      <c r="QV252" s="9"/>
      <c r="QW252" s="4"/>
      <c r="QX252" s="9"/>
      <c r="QY252" s="4"/>
      <c r="QZ252" s="9"/>
      <c r="RA252" s="4"/>
      <c r="RB252" s="9"/>
      <c r="RC252" s="4"/>
      <c r="RD252" s="9"/>
      <c r="RE252" s="4"/>
      <c r="RF252" s="9"/>
      <c r="RG252" s="4"/>
      <c r="RH252" s="9"/>
      <c r="RI252" s="4"/>
      <c r="RJ252" s="9"/>
      <c r="RK252" s="4"/>
      <c r="RL252" s="9"/>
      <c r="RM252" s="4"/>
      <c r="RN252" s="9"/>
      <c r="RO252" s="4"/>
      <c r="RP252" s="9"/>
      <c r="RQ252" s="4"/>
      <c r="RR252" s="9"/>
      <c r="RS252" s="4"/>
      <c r="RT252" s="9"/>
      <c r="RU252" s="4"/>
      <c r="RV252" s="9"/>
      <c r="RW252" s="4"/>
      <c r="RX252" s="9"/>
      <c r="RY252" s="4"/>
      <c r="RZ252" s="9"/>
      <c r="SA252" s="4"/>
      <c r="SB252" s="9"/>
      <c r="SC252" s="4"/>
      <c r="SD252" s="9"/>
      <c r="SE252" s="4"/>
      <c r="SF252" s="9"/>
      <c r="SG252" s="4"/>
      <c r="SH252" s="9"/>
      <c r="SI252" s="4"/>
      <c r="SJ252" s="9"/>
      <c r="SK252" s="4"/>
      <c r="SL252" s="9"/>
      <c r="SM252" s="4"/>
      <c r="SN252" s="9"/>
      <c r="SO252" s="4"/>
      <c r="SP252" s="9"/>
      <c r="SQ252" s="4"/>
      <c r="SR252" s="9"/>
      <c r="SS252" s="4"/>
      <c r="ST252" s="9"/>
      <c r="SU252" s="4"/>
      <c r="SV252" s="9"/>
      <c r="SW252" s="4"/>
      <c r="SX252" s="9"/>
      <c r="SY252" s="4"/>
      <c r="SZ252" s="9"/>
      <c r="TA252" s="4"/>
      <c r="TB252" s="9"/>
      <c r="TC252" s="4"/>
      <c r="TD252" s="9"/>
      <c r="TE252" s="4"/>
      <c r="TF252" s="9"/>
      <c r="TG252" s="4"/>
      <c r="TH252" s="9"/>
      <c r="TI252" s="4"/>
      <c r="TJ252" s="9"/>
      <c r="TK252" s="4"/>
      <c r="TL252" s="9"/>
      <c r="TM252" s="4"/>
      <c r="TN252" s="9"/>
      <c r="TO252" s="4"/>
      <c r="TP252" s="9"/>
      <c r="TQ252" s="4"/>
      <c r="TR252" s="9"/>
      <c r="TS252" s="4"/>
      <c r="TT252" s="9"/>
      <c r="TU252" s="4"/>
      <c r="TV252" s="9"/>
      <c r="TW252" s="4"/>
      <c r="TX252" s="9"/>
      <c r="TY252" s="4"/>
      <c r="TZ252" s="9"/>
      <c r="UA252" s="4"/>
      <c r="UB252" s="9"/>
      <c r="UC252" s="4"/>
      <c r="UD252" s="9"/>
      <c r="UE252" s="4"/>
      <c r="UF252" s="9"/>
      <c r="UG252" s="4"/>
      <c r="UH252" s="9"/>
      <c r="UI252" s="4"/>
      <c r="UJ252" s="9"/>
      <c r="UK252" s="4"/>
      <c r="UL252" s="9"/>
      <c r="UM252" s="4"/>
      <c r="UN252" s="9"/>
      <c r="UO252" s="4"/>
      <c r="UP252" s="9"/>
      <c r="UQ252" s="4"/>
      <c r="UR252" s="9"/>
      <c r="US252" s="4"/>
      <c r="UT252" s="9"/>
      <c r="UU252" s="4"/>
      <c r="UV252" s="9"/>
      <c r="UW252" s="4"/>
      <c r="UX252" s="9"/>
      <c r="UY252" s="4"/>
      <c r="UZ252" s="9"/>
      <c r="VA252" s="4"/>
      <c r="VB252" s="9"/>
      <c r="VC252" s="4"/>
      <c r="VD252" s="9"/>
      <c r="VE252" s="4"/>
      <c r="VF252" s="9"/>
      <c r="VG252" s="4"/>
      <c r="VH252" s="9"/>
      <c r="VI252" s="4"/>
      <c r="VJ252" s="9"/>
      <c r="VK252" s="4"/>
      <c r="VL252" s="9"/>
      <c r="VM252" s="4"/>
      <c r="VN252" s="9"/>
      <c r="VO252" s="4"/>
      <c r="VP252" s="9"/>
      <c r="VQ252" s="4"/>
      <c r="VR252" s="9"/>
      <c r="VS252" s="4"/>
      <c r="VT252" s="9"/>
      <c r="VU252" s="4"/>
      <c r="VV252" s="9"/>
      <c r="VW252" s="4"/>
      <c r="VX252" s="9"/>
      <c r="VY252" s="4"/>
      <c r="VZ252" s="9"/>
      <c r="WA252" s="4"/>
      <c r="WB252" s="9"/>
      <c r="WC252" s="4"/>
      <c r="WD252" s="9"/>
      <c r="WE252" s="4"/>
      <c r="WF252" s="9"/>
      <c r="WG252" s="4"/>
      <c r="WH252" s="9"/>
      <c r="WI252" s="4"/>
      <c r="WJ252" s="9"/>
      <c r="WK252" s="4"/>
      <c r="WL252" s="9"/>
      <c r="WM252" s="4"/>
      <c r="WN252" s="9"/>
      <c r="WO252" s="4"/>
      <c r="WP252" s="9"/>
      <c r="WQ252" s="4"/>
      <c r="WR252" s="9"/>
      <c r="WS252" s="4"/>
      <c r="WT252" s="9"/>
      <c r="WU252" s="4"/>
      <c r="WV252" s="9"/>
      <c r="WW252" s="4"/>
      <c r="WX252" s="9"/>
      <c r="WY252" s="4"/>
      <c r="WZ252" s="9"/>
      <c r="XA252" s="4"/>
      <c r="XB252" s="9"/>
      <c r="XC252" s="4"/>
      <c r="XD252" s="9"/>
      <c r="XE252" s="4"/>
      <c r="XF252" s="9"/>
      <c r="XG252" s="4"/>
      <c r="XH252" s="9"/>
      <c r="XI252" s="4"/>
      <c r="XJ252" s="9"/>
      <c r="XK252" s="4"/>
      <c r="XL252" s="9"/>
      <c r="XM252" s="4"/>
      <c r="XN252" s="9"/>
      <c r="XO252" s="4"/>
      <c r="XP252" s="9"/>
      <c r="XQ252" s="4"/>
      <c r="XR252" s="9"/>
      <c r="XS252" s="4"/>
      <c r="XT252" s="9"/>
      <c r="XU252" s="4"/>
      <c r="XV252" s="9"/>
      <c r="XW252" s="4"/>
      <c r="XX252" s="9"/>
      <c r="XY252" s="4"/>
      <c r="XZ252" s="9"/>
      <c r="YA252" s="4"/>
      <c r="YB252" s="9"/>
      <c r="YC252" s="4"/>
      <c r="YD252" s="9"/>
      <c r="YE252" s="4"/>
      <c r="YF252" s="9"/>
      <c r="YG252" s="4"/>
      <c r="YH252" s="9"/>
      <c r="YI252" s="4"/>
      <c r="YJ252" s="9"/>
      <c r="YK252" s="4"/>
      <c r="YL252" s="9"/>
      <c r="YM252" s="4"/>
      <c r="YN252" s="9"/>
      <c r="YO252" s="4"/>
      <c r="YP252" s="9"/>
      <c r="YQ252" s="4"/>
      <c r="YR252" s="9"/>
      <c r="YS252" s="4"/>
      <c r="YT252" s="9"/>
      <c r="YU252" s="4"/>
      <c r="YV252" s="9"/>
      <c r="YW252" s="4"/>
      <c r="YX252" s="9"/>
      <c r="YY252" s="4"/>
      <c r="YZ252" s="9"/>
      <c r="ZA252" s="4"/>
      <c r="ZB252" s="9"/>
      <c r="ZC252" s="4"/>
      <c r="ZD252" s="9"/>
      <c r="ZE252" s="4"/>
      <c r="ZF252" s="9"/>
      <c r="ZG252" s="4"/>
      <c r="ZH252" s="9"/>
      <c r="ZI252" s="4"/>
      <c r="ZJ252" s="9"/>
      <c r="ZK252" s="4"/>
      <c r="ZL252" s="9"/>
      <c r="ZM252" s="4"/>
      <c r="ZN252" s="9"/>
      <c r="ZO252" s="4"/>
      <c r="ZP252" s="9"/>
      <c r="ZQ252" s="4"/>
      <c r="ZR252" s="9"/>
      <c r="ZS252" s="4"/>
      <c r="ZT252" s="9"/>
      <c r="ZU252" s="4"/>
      <c r="ZV252" s="9"/>
      <c r="ZW252" s="4"/>
      <c r="ZX252" s="9"/>
      <c r="ZY252" s="4"/>
      <c r="ZZ252" s="9"/>
      <c r="AAA252" s="4"/>
      <c r="AAB252" s="9"/>
      <c r="AAC252" s="4"/>
      <c r="AAD252" s="9"/>
      <c r="AAE252" s="4"/>
      <c r="AAF252" s="9"/>
      <c r="AAG252" s="4"/>
      <c r="AAH252" s="9"/>
      <c r="AAI252" s="4"/>
      <c r="AAJ252" s="9"/>
      <c r="AAK252" s="4"/>
      <c r="AAL252" s="9"/>
      <c r="AAM252" s="4"/>
      <c r="AAN252" s="9"/>
      <c r="AAO252" s="4"/>
      <c r="AAP252" s="9"/>
      <c r="AAQ252" s="4"/>
      <c r="AAR252" s="9"/>
      <c r="AAS252" s="4"/>
      <c r="AAT252" s="9"/>
      <c r="AAU252" s="4"/>
      <c r="AAV252" s="9"/>
      <c r="AAW252" s="4"/>
      <c r="AAX252" s="9"/>
      <c r="AAY252" s="4"/>
      <c r="AAZ252" s="9"/>
      <c r="ABA252" s="4"/>
      <c r="ABB252" s="9"/>
      <c r="ABC252" s="4"/>
      <c r="ABD252" s="9"/>
      <c r="ABE252" s="4"/>
      <c r="ABF252" s="9"/>
      <c r="ABG252" s="4"/>
      <c r="ABH252" s="9"/>
      <c r="ABI252" s="4"/>
      <c r="ABJ252" s="9"/>
      <c r="ABK252" s="4"/>
      <c r="ABL252" s="9"/>
      <c r="ABM252" s="4"/>
      <c r="ABN252" s="9"/>
      <c r="ABO252" s="4"/>
      <c r="ABP252" s="9"/>
      <c r="ABQ252" s="4"/>
      <c r="ABR252" s="9"/>
      <c r="ABS252" s="4"/>
      <c r="ABT252" s="9"/>
      <c r="ABU252" s="4"/>
      <c r="ABV252" s="9"/>
      <c r="ABW252" s="4"/>
      <c r="ABX252" s="9"/>
      <c r="ABY252" s="4"/>
      <c r="ABZ252" s="9"/>
      <c r="ACA252" s="4"/>
      <c r="ACB252" s="9"/>
      <c r="ACC252" s="4"/>
      <c r="ACD252" s="9"/>
      <c r="ACE252" s="4"/>
      <c r="ACF252" s="9"/>
      <c r="ACG252" s="4"/>
      <c r="ACH252" s="9"/>
      <c r="ACI252" s="4"/>
      <c r="ACJ252" s="9"/>
      <c r="ACK252" s="4"/>
      <c r="ACL252" s="9"/>
      <c r="ACM252" s="4"/>
      <c r="ACN252" s="9"/>
      <c r="ACO252" s="4"/>
      <c r="ACP252" s="9"/>
      <c r="ACQ252" s="4"/>
      <c r="ACR252" s="9"/>
      <c r="ACS252" s="4"/>
      <c r="ACT252" s="9"/>
      <c r="ACU252" s="4"/>
      <c r="ACV252" s="9"/>
      <c r="ACW252" s="4"/>
      <c r="ACX252" s="9"/>
      <c r="ACY252" s="4"/>
      <c r="ACZ252" s="9"/>
      <c r="ADA252" s="4"/>
      <c r="ADB252" s="9"/>
      <c r="ADC252" s="4"/>
      <c r="ADD252" s="9"/>
      <c r="ADE252" s="4"/>
      <c r="ADF252" s="9"/>
      <c r="ADG252" s="4"/>
      <c r="ADH252" s="9"/>
      <c r="ADI252" s="4"/>
      <c r="ADJ252" s="9"/>
      <c r="ADK252" s="4"/>
      <c r="ADL252" s="9"/>
      <c r="ADM252" s="4"/>
      <c r="ADN252" s="9"/>
      <c r="ADO252" s="4"/>
      <c r="ADP252" s="9"/>
      <c r="ADQ252" s="4"/>
      <c r="ADR252" s="9"/>
      <c r="ADS252" s="4"/>
      <c r="ADT252" s="9"/>
      <c r="ADU252" s="4"/>
      <c r="ADV252" s="9"/>
      <c r="ADW252" s="4"/>
      <c r="ADX252" s="9"/>
      <c r="ADY252" s="4"/>
      <c r="ADZ252" s="9"/>
      <c r="AEA252" s="4"/>
      <c r="AEB252" s="9"/>
      <c r="AEC252" s="4"/>
      <c r="AED252" s="9"/>
      <c r="AEE252" s="4"/>
      <c r="AEF252" s="9"/>
      <c r="AEG252" s="4"/>
      <c r="AEH252" s="9"/>
      <c r="AEI252" s="4"/>
      <c r="AEJ252" s="9"/>
      <c r="AEK252" s="4"/>
      <c r="AEL252" s="9"/>
      <c r="AEM252" s="4"/>
      <c r="AEN252" s="9"/>
      <c r="AEO252" s="4"/>
      <c r="AEP252" s="9"/>
      <c r="AEQ252" s="4"/>
      <c r="AER252" s="9"/>
      <c r="AES252" s="4"/>
      <c r="AET252" s="9"/>
      <c r="AEU252" s="4"/>
      <c r="AEV252" s="9"/>
      <c r="AEW252" s="4"/>
      <c r="AEX252" s="9"/>
      <c r="AEY252" s="4"/>
      <c r="AEZ252" s="9"/>
      <c r="AFA252" s="4"/>
      <c r="AFB252" s="9"/>
      <c r="AFC252" s="4"/>
      <c r="AFD252" s="9"/>
      <c r="AFE252" s="4"/>
      <c r="AFF252" s="9"/>
      <c r="AFG252" s="4"/>
      <c r="AFH252" s="9"/>
      <c r="AFI252" s="4"/>
      <c r="AFJ252" s="9"/>
      <c r="AFK252" s="4"/>
      <c r="AFL252" s="9"/>
      <c r="AFM252" s="4"/>
      <c r="AFN252" s="9"/>
      <c r="AFO252" s="4"/>
      <c r="AFP252" s="9"/>
      <c r="AFQ252" s="4"/>
      <c r="AFR252" s="9"/>
      <c r="AFS252" s="4"/>
      <c r="AFT252" s="9"/>
      <c r="AFU252" s="4"/>
      <c r="AFV252" s="9"/>
      <c r="AFW252" s="4"/>
      <c r="AFX252" s="9"/>
      <c r="AFY252" s="4"/>
      <c r="AFZ252" s="9"/>
      <c r="AGA252" s="4"/>
      <c r="AGB252" s="9"/>
      <c r="AGC252" s="4"/>
      <c r="AGD252" s="9"/>
      <c r="AGE252" s="4"/>
      <c r="AGF252" s="9"/>
      <c r="AGG252" s="4"/>
      <c r="AGH252" s="9"/>
      <c r="AGI252" s="4"/>
      <c r="AGJ252" s="9"/>
      <c r="AGK252" s="4"/>
      <c r="AGL252" s="9"/>
      <c r="AGM252" s="4"/>
      <c r="AGN252" s="9"/>
      <c r="AGO252" s="4"/>
      <c r="AGP252" s="9"/>
      <c r="AGQ252" s="4"/>
      <c r="AGR252" s="9"/>
      <c r="AGS252" s="4"/>
      <c r="AGT252" s="9"/>
      <c r="AGU252" s="4"/>
      <c r="AGV252" s="9"/>
      <c r="AGW252" s="4"/>
      <c r="AGX252" s="9"/>
      <c r="AGY252" s="4"/>
      <c r="AGZ252" s="9"/>
      <c r="AHA252" s="4"/>
      <c r="AHB252" s="9"/>
      <c r="AHC252" s="4"/>
      <c r="AHD252" s="9"/>
      <c r="AHE252" s="4"/>
      <c r="AHF252" s="9"/>
      <c r="AHG252" s="4"/>
      <c r="AHH252" s="9"/>
      <c r="AHI252" s="4"/>
      <c r="AHJ252" s="9"/>
      <c r="AHK252" s="4"/>
      <c r="AHL252" s="9"/>
      <c r="AHM252" s="4"/>
      <c r="AHN252" s="9"/>
      <c r="AHO252" s="4"/>
      <c r="AHP252" s="9"/>
      <c r="AHQ252" s="4"/>
      <c r="AHR252" s="9"/>
      <c r="AHS252" s="4"/>
      <c r="AHT252" s="9"/>
      <c r="AHU252" s="4"/>
      <c r="AHV252" s="9"/>
      <c r="AHW252" s="4"/>
      <c r="AHX252" s="9"/>
      <c r="AHY252" s="4"/>
      <c r="AHZ252" s="9"/>
      <c r="AIA252" s="4"/>
      <c r="AIB252" s="9"/>
      <c r="AIC252" s="4"/>
      <c r="AID252" s="9"/>
      <c r="AIE252" s="4"/>
      <c r="AIF252" s="9"/>
      <c r="AIG252" s="4"/>
      <c r="AIH252" s="9"/>
      <c r="AII252" s="4"/>
      <c r="AIJ252" s="9"/>
      <c r="AIK252" s="4"/>
      <c r="AIL252" s="9"/>
      <c r="AIM252" s="4"/>
      <c r="AIN252" s="9"/>
      <c r="AIO252" s="4"/>
      <c r="AIP252" s="9"/>
      <c r="AIQ252" s="4"/>
      <c r="AIR252" s="9"/>
      <c r="AIS252" s="4"/>
      <c r="AIT252" s="9"/>
      <c r="AIU252" s="4"/>
      <c r="AIV252" s="9"/>
      <c r="AIW252" s="4"/>
      <c r="AIX252" s="9"/>
      <c r="AIY252" s="4"/>
      <c r="AIZ252" s="9"/>
      <c r="AJA252" s="4"/>
      <c r="AJB252" s="9"/>
      <c r="AJC252" s="4"/>
      <c r="AJD252" s="9"/>
      <c r="AJE252" s="4"/>
      <c r="AJF252" s="9"/>
      <c r="AJG252" s="4"/>
      <c r="AJH252" s="9"/>
      <c r="AJI252" s="4"/>
      <c r="AJJ252" s="9"/>
      <c r="AJK252" s="4"/>
      <c r="AJL252" s="9"/>
      <c r="AJM252" s="4"/>
      <c r="AJN252" s="9"/>
      <c r="AJO252" s="4"/>
      <c r="AJP252" s="9"/>
      <c r="AJQ252" s="4"/>
      <c r="AJR252" s="9"/>
      <c r="AJS252" s="4"/>
      <c r="AJT252" s="9"/>
      <c r="AJU252" s="4"/>
      <c r="AJV252" s="9"/>
      <c r="AJW252" s="4"/>
      <c r="AJX252" s="9"/>
      <c r="AJY252" s="4"/>
      <c r="AJZ252" s="9"/>
      <c r="AKA252" s="4"/>
      <c r="AKB252" s="9"/>
      <c r="AKC252" s="4"/>
      <c r="AKD252" s="9"/>
      <c r="AKE252" s="4"/>
      <c r="AKF252" s="9"/>
      <c r="AKG252" s="4"/>
      <c r="AKH252" s="9"/>
      <c r="AKI252" s="4"/>
      <c r="AKJ252" s="9"/>
      <c r="AKK252" s="4"/>
      <c r="AKL252" s="9"/>
      <c r="AKM252" s="4"/>
      <c r="AKN252" s="9"/>
      <c r="AKO252" s="4"/>
      <c r="AKP252" s="9"/>
      <c r="AKQ252" s="4"/>
      <c r="AKR252" s="9"/>
      <c r="AKS252" s="4"/>
      <c r="AKT252" s="9"/>
      <c r="AKU252" s="4"/>
      <c r="AKV252" s="9"/>
      <c r="AKW252" s="4"/>
      <c r="AKX252" s="9"/>
      <c r="AKY252" s="4"/>
      <c r="AKZ252" s="9"/>
      <c r="ALA252" s="4"/>
      <c r="ALB252" s="9"/>
      <c r="ALC252" s="4"/>
      <c r="ALD252" s="9"/>
      <c r="ALE252" s="4"/>
      <c r="ALF252" s="9"/>
      <c r="ALG252" s="4"/>
      <c r="ALH252" s="9"/>
      <c r="ALI252" s="4"/>
      <c r="ALJ252" s="9"/>
      <c r="ALK252" s="4"/>
      <c r="ALL252" s="9"/>
      <c r="ALM252" s="4"/>
      <c r="ALN252" s="9"/>
      <c r="ALO252" s="4"/>
      <c r="ALP252" s="9"/>
      <c r="ALQ252" s="4"/>
      <c r="ALR252" s="9"/>
      <c r="ALS252" s="4"/>
      <c r="ALT252" s="9"/>
      <c r="ALU252" s="4"/>
      <c r="ALV252" s="9"/>
      <c r="ALW252" s="4"/>
      <c r="ALX252" s="9"/>
      <c r="ALY252" s="4"/>
      <c r="ALZ252" s="9"/>
      <c r="AMA252" s="4"/>
      <c r="AMB252" s="9"/>
      <c r="AMC252" s="4"/>
      <c r="AMD252" s="9"/>
      <c r="AME252" s="4"/>
      <c r="AMF252" s="9"/>
      <c r="AMG252" s="4"/>
      <c r="AMH252" s="9"/>
      <c r="AMI252" s="4"/>
      <c r="AMJ252" s="9"/>
      <c r="AMK252" s="4"/>
      <c r="AML252" s="9"/>
      <c r="AMM252" s="4"/>
      <c r="AMN252" s="9"/>
      <c r="AMO252" s="4"/>
      <c r="AMP252" s="9"/>
      <c r="AMQ252" s="4"/>
      <c r="AMR252" s="9"/>
      <c r="AMS252" s="4"/>
      <c r="AMT252" s="9"/>
      <c r="AMU252" s="4"/>
      <c r="AMV252" s="9"/>
      <c r="AMW252" s="4"/>
      <c r="AMX252" s="9"/>
      <c r="AMY252" s="4"/>
      <c r="AMZ252" s="9"/>
      <c r="ANA252" s="4"/>
      <c r="ANB252" s="9"/>
      <c r="ANC252" s="4"/>
      <c r="AND252" s="9"/>
      <c r="ANE252" s="4"/>
      <c r="ANF252" s="9"/>
      <c r="ANG252" s="4"/>
      <c r="ANH252" s="9"/>
      <c r="ANI252" s="4"/>
      <c r="ANJ252" s="9"/>
      <c r="ANK252" s="4"/>
      <c r="ANL252" s="9"/>
      <c r="ANM252" s="4"/>
      <c r="ANN252" s="9"/>
      <c r="ANO252" s="4"/>
      <c r="ANP252" s="9"/>
      <c r="ANQ252" s="4"/>
      <c r="ANR252" s="9"/>
      <c r="ANS252" s="4"/>
      <c r="ANT252" s="9"/>
      <c r="ANU252" s="4"/>
      <c r="ANV252" s="9"/>
      <c r="ANW252" s="4"/>
      <c r="ANX252" s="9"/>
      <c r="ANY252" s="4"/>
      <c r="ANZ252" s="9"/>
      <c r="AOA252" s="4"/>
      <c r="AOB252" s="9"/>
      <c r="AOC252" s="4"/>
      <c r="AOD252" s="9"/>
      <c r="AOE252" s="4"/>
      <c r="AOF252" s="9"/>
      <c r="AOG252" s="4"/>
      <c r="AOH252" s="9"/>
      <c r="AOI252" s="4"/>
      <c r="AOJ252" s="9"/>
      <c r="AOK252" s="4"/>
      <c r="AOL252" s="9"/>
      <c r="AOM252" s="4"/>
      <c r="AON252" s="9"/>
      <c r="AOO252" s="4"/>
      <c r="AOP252" s="9"/>
      <c r="AOQ252" s="4"/>
      <c r="AOR252" s="9"/>
      <c r="AOS252" s="4"/>
      <c r="AOT252" s="9"/>
      <c r="AOU252" s="4"/>
      <c r="AOV252" s="9"/>
      <c r="AOW252" s="4"/>
      <c r="AOX252" s="9"/>
      <c r="AOY252" s="4"/>
      <c r="AOZ252" s="9"/>
      <c r="APA252" s="4"/>
      <c r="APB252" s="9"/>
      <c r="APC252" s="4"/>
      <c r="APD252" s="9"/>
      <c r="APE252" s="4"/>
      <c r="APF252" s="9"/>
      <c r="APG252" s="4"/>
      <c r="APH252" s="9"/>
      <c r="API252" s="4"/>
      <c r="APJ252" s="9"/>
      <c r="APK252" s="4"/>
      <c r="APL252" s="9"/>
      <c r="APM252" s="4"/>
      <c r="APN252" s="9"/>
      <c r="APO252" s="4"/>
      <c r="APP252" s="9"/>
      <c r="APQ252" s="4"/>
      <c r="APR252" s="9"/>
      <c r="APS252" s="4"/>
      <c r="APT252" s="9"/>
      <c r="APU252" s="4"/>
      <c r="APV252" s="9"/>
      <c r="APW252" s="4"/>
      <c r="APX252" s="9"/>
      <c r="APY252" s="4"/>
      <c r="APZ252" s="9"/>
      <c r="AQA252" s="4"/>
      <c r="AQB252" s="9"/>
      <c r="AQC252" s="4"/>
      <c r="AQD252" s="9"/>
      <c r="AQE252" s="4"/>
      <c r="AQF252" s="9"/>
      <c r="AQG252" s="4"/>
      <c r="AQH252" s="9"/>
      <c r="AQI252" s="4"/>
      <c r="AQJ252" s="9"/>
      <c r="AQK252" s="4"/>
      <c r="AQL252" s="9"/>
      <c r="AQM252" s="4"/>
      <c r="AQN252" s="9"/>
      <c r="AQO252" s="4"/>
      <c r="AQP252" s="9"/>
      <c r="AQQ252" s="4"/>
      <c r="AQR252" s="9"/>
      <c r="AQS252" s="4"/>
      <c r="AQT252" s="9"/>
      <c r="AQU252" s="4"/>
      <c r="AQV252" s="9"/>
      <c r="AQW252" s="4"/>
      <c r="AQX252" s="9"/>
      <c r="AQY252" s="4"/>
      <c r="AQZ252" s="9"/>
      <c r="ARA252" s="4"/>
      <c r="ARB252" s="9"/>
      <c r="ARC252" s="4"/>
      <c r="ARD252" s="9"/>
      <c r="ARE252" s="4"/>
      <c r="ARF252" s="9"/>
      <c r="ARG252" s="4"/>
      <c r="ARH252" s="9"/>
      <c r="ARI252" s="4"/>
      <c r="ARJ252" s="9"/>
      <c r="ARK252" s="4"/>
      <c r="ARL252" s="9"/>
      <c r="ARM252" s="4"/>
      <c r="ARN252" s="9"/>
      <c r="ARO252" s="4"/>
      <c r="ARP252" s="9"/>
      <c r="ARQ252" s="4"/>
      <c r="ARR252" s="9"/>
      <c r="ARS252" s="4"/>
      <c r="ART252" s="9"/>
      <c r="ARU252" s="4"/>
      <c r="ARV252" s="9"/>
      <c r="ARW252" s="4"/>
      <c r="ARX252" s="9"/>
      <c r="ARY252" s="4"/>
      <c r="ARZ252" s="9"/>
      <c r="ASA252" s="4"/>
      <c r="ASB252" s="9"/>
      <c r="ASC252" s="4"/>
      <c r="ASD252" s="9"/>
      <c r="ASE252" s="4"/>
      <c r="ASF252" s="9"/>
      <c r="ASG252" s="4"/>
      <c r="ASH252" s="9"/>
      <c r="ASI252" s="4"/>
      <c r="ASJ252" s="9"/>
      <c r="ASK252" s="4"/>
      <c r="ASL252" s="9"/>
      <c r="ASM252" s="4"/>
      <c r="ASN252" s="9"/>
      <c r="ASO252" s="4"/>
      <c r="ASP252" s="9"/>
      <c r="ASQ252" s="4"/>
      <c r="ASR252" s="9"/>
      <c r="ASS252" s="4"/>
      <c r="AST252" s="9"/>
      <c r="ASU252" s="4"/>
      <c r="ASV252" s="9"/>
      <c r="ASW252" s="4"/>
      <c r="ASX252" s="9"/>
      <c r="ASY252" s="4"/>
      <c r="ASZ252" s="9"/>
      <c r="ATA252" s="4"/>
      <c r="ATB252" s="9"/>
      <c r="ATC252" s="4"/>
      <c r="ATD252" s="9"/>
      <c r="ATE252" s="4"/>
      <c r="ATF252" s="9"/>
      <c r="ATG252" s="4"/>
      <c r="ATH252" s="9"/>
      <c r="ATI252" s="4"/>
      <c r="ATJ252" s="9"/>
      <c r="ATK252" s="4"/>
      <c r="ATL252" s="9"/>
      <c r="ATM252" s="4"/>
      <c r="ATN252" s="9"/>
      <c r="ATO252" s="4"/>
      <c r="ATP252" s="9"/>
      <c r="ATQ252" s="4"/>
      <c r="ATR252" s="9"/>
      <c r="ATS252" s="4"/>
      <c r="ATT252" s="9"/>
      <c r="ATU252" s="4"/>
      <c r="ATV252" s="9"/>
      <c r="ATW252" s="4"/>
      <c r="ATX252" s="9"/>
      <c r="ATY252" s="4"/>
      <c r="ATZ252" s="9"/>
      <c r="AUA252" s="4"/>
      <c r="AUB252" s="9"/>
      <c r="AUC252" s="4"/>
      <c r="AUD252" s="9"/>
      <c r="AUE252" s="4"/>
      <c r="AUF252" s="9"/>
      <c r="AUG252" s="4"/>
      <c r="AUH252" s="9"/>
      <c r="AUI252" s="4"/>
      <c r="AUJ252" s="9"/>
      <c r="AUK252" s="4"/>
      <c r="AUL252" s="9"/>
      <c r="AUM252" s="4"/>
      <c r="AUN252" s="9"/>
      <c r="AUO252" s="4"/>
      <c r="AUP252" s="9"/>
      <c r="AUQ252" s="4"/>
      <c r="AUR252" s="9"/>
      <c r="AUS252" s="4"/>
      <c r="AUT252" s="9"/>
      <c r="AUU252" s="4"/>
      <c r="AUV252" s="9"/>
      <c r="AUW252" s="4"/>
      <c r="AUX252" s="9"/>
      <c r="AUY252" s="4"/>
      <c r="AUZ252" s="9"/>
      <c r="AVA252" s="4"/>
      <c r="AVB252" s="9"/>
      <c r="AVC252" s="4"/>
      <c r="AVD252" s="9"/>
      <c r="AVE252" s="4"/>
      <c r="AVF252" s="9"/>
      <c r="AVG252" s="4"/>
      <c r="AVH252" s="9"/>
      <c r="AVI252" s="4"/>
      <c r="AVJ252" s="9"/>
      <c r="AVK252" s="4"/>
      <c r="AVL252" s="9"/>
      <c r="AVM252" s="4"/>
      <c r="AVN252" s="9"/>
      <c r="AVO252" s="4"/>
      <c r="AVP252" s="9"/>
      <c r="AVQ252" s="4"/>
      <c r="AVR252" s="9"/>
      <c r="AVS252" s="4"/>
      <c r="AVT252" s="9"/>
      <c r="AVU252" s="4"/>
      <c r="AVV252" s="9"/>
      <c r="AVW252" s="4"/>
      <c r="AVX252" s="9"/>
      <c r="AVY252" s="4"/>
      <c r="AVZ252" s="9"/>
      <c r="AWA252" s="4"/>
      <c r="AWB252" s="9"/>
      <c r="AWC252" s="4"/>
      <c r="AWD252" s="9"/>
      <c r="AWE252" s="4"/>
      <c r="AWF252" s="9"/>
      <c r="AWG252" s="4"/>
      <c r="AWH252" s="9"/>
      <c r="AWI252" s="4"/>
      <c r="AWJ252" s="9"/>
      <c r="AWK252" s="4"/>
      <c r="AWL252" s="9"/>
      <c r="AWM252" s="4"/>
      <c r="AWN252" s="9"/>
      <c r="AWO252" s="4"/>
      <c r="AWP252" s="9"/>
      <c r="AWQ252" s="4"/>
      <c r="AWR252" s="9"/>
      <c r="AWS252" s="4"/>
      <c r="AWT252" s="9"/>
      <c r="AWU252" s="4"/>
      <c r="AWV252" s="9"/>
      <c r="AWW252" s="4"/>
      <c r="AWX252" s="9"/>
      <c r="AWY252" s="4"/>
      <c r="AWZ252" s="9"/>
      <c r="AXA252" s="4"/>
      <c r="AXB252" s="9"/>
      <c r="AXC252" s="4"/>
      <c r="AXD252" s="9"/>
      <c r="AXE252" s="4"/>
      <c r="AXF252" s="9"/>
      <c r="AXG252" s="4"/>
      <c r="AXH252" s="9"/>
      <c r="AXI252" s="4"/>
      <c r="AXJ252" s="9"/>
      <c r="AXK252" s="4"/>
      <c r="AXL252" s="9"/>
      <c r="AXM252" s="4"/>
      <c r="AXN252" s="9"/>
      <c r="AXO252" s="4"/>
      <c r="AXP252" s="9"/>
      <c r="AXQ252" s="4"/>
      <c r="AXR252" s="9"/>
      <c r="AXS252" s="4"/>
      <c r="AXT252" s="9"/>
      <c r="AXU252" s="4"/>
      <c r="AXV252" s="9"/>
      <c r="AXW252" s="4"/>
      <c r="AXX252" s="9"/>
      <c r="AXY252" s="4"/>
      <c r="AXZ252" s="9"/>
      <c r="AYA252" s="4"/>
      <c r="AYB252" s="9"/>
      <c r="AYC252" s="4"/>
      <c r="AYD252" s="9"/>
      <c r="AYE252" s="4"/>
      <c r="AYF252" s="9"/>
      <c r="AYG252" s="4"/>
      <c r="AYH252" s="9"/>
      <c r="AYI252" s="4"/>
      <c r="AYJ252" s="9"/>
      <c r="AYK252" s="4"/>
      <c r="AYL252" s="9"/>
      <c r="AYM252" s="4"/>
      <c r="AYN252" s="9"/>
      <c r="AYO252" s="4"/>
      <c r="AYP252" s="9"/>
      <c r="AYQ252" s="4"/>
      <c r="AYR252" s="9"/>
      <c r="AYS252" s="4"/>
      <c r="AYT252" s="9"/>
      <c r="AYU252" s="4"/>
      <c r="AYV252" s="9"/>
      <c r="AYW252" s="4"/>
      <c r="AYX252" s="9"/>
      <c r="AYY252" s="4"/>
      <c r="AYZ252" s="9"/>
      <c r="AZA252" s="4"/>
      <c r="AZB252" s="9"/>
      <c r="AZC252" s="4"/>
      <c r="AZD252" s="9"/>
      <c r="AZE252" s="4"/>
      <c r="AZF252" s="9"/>
      <c r="AZG252" s="4"/>
      <c r="AZH252" s="9"/>
      <c r="AZI252" s="4"/>
      <c r="AZJ252" s="9"/>
      <c r="AZK252" s="4"/>
      <c r="AZL252" s="9"/>
      <c r="AZM252" s="4"/>
      <c r="AZN252" s="9"/>
      <c r="AZO252" s="4"/>
      <c r="AZP252" s="9"/>
      <c r="AZQ252" s="4"/>
      <c r="AZR252" s="9"/>
      <c r="AZS252" s="4"/>
      <c r="AZT252" s="9"/>
      <c r="AZU252" s="4"/>
      <c r="AZV252" s="9"/>
      <c r="AZW252" s="4"/>
      <c r="AZX252" s="9"/>
      <c r="AZY252" s="4"/>
      <c r="AZZ252" s="9"/>
      <c r="BAA252" s="4"/>
      <c r="BAB252" s="9"/>
      <c r="BAC252" s="4"/>
      <c r="BAD252" s="9"/>
      <c r="BAE252" s="4"/>
      <c r="BAF252" s="9"/>
      <c r="BAG252" s="4"/>
      <c r="BAH252" s="9"/>
      <c r="BAI252" s="4"/>
      <c r="BAJ252" s="9"/>
      <c r="BAK252" s="4"/>
      <c r="BAL252" s="9"/>
      <c r="BAM252" s="4"/>
      <c r="BAN252" s="9"/>
      <c r="BAO252" s="4"/>
      <c r="BAP252" s="9"/>
      <c r="BAQ252" s="4"/>
      <c r="BAR252" s="9"/>
      <c r="BAS252" s="4"/>
      <c r="BAT252" s="9"/>
      <c r="BAU252" s="4"/>
      <c r="BAV252" s="9"/>
      <c r="BAW252" s="4"/>
      <c r="BAX252" s="9"/>
      <c r="BAY252" s="4"/>
      <c r="BAZ252" s="9"/>
      <c r="BBA252" s="4"/>
      <c r="BBB252" s="9"/>
      <c r="BBC252" s="4"/>
      <c r="BBD252" s="9"/>
      <c r="BBE252" s="4"/>
      <c r="BBF252" s="9"/>
      <c r="BBG252" s="4"/>
      <c r="BBH252" s="9"/>
      <c r="BBI252" s="4"/>
      <c r="BBJ252" s="9"/>
      <c r="BBK252" s="4"/>
      <c r="BBL252" s="9"/>
      <c r="BBM252" s="4"/>
      <c r="BBN252" s="9"/>
      <c r="BBO252" s="4"/>
      <c r="BBP252" s="9"/>
      <c r="BBQ252" s="4"/>
      <c r="BBR252" s="9"/>
      <c r="BBS252" s="4"/>
      <c r="BBT252" s="9"/>
      <c r="BBU252" s="4"/>
      <c r="BBV252" s="9"/>
      <c r="BBW252" s="4"/>
      <c r="BBX252" s="9"/>
      <c r="BBY252" s="4"/>
      <c r="BBZ252" s="9"/>
      <c r="BCA252" s="4"/>
      <c r="BCB252" s="9"/>
      <c r="BCC252" s="4"/>
      <c r="BCD252" s="9"/>
      <c r="BCE252" s="4"/>
      <c r="BCF252" s="9"/>
      <c r="BCG252" s="4"/>
      <c r="BCH252" s="9"/>
      <c r="BCI252" s="4"/>
      <c r="BCJ252" s="9"/>
      <c r="BCK252" s="4"/>
      <c r="BCL252" s="9"/>
      <c r="BCM252" s="4"/>
      <c r="BCN252" s="9"/>
      <c r="BCO252" s="4"/>
      <c r="BCP252" s="9"/>
      <c r="BCQ252" s="4"/>
      <c r="BCR252" s="9"/>
      <c r="BCS252" s="4"/>
      <c r="BCT252" s="9"/>
      <c r="BCU252" s="4"/>
      <c r="BCV252" s="9"/>
      <c r="BCW252" s="4"/>
      <c r="BCX252" s="9"/>
      <c r="BCY252" s="4"/>
      <c r="BCZ252" s="9"/>
      <c r="BDA252" s="4"/>
      <c r="BDB252" s="9"/>
      <c r="BDC252" s="4"/>
      <c r="BDD252" s="9"/>
      <c r="BDE252" s="4"/>
      <c r="BDF252" s="9"/>
      <c r="BDG252" s="4"/>
      <c r="BDH252" s="9"/>
      <c r="BDI252" s="4"/>
      <c r="BDJ252" s="9"/>
      <c r="BDK252" s="4"/>
      <c r="BDL252" s="9"/>
      <c r="BDM252" s="4"/>
      <c r="BDN252" s="9"/>
      <c r="BDO252" s="4"/>
      <c r="BDP252" s="9"/>
      <c r="BDQ252" s="4"/>
      <c r="BDR252" s="9"/>
      <c r="BDS252" s="4"/>
      <c r="BDT252" s="9"/>
      <c r="BDU252" s="4"/>
      <c r="BDV252" s="9"/>
      <c r="BDW252" s="4"/>
      <c r="BDX252" s="9"/>
      <c r="BDY252" s="4"/>
      <c r="BDZ252" s="9"/>
      <c r="BEA252" s="4"/>
      <c r="BEB252" s="9"/>
      <c r="BEC252" s="4"/>
      <c r="BED252" s="9"/>
      <c r="BEE252" s="4"/>
      <c r="BEF252" s="9"/>
      <c r="BEG252" s="4"/>
      <c r="BEH252" s="9"/>
      <c r="BEI252" s="4"/>
      <c r="BEJ252" s="9"/>
      <c r="BEK252" s="4"/>
      <c r="BEL252" s="9"/>
      <c r="BEM252" s="4"/>
      <c r="BEN252" s="9"/>
      <c r="BEO252" s="4"/>
      <c r="BEP252" s="9"/>
      <c r="BEQ252" s="4"/>
      <c r="BER252" s="9"/>
      <c r="BES252" s="4"/>
      <c r="BET252" s="9"/>
      <c r="BEU252" s="4"/>
      <c r="BEV252" s="9"/>
      <c r="BEW252" s="4"/>
      <c r="BEX252" s="9"/>
      <c r="BEY252" s="4"/>
      <c r="BEZ252" s="9"/>
      <c r="BFA252" s="4"/>
      <c r="BFB252" s="9"/>
      <c r="BFC252" s="4"/>
      <c r="BFD252" s="9"/>
      <c r="BFE252" s="4"/>
      <c r="BFF252" s="9"/>
      <c r="BFG252" s="4"/>
      <c r="BFH252" s="9"/>
      <c r="BFI252" s="4"/>
      <c r="BFJ252" s="9"/>
      <c r="BFK252" s="4"/>
      <c r="BFL252" s="9"/>
      <c r="BFM252" s="4"/>
      <c r="BFN252" s="9"/>
      <c r="BFO252" s="4"/>
      <c r="BFP252" s="9"/>
      <c r="BFQ252" s="4"/>
      <c r="BFR252" s="9"/>
      <c r="BFS252" s="4"/>
      <c r="BFT252" s="9"/>
      <c r="BFU252" s="4"/>
      <c r="BFV252" s="9"/>
      <c r="BFW252" s="4"/>
      <c r="BFX252" s="9"/>
      <c r="BFY252" s="4"/>
      <c r="BFZ252" s="9"/>
      <c r="BGA252" s="4"/>
      <c r="BGB252" s="9"/>
      <c r="BGC252" s="4"/>
      <c r="BGD252" s="9"/>
      <c r="BGE252" s="4"/>
      <c r="BGF252" s="9"/>
      <c r="BGG252" s="4"/>
      <c r="BGH252" s="9"/>
      <c r="BGI252" s="4"/>
      <c r="BGJ252" s="9"/>
      <c r="BGK252" s="4"/>
      <c r="BGL252" s="9"/>
      <c r="BGM252" s="4"/>
      <c r="BGN252" s="9"/>
      <c r="BGO252" s="4"/>
      <c r="BGP252" s="9"/>
      <c r="BGQ252" s="4"/>
      <c r="BGR252" s="9"/>
      <c r="BGS252" s="4"/>
      <c r="BGT252" s="9"/>
      <c r="BGU252" s="4"/>
      <c r="BGV252" s="9"/>
      <c r="BGW252" s="4"/>
      <c r="BGX252" s="9"/>
      <c r="BGY252" s="4"/>
      <c r="BGZ252" s="9"/>
      <c r="BHA252" s="4"/>
      <c r="BHB252" s="9"/>
      <c r="BHC252" s="4"/>
      <c r="BHD252" s="9"/>
      <c r="BHE252" s="4"/>
      <c r="BHF252" s="9"/>
      <c r="BHG252" s="4"/>
      <c r="BHH252" s="9"/>
      <c r="BHI252" s="4"/>
      <c r="BHJ252" s="9"/>
      <c r="BHK252" s="4"/>
      <c r="BHL252" s="9"/>
      <c r="BHM252" s="4"/>
      <c r="BHN252" s="9"/>
      <c r="BHO252" s="4"/>
      <c r="BHP252" s="9"/>
      <c r="BHQ252" s="4"/>
      <c r="BHR252" s="9"/>
      <c r="BHS252" s="4"/>
      <c r="BHT252" s="9"/>
      <c r="BHU252" s="4"/>
      <c r="BHV252" s="9"/>
      <c r="BHW252" s="4"/>
      <c r="BHX252" s="9"/>
      <c r="BHY252" s="4"/>
      <c r="BHZ252" s="9"/>
      <c r="BIA252" s="4"/>
      <c r="BIB252" s="9"/>
      <c r="BIC252" s="4"/>
      <c r="BID252" s="9"/>
      <c r="BIE252" s="4"/>
      <c r="BIF252" s="9"/>
      <c r="BIG252" s="4"/>
      <c r="BIH252" s="9"/>
      <c r="BII252" s="4"/>
      <c r="BIJ252" s="9"/>
      <c r="BIK252" s="4"/>
      <c r="BIL252" s="9"/>
      <c r="BIM252" s="4"/>
      <c r="BIN252" s="9"/>
      <c r="BIO252" s="4"/>
      <c r="BIP252" s="9"/>
      <c r="BIQ252" s="4"/>
      <c r="BIR252" s="9"/>
      <c r="BIS252" s="4"/>
      <c r="BIT252" s="9"/>
      <c r="BIU252" s="4"/>
      <c r="BIV252" s="9"/>
      <c r="BIW252" s="4"/>
      <c r="BIX252" s="9"/>
      <c r="BIY252" s="4"/>
      <c r="BIZ252" s="9"/>
      <c r="BJA252" s="4"/>
      <c r="BJB252" s="9"/>
      <c r="BJC252" s="4"/>
      <c r="BJD252" s="9"/>
      <c r="BJE252" s="4"/>
      <c r="BJF252" s="9"/>
      <c r="BJG252" s="4"/>
      <c r="BJH252" s="9"/>
      <c r="BJI252" s="4"/>
      <c r="BJJ252" s="9"/>
      <c r="BJK252" s="4"/>
      <c r="BJL252" s="9"/>
      <c r="BJM252" s="4"/>
      <c r="BJN252" s="9"/>
      <c r="BJO252" s="4"/>
      <c r="BJP252" s="9"/>
      <c r="BJQ252" s="4"/>
      <c r="BJR252" s="9"/>
      <c r="BJS252" s="4"/>
      <c r="BJT252" s="9"/>
      <c r="BJU252" s="4"/>
      <c r="BJV252" s="9"/>
      <c r="BJW252" s="4"/>
      <c r="BJX252" s="9"/>
      <c r="BJY252" s="4"/>
      <c r="BJZ252" s="9"/>
      <c r="BKA252" s="4"/>
      <c r="BKB252" s="9"/>
      <c r="BKC252" s="4"/>
      <c r="BKD252" s="9"/>
      <c r="BKE252" s="4"/>
      <c r="BKF252" s="9"/>
      <c r="BKG252" s="4"/>
      <c r="BKH252" s="9"/>
      <c r="BKI252" s="4"/>
      <c r="BKJ252" s="9"/>
      <c r="BKK252" s="4"/>
      <c r="BKL252" s="9"/>
      <c r="BKM252" s="4"/>
      <c r="BKN252" s="9"/>
      <c r="BKO252" s="4"/>
      <c r="BKP252" s="9"/>
      <c r="BKQ252" s="4"/>
      <c r="BKR252" s="9"/>
      <c r="BKS252" s="4"/>
      <c r="BKT252" s="9"/>
      <c r="BKU252" s="4"/>
      <c r="BKV252" s="9"/>
      <c r="BKW252" s="4"/>
      <c r="BKX252" s="9"/>
      <c r="BKY252" s="4"/>
      <c r="BKZ252" s="9"/>
      <c r="BLA252" s="4"/>
      <c r="BLB252" s="9"/>
      <c r="BLC252" s="4"/>
      <c r="BLD252" s="9"/>
      <c r="BLE252" s="4"/>
      <c r="BLF252" s="9"/>
      <c r="BLG252" s="4"/>
      <c r="BLH252" s="9"/>
      <c r="BLI252" s="4"/>
      <c r="BLJ252" s="9"/>
      <c r="BLK252" s="4"/>
      <c r="BLL252" s="9"/>
      <c r="BLM252" s="4"/>
      <c r="BLN252" s="9"/>
      <c r="BLO252" s="4"/>
      <c r="BLP252" s="9"/>
      <c r="BLQ252" s="4"/>
      <c r="BLR252" s="9"/>
      <c r="BLS252" s="4"/>
      <c r="BLT252" s="9"/>
      <c r="BLU252" s="4"/>
      <c r="BLV252" s="9"/>
      <c r="BLW252" s="4"/>
      <c r="BLX252" s="9"/>
      <c r="BLY252" s="4"/>
      <c r="BLZ252" s="9"/>
      <c r="BMA252" s="4"/>
      <c r="BMB252" s="9"/>
      <c r="BMC252" s="4"/>
      <c r="BMD252" s="9"/>
      <c r="BME252" s="4"/>
      <c r="BMF252" s="9"/>
      <c r="BMG252" s="4"/>
      <c r="BMH252" s="9"/>
      <c r="BMI252" s="4"/>
      <c r="BMJ252" s="9"/>
      <c r="BMK252" s="4"/>
      <c r="BML252" s="9"/>
      <c r="BMM252" s="4"/>
      <c r="BMN252" s="9"/>
      <c r="BMO252" s="4"/>
      <c r="BMP252" s="9"/>
      <c r="BMQ252" s="4"/>
      <c r="BMR252" s="9"/>
      <c r="BMS252" s="4"/>
      <c r="BMT252" s="9"/>
      <c r="BMU252" s="4"/>
      <c r="BMV252" s="9"/>
      <c r="BMW252" s="4"/>
      <c r="BMX252" s="9"/>
      <c r="BMY252" s="4"/>
      <c r="BMZ252" s="9"/>
      <c r="BNA252" s="4"/>
      <c r="BNB252" s="9"/>
      <c r="BNC252" s="4"/>
      <c r="BND252" s="9"/>
      <c r="BNE252" s="4"/>
      <c r="BNF252" s="9"/>
      <c r="BNG252" s="4"/>
      <c r="BNH252" s="9"/>
      <c r="BNI252" s="4"/>
      <c r="BNJ252" s="9"/>
      <c r="BNK252" s="4"/>
      <c r="BNL252" s="9"/>
      <c r="BNM252" s="4"/>
      <c r="BNN252" s="9"/>
      <c r="BNO252" s="4"/>
      <c r="BNP252" s="9"/>
      <c r="BNQ252" s="4"/>
      <c r="BNR252" s="9"/>
      <c r="BNS252" s="4"/>
      <c r="BNT252" s="9"/>
      <c r="BNU252" s="4"/>
      <c r="BNV252" s="9"/>
      <c r="BNW252" s="4"/>
      <c r="BNX252" s="9"/>
      <c r="BNY252" s="4"/>
      <c r="BNZ252" s="9"/>
      <c r="BOA252" s="4"/>
      <c r="BOB252" s="9"/>
      <c r="BOC252" s="4"/>
      <c r="BOD252" s="9"/>
      <c r="BOE252" s="4"/>
      <c r="BOF252" s="9"/>
      <c r="BOG252" s="4"/>
      <c r="BOH252" s="9"/>
      <c r="BOI252" s="4"/>
      <c r="BOJ252" s="9"/>
      <c r="BOK252" s="4"/>
      <c r="BOL252" s="9"/>
      <c r="BOM252" s="4"/>
      <c r="BON252" s="9"/>
      <c r="BOO252" s="4"/>
      <c r="BOP252" s="9"/>
      <c r="BOQ252" s="4"/>
      <c r="BOR252" s="9"/>
      <c r="BOS252" s="4"/>
      <c r="BOT252" s="9"/>
      <c r="BOU252" s="4"/>
      <c r="BOV252" s="9"/>
      <c r="BOW252" s="4"/>
      <c r="BOX252" s="9"/>
      <c r="BOY252" s="4"/>
      <c r="BOZ252" s="9"/>
      <c r="BPA252" s="4"/>
      <c r="BPB252" s="9"/>
      <c r="BPC252" s="4"/>
      <c r="BPD252" s="9"/>
      <c r="BPE252" s="4"/>
      <c r="BPF252" s="9"/>
      <c r="BPG252" s="4"/>
      <c r="BPH252" s="9"/>
      <c r="BPI252" s="4"/>
      <c r="BPJ252" s="9"/>
      <c r="BPK252" s="4"/>
      <c r="BPL252" s="9"/>
      <c r="BPM252" s="4"/>
      <c r="BPN252" s="9"/>
      <c r="BPO252" s="4"/>
      <c r="BPP252" s="9"/>
      <c r="BPQ252" s="4"/>
      <c r="BPR252" s="9"/>
      <c r="BPS252" s="4"/>
      <c r="BPT252" s="9"/>
      <c r="BPU252" s="4"/>
      <c r="BPV252" s="9"/>
      <c r="BPW252" s="4"/>
      <c r="BPX252" s="9"/>
      <c r="BPY252" s="4"/>
      <c r="BPZ252" s="9"/>
      <c r="BQA252" s="4"/>
      <c r="BQB252" s="9"/>
      <c r="BQC252" s="4"/>
      <c r="BQD252" s="9"/>
      <c r="BQE252" s="4"/>
      <c r="BQF252" s="9"/>
      <c r="BQG252" s="4"/>
      <c r="BQH252" s="9"/>
      <c r="BQI252" s="4"/>
      <c r="BQJ252" s="9"/>
      <c r="BQK252" s="4"/>
      <c r="BQL252" s="9"/>
      <c r="BQM252" s="4"/>
      <c r="BQN252" s="9"/>
      <c r="BQO252" s="4"/>
      <c r="BQP252" s="9"/>
      <c r="BQQ252" s="4"/>
      <c r="BQR252" s="9"/>
      <c r="BQS252" s="4"/>
      <c r="BQT252" s="9"/>
      <c r="BQU252" s="4"/>
      <c r="BQV252" s="9"/>
      <c r="BQW252" s="4"/>
      <c r="BQX252" s="9"/>
      <c r="BQY252" s="4"/>
      <c r="BQZ252" s="9"/>
      <c r="BRA252" s="4"/>
      <c r="BRB252" s="9"/>
      <c r="BRC252" s="4"/>
      <c r="BRD252" s="9"/>
      <c r="BRE252" s="4"/>
      <c r="BRF252" s="9"/>
      <c r="BRG252" s="4"/>
      <c r="BRH252" s="9"/>
      <c r="BRI252" s="4"/>
      <c r="BRJ252" s="9"/>
      <c r="BRK252" s="4"/>
      <c r="BRL252" s="9"/>
      <c r="BRM252" s="4"/>
      <c r="BRN252" s="9"/>
      <c r="BRO252" s="4"/>
      <c r="BRP252" s="9"/>
      <c r="BRQ252" s="4"/>
      <c r="BRR252" s="9"/>
      <c r="BRS252" s="4"/>
      <c r="BRT252" s="9"/>
      <c r="BRU252" s="4"/>
      <c r="BRV252" s="9"/>
      <c r="BRW252" s="4"/>
      <c r="BRX252" s="9"/>
      <c r="BRY252" s="4"/>
      <c r="BRZ252" s="9"/>
      <c r="BSA252" s="4"/>
      <c r="BSB252" s="9"/>
      <c r="BSC252" s="4"/>
      <c r="BSD252" s="9"/>
      <c r="BSE252" s="4"/>
      <c r="BSF252" s="9"/>
      <c r="BSG252" s="4"/>
      <c r="BSH252" s="9"/>
      <c r="BSI252" s="4"/>
      <c r="BSJ252" s="9"/>
      <c r="BSK252" s="4"/>
      <c r="BSL252" s="9"/>
      <c r="BSM252" s="4"/>
      <c r="BSN252" s="9"/>
      <c r="BSO252" s="4"/>
      <c r="BSP252" s="9"/>
      <c r="BSQ252" s="4"/>
      <c r="BSR252" s="9"/>
      <c r="BSS252" s="4"/>
      <c r="BST252" s="9"/>
      <c r="BSU252" s="4"/>
      <c r="BSV252" s="9"/>
      <c r="BSW252" s="4"/>
      <c r="BSX252" s="9"/>
      <c r="BSY252" s="4"/>
      <c r="BSZ252" s="9"/>
      <c r="BTA252" s="4"/>
      <c r="BTB252" s="9"/>
      <c r="BTC252" s="4"/>
      <c r="BTD252" s="9"/>
      <c r="BTE252" s="4"/>
      <c r="BTF252" s="9"/>
      <c r="BTG252" s="4"/>
      <c r="BTH252" s="9"/>
      <c r="BTI252" s="4"/>
      <c r="BTJ252" s="9"/>
      <c r="BTK252" s="4"/>
      <c r="BTL252" s="9"/>
      <c r="BTM252" s="4"/>
      <c r="BTN252" s="9"/>
      <c r="BTO252" s="4"/>
      <c r="BTP252" s="9"/>
      <c r="BTQ252" s="4"/>
      <c r="BTR252" s="9"/>
      <c r="BTS252" s="4"/>
      <c r="BTT252" s="9"/>
      <c r="BTU252" s="4"/>
      <c r="BTV252" s="9"/>
      <c r="BTW252" s="4"/>
      <c r="BTX252" s="9"/>
      <c r="BTY252" s="4"/>
      <c r="BTZ252" s="9"/>
      <c r="BUA252" s="4"/>
      <c r="BUB252" s="9"/>
      <c r="BUC252" s="4"/>
      <c r="BUD252" s="9"/>
      <c r="BUE252" s="4"/>
      <c r="BUF252" s="9"/>
      <c r="BUG252" s="4"/>
      <c r="BUH252" s="9"/>
      <c r="BUI252" s="4"/>
      <c r="BUJ252" s="9"/>
      <c r="BUK252" s="4"/>
      <c r="BUL252" s="9"/>
      <c r="BUM252" s="4"/>
      <c r="BUN252" s="9"/>
      <c r="BUO252" s="4"/>
      <c r="BUP252" s="9"/>
      <c r="BUQ252" s="4"/>
      <c r="BUR252" s="9"/>
      <c r="BUS252" s="4"/>
      <c r="BUT252" s="9"/>
      <c r="BUU252" s="4"/>
      <c r="BUV252" s="9"/>
      <c r="BUW252" s="4"/>
      <c r="BUX252" s="9"/>
      <c r="BUY252" s="4"/>
      <c r="BUZ252" s="9"/>
      <c r="BVA252" s="4"/>
      <c r="BVB252" s="9"/>
      <c r="BVC252" s="4"/>
      <c r="BVD252" s="9"/>
      <c r="BVE252" s="4"/>
      <c r="BVF252" s="9"/>
      <c r="BVG252" s="4"/>
      <c r="BVH252" s="9"/>
      <c r="BVI252" s="4"/>
      <c r="BVJ252" s="9"/>
      <c r="BVK252" s="4"/>
      <c r="BVL252" s="9"/>
      <c r="BVM252" s="4"/>
      <c r="BVN252" s="9"/>
      <c r="BVO252" s="4"/>
      <c r="BVP252" s="9"/>
      <c r="BVQ252" s="4"/>
      <c r="BVR252" s="9"/>
      <c r="BVS252" s="4"/>
      <c r="BVT252" s="9"/>
      <c r="BVU252" s="4"/>
      <c r="BVV252" s="9"/>
      <c r="BVW252" s="4"/>
      <c r="BVX252" s="9"/>
      <c r="BVY252" s="4"/>
      <c r="BVZ252" s="9"/>
      <c r="BWA252" s="4"/>
      <c r="BWB252" s="9"/>
      <c r="BWC252" s="4"/>
      <c r="BWD252" s="9"/>
      <c r="BWE252" s="4"/>
      <c r="BWF252" s="9"/>
      <c r="BWG252" s="4"/>
      <c r="BWH252" s="9"/>
      <c r="BWI252" s="4"/>
      <c r="BWJ252" s="9"/>
      <c r="BWK252" s="4"/>
      <c r="BWL252" s="9"/>
      <c r="BWM252" s="4"/>
      <c r="BWN252" s="9"/>
      <c r="BWO252" s="4"/>
      <c r="BWP252" s="9"/>
      <c r="BWQ252" s="4"/>
      <c r="BWR252" s="9"/>
      <c r="BWS252" s="4"/>
      <c r="BWT252" s="9"/>
      <c r="BWU252" s="4"/>
      <c r="BWV252" s="9"/>
      <c r="BWW252" s="4"/>
      <c r="BWX252" s="9"/>
      <c r="BWY252" s="4"/>
      <c r="BWZ252" s="9"/>
      <c r="BXA252" s="4"/>
      <c r="BXB252" s="9"/>
      <c r="BXC252" s="4"/>
      <c r="BXD252" s="9"/>
      <c r="BXE252" s="4"/>
      <c r="BXF252" s="9"/>
      <c r="BXG252" s="4"/>
      <c r="BXH252" s="9"/>
      <c r="BXI252" s="4"/>
      <c r="BXJ252" s="9"/>
      <c r="BXK252" s="4"/>
      <c r="BXL252" s="9"/>
      <c r="BXM252" s="4"/>
      <c r="BXN252" s="9"/>
      <c r="BXO252" s="4"/>
      <c r="BXP252" s="9"/>
      <c r="BXQ252" s="4"/>
      <c r="BXR252" s="9"/>
      <c r="BXS252" s="4"/>
      <c r="BXT252" s="9"/>
      <c r="BXU252" s="4"/>
      <c r="BXV252" s="9"/>
      <c r="BXW252" s="4"/>
      <c r="BXX252" s="9"/>
      <c r="BXY252" s="4"/>
      <c r="BXZ252" s="9"/>
      <c r="BYA252" s="4"/>
      <c r="BYB252" s="9"/>
      <c r="BYC252" s="4"/>
      <c r="BYD252" s="9"/>
      <c r="BYE252" s="4"/>
      <c r="BYF252" s="9"/>
      <c r="BYG252" s="4"/>
      <c r="BYH252" s="9"/>
      <c r="BYI252" s="4"/>
      <c r="BYJ252" s="9"/>
      <c r="BYK252" s="4"/>
      <c r="BYL252" s="9"/>
      <c r="BYM252" s="4"/>
      <c r="BYN252" s="9"/>
      <c r="BYO252" s="4"/>
      <c r="BYP252" s="9"/>
      <c r="BYQ252" s="4"/>
      <c r="BYR252" s="9"/>
      <c r="BYS252" s="4"/>
      <c r="BYT252" s="9"/>
      <c r="BYU252" s="4"/>
      <c r="BYV252" s="9"/>
      <c r="BYW252" s="4"/>
      <c r="BYX252" s="9"/>
      <c r="BYY252" s="4"/>
      <c r="BYZ252" s="9"/>
      <c r="BZA252" s="4"/>
      <c r="BZB252" s="9"/>
      <c r="BZC252" s="4"/>
      <c r="BZD252" s="9"/>
      <c r="BZE252" s="4"/>
      <c r="BZF252" s="9"/>
      <c r="BZG252" s="4"/>
      <c r="BZH252" s="9"/>
      <c r="BZI252" s="4"/>
      <c r="BZJ252" s="9"/>
      <c r="BZK252" s="4"/>
      <c r="BZL252" s="9"/>
      <c r="BZM252" s="4"/>
      <c r="BZN252" s="9"/>
      <c r="BZO252" s="4"/>
      <c r="BZP252" s="9"/>
      <c r="BZQ252" s="4"/>
      <c r="BZR252" s="9"/>
      <c r="BZS252" s="4"/>
      <c r="BZT252" s="9"/>
      <c r="BZU252" s="4"/>
      <c r="BZV252" s="9"/>
      <c r="BZW252" s="4"/>
      <c r="BZX252" s="9"/>
      <c r="BZY252" s="4"/>
      <c r="BZZ252" s="9"/>
      <c r="CAA252" s="4"/>
      <c r="CAB252" s="9"/>
      <c r="CAC252" s="4"/>
      <c r="CAD252" s="9"/>
      <c r="CAE252" s="4"/>
      <c r="CAF252" s="9"/>
      <c r="CAG252" s="4"/>
      <c r="CAH252" s="9"/>
      <c r="CAI252" s="4"/>
      <c r="CAJ252" s="9"/>
      <c r="CAK252" s="4"/>
      <c r="CAL252" s="9"/>
      <c r="CAM252" s="4"/>
      <c r="CAN252" s="9"/>
      <c r="CAO252" s="4"/>
      <c r="CAP252" s="9"/>
      <c r="CAQ252" s="4"/>
      <c r="CAR252" s="9"/>
      <c r="CAS252" s="4"/>
      <c r="CAT252" s="9"/>
      <c r="CAU252" s="4"/>
      <c r="CAV252" s="9"/>
      <c r="CAW252" s="4"/>
      <c r="CAX252" s="9"/>
      <c r="CAY252" s="4"/>
      <c r="CAZ252" s="9"/>
      <c r="CBA252" s="4"/>
      <c r="CBB252" s="9"/>
      <c r="CBC252" s="4"/>
      <c r="CBD252" s="9"/>
      <c r="CBE252" s="4"/>
      <c r="CBF252" s="9"/>
      <c r="CBG252" s="4"/>
      <c r="CBH252" s="9"/>
      <c r="CBI252" s="4"/>
      <c r="CBJ252" s="9"/>
      <c r="CBK252" s="4"/>
      <c r="CBL252" s="9"/>
      <c r="CBM252" s="4"/>
      <c r="CBN252" s="9"/>
      <c r="CBO252" s="4"/>
      <c r="CBP252" s="9"/>
      <c r="CBQ252" s="4"/>
      <c r="CBR252" s="9"/>
      <c r="CBS252" s="4"/>
      <c r="CBT252" s="9"/>
      <c r="CBU252" s="4"/>
      <c r="CBV252" s="9"/>
      <c r="CBW252" s="4"/>
      <c r="CBX252" s="9"/>
      <c r="CBY252" s="4"/>
      <c r="CBZ252" s="9"/>
      <c r="CCA252" s="4"/>
      <c r="CCB252" s="9"/>
      <c r="CCC252" s="4"/>
      <c r="CCD252" s="9"/>
      <c r="CCE252" s="4"/>
      <c r="CCF252" s="9"/>
      <c r="CCG252" s="4"/>
      <c r="CCH252" s="9"/>
      <c r="CCI252" s="4"/>
      <c r="CCJ252" s="9"/>
      <c r="CCK252" s="4"/>
      <c r="CCL252" s="9"/>
      <c r="CCM252" s="4"/>
      <c r="CCN252" s="9"/>
      <c r="CCO252" s="4"/>
      <c r="CCP252" s="9"/>
      <c r="CCQ252" s="4"/>
      <c r="CCR252" s="9"/>
      <c r="CCS252" s="4"/>
      <c r="CCT252" s="9"/>
      <c r="CCU252" s="4"/>
      <c r="CCV252" s="9"/>
      <c r="CCW252" s="4"/>
      <c r="CCX252" s="9"/>
      <c r="CCY252" s="4"/>
      <c r="CCZ252" s="9"/>
      <c r="CDA252" s="4"/>
      <c r="CDB252" s="9"/>
      <c r="CDC252" s="4"/>
      <c r="CDD252" s="9"/>
      <c r="CDE252" s="4"/>
      <c r="CDF252" s="9"/>
      <c r="CDG252" s="4"/>
      <c r="CDH252" s="9"/>
      <c r="CDI252" s="4"/>
      <c r="CDJ252" s="9"/>
      <c r="CDK252" s="4"/>
      <c r="CDL252" s="9"/>
      <c r="CDM252" s="4"/>
      <c r="CDN252" s="9"/>
      <c r="CDO252" s="4"/>
      <c r="CDP252" s="9"/>
      <c r="CDQ252" s="4"/>
      <c r="CDR252" s="9"/>
      <c r="CDS252" s="4"/>
      <c r="CDT252" s="9"/>
      <c r="CDU252" s="4"/>
      <c r="CDV252" s="9"/>
      <c r="CDW252" s="4"/>
      <c r="CDX252" s="9"/>
      <c r="CDY252" s="4"/>
      <c r="CDZ252" s="9"/>
      <c r="CEA252" s="4"/>
      <c r="CEB252" s="9"/>
      <c r="CEC252" s="4"/>
      <c r="CED252" s="9"/>
      <c r="CEE252" s="4"/>
      <c r="CEF252" s="9"/>
      <c r="CEG252" s="4"/>
      <c r="CEH252" s="9"/>
      <c r="CEI252" s="4"/>
      <c r="CEJ252" s="9"/>
      <c r="CEK252" s="4"/>
      <c r="CEL252" s="9"/>
      <c r="CEM252" s="4"/>
      <c r="CEN252" s="9"/>
      <c r="CEO252" s="4"/>
      <c r="CEP252" s="9"/>
      <c r="CEQ252" s="4"/>
      <c r="CER252" s="9"/>
      <c r="CES252" s="4"/>
      <c r="CET252" s="9"/>
      <c r="CEU252" s="4"/>
      <c r="CEV252" s="9"/>
      <c r="CEW252" s="4"/>
      <c r="CEX252" s="9"/>
      <c r="CEY252" s="4"/>
      <c r="CEZ252" s="9"/>
      <c r="CFA252" s="4"/>
      <c r="CFB252" s="9"/>
      <c r="CFC252" s="4"/>
      <c r="CFD252" s="9"/>
      <c r="CFE252" s="4"/>
      <c r="CFF252" s="9"/>
      <c r="CFG252" s="4"/>
      <c r="CFH252" s="9"/>
      <c r="CFI252" s="4"/>
      <c r="CFJ252" s="9"/>
      <c r="CFK252" s="4"/>
      <c r="CFL252" s="9"/>
      <c r="CFM252" s="4"/>
      <c r="CFN252" s="9"/>
      <c r="CFO252" s="4"/>
      <c r="CFP252" s="9"/>
      <c r="CFQ252" s="4"/>
      <c r="CFR252" s="9"/>
      <c r="CFS252" s="4"/>
      <c r="CFT252" s="9"/>
      <c r="CFU252" s="4"/>
      <c r="CFV252" s="9"/>
      <c r="CFW252" s="4"/>
      <c r="CFX252" s="9"/>
      <c r="CFY252" s="4"/>
      <c r="CFZ252" s="9"/>
      <c r="CGA252" s="4"/>
      <c r="CGB252" s="9"/>
      <c r="CGC252" s="4"/>
      <c r="CGD252" s="9"/>
      <c r="CGE252" s="4"/>
      <c r="CGF252" s="9"/>
      <c r="CGG252" s="4"/>
      <c r="CGH252" s="9"/>
      <c r="CGI252" s="4"/>
      <c r="CGJ252" s="9"/>
      <c r="CGK252" s="4"/>
      <c r="CGL252" s="9"/>
      <c r="CGM252" s="4"/>
      <c r="CGN252" s="9"/>
      <c r="CGO252" s="4"/>
      <c r="CGP252" s="9"/>
      <c r="CGQ252" s="4"/>
      <c r="CGR252" s="9"/>
      <c r="CGS252" s="4"/>
      <c r="CGT252" s="9"/>
      <c r="CGU252" s="4"/>
      <c r="CGV252" s="9"/>
      <c r="CGW252" s="4"/>
      <c r="CGX252" s="9"/>
      <c r="CGY252" s="4"/>
      <c r="CGZ252" s="9"/>
      <c r="CHA252" s="4"/>
      <c r="CHB252" s="9"/>
      <c r="CHC252" s="4"/>
      <c r="CHD252" s="9"/>
      <c r="CHE252" s="4"/>
      <c r="CHF252" s="9"/>
      <c r="CHG252" s="4"/>
      <c r="CHH252" s="9"/>
      <c r="CHI252" s="4"/>
      <c r="CHJ252" s="9"/>
      <c r="CHK252" s="4"/>
      <c r="CHL252" s="9"/>
      <c r="CHM252" s="4"/>
      <c r="CHN252" s="9"/>
      <c r="CHO252" s="4"/>
      <c r="CHP252" s="9"/>
      <c r="CHQ252" s="4"/>
      <c r="CHR252" s="9"/>
      <c r="CHS252" s="4"/>
      <c r="CHT252" s="9"/>
      <c r="CHU252" s="4"/>
      <c r="CHV252" s="9"/>
      <c r="CHW252" s="4"/>
      <c r="CHX252" s="9"/>
      <c r="CHY252" s="4"/>
      <c r="CHZ252" s="9"/>
      <c r="CIA252" s="4"/>
      <c r="CIB252" s="9"/>
      <c r="CIC252" s="4"/>
      <c r="CID252" s="9"/>
      <c r="CIE252" s="4"/>
      <c r="CIF252" s="9"/>
      <c r="CIG252" s="4"/>
      <c r="CIH252" s="9"/>
      <c r="CII252" s="4"/>
      <c r="CIJ252" s="9"/>
      <c r="CIK252" s="4"/>
      <c r="CIL252" s="9"/>
      <c r="CIM252" s="4"/>
      <c r="CIN252" s="9"/>
      <c r="CIO252" s="4"/>
      <c r="CIP252" s="9"/>
      <c r="CIQ252" s="4"/>
      <c r="CIR252" s="9"/>
      <c r="CIS252" s="4"/>
      <c r="CIT252" s="9"/>
      <c r="CIU252" s="4"/>
      <c r="CIV252" s="9"/>
      <c r="CIW252" s="4"/>
      <c r="CIX252" s="9"/>
      <c r="CIY252" s="4"/>
      <c r="CIZ252" s="9"/>
      <c r="CJA252" s="4"/>
      <c r="CJB252" s="9"/>
      <c r="CJC252" s="4"/>
      <c r="CJD252" s="9"/>
      <c r="CJE252" s="4"/>
      <c r="CJF252" s="9"/>
      <c r="CJG252" s="4"/>
      <c r="CJH252" s="9"/>
      <c r="CJI252" s="4"/>
      <c r="CJJ252" s="9"/>
      <c r="CJK252" s="4"/>
      <c r="CJL252" s="9"/>
      <c r="CJM252" s="4"/>
      <c r="CJN252" s="9"/>
      <c r="CJO252" s="4"/>
      <c r="CJP252" s="9"/>
      <c r="CJQ252" s="4"/>
      <c r="CJR252" s="9"/>
      <c r="CJS252" s="4"/>
      <c r="CJT252" s="9"/>
      <c r="CJU252" s="4"/>
      <c r="CJV252" s="9"/>
      <c r="CJW252" s="4"/>
      <c r="CJX252" s="9"/>
      <c r="CJY252" s="4"/>
      <c r="CJZ252" s="9"/>
      <c r="CKA252" s="4"/>
      <c r="CKB252" s="9"/>
      <c r="CKC252" s="4"/>
      <c r="CKD252" s="9"/>
      <c r="CKE252" s="4"/>
      <c r="CKF252" s="9"/>
      <c r="CKG252" s="4"/>
      <c r="CKH252" s="9"/>
      <c r="CKI252" s="4"/>
      <c r="CKJ252" s="9"/>
      <c r="CKK252" s="4"/>
      <c r="CKL252" s="9"/>
      <c r="CKM252" s="4"/>
      <c r="CKN252" s="9"/>
      <c r="CKO252" s="4"/>
      <c r="CKP252" s="9"/>
      <c r="CKQ252" s="4"/>
      <c r="CKR252" s="9"/>
      <c r="CKS252" s="4"/>
      <c r="CKT252" s="9"/>
      <c r="CKU252" s="4"/>
      <c r="CKV252" s="9"/>
      <c r="CKW252" s="4"/>
      <c r="CKX252" s="9"/>
      <c r="CKY252" s="4"/>
      <c r="CKZ252" s="9"/>
      <c r="CLA252" s="4"/>
      <c r="CLB252" s="9"/>
      <c r="CLC252" s="4"/>
      <c r="CLD252" s="9"/>
      <c r="CLE252" s="4"/>
      <c r="CLF252" s="9"/>
      <c r="CLG252" s="4"/>
      <c r="CLH252" s="9"/>
      <c r="CLI252" s="4"/>
      <c r="CLJ252" s="9"/>
      <c r="CLK252" s="4"/>
      <c r="CLL252" s="9"/>
      <c r="CLM252" s="4"/>
      <c r="CLN252" s="9"/>
      <c r="CLO252" s="4"/>
      <c r="CLP252" s="9"/>
      <c r="CLQ252" s="4"/>
      <c r="CLR252" s="9"/>
      <c r="CLS252" s="4"/>
      <c r="CLT252" s="9"/>
      <c r="CLU252" s="4"/>
      <c r="CLV252" s="9"/>
      <c r="CLW252" s="4"/>
      <c r="CLX252" s="9"/>
      <c r="CLY252" s="4"/>
      <c r="CLZ252" s="9"/>
      <c r="CMA252" s="4"/>
      <c r="CMB252" s="9"/>
      <c r="CMC252" s="4"/>
      <c r="CMD252" s="9"/>
      <c r="CME252" s="4"/>
      <c r="CMF252" s="9"/>
      <c r="CMG252" s="4"/>
      <c r="CMH252" s="9"/>
      <c r="CMI252" s="4"/>
      <c r="CMJ252" s="9"/>
      <c r="CMK252" s="4"/>
      <c r="CML252" s="9"/>
      <c r="CMM252" s="4"/>
      <c r="CMN252" s="9"/>
      <c r="CMO252" s="4"/>
      <c r="CMP252" s="9"/>
      <c r="CMQ252" s="4"/>
      <c r="CMR252" s="9"/>
      <c r="CMS252" s="4"/>
      <c r="CMT252" s="9"/>
      <c r="CMU252" s="4"/>
      <c r="CMV252" s="9"/>
      <c r="CMW252" s="4"/>
      <c r="CMX252" s="9"/>
      <c r="CMY252" s="4"/>
      <c r="CMZ252" s="9"/>
      <c r="CNA252" s="4"/>
      <c r="CNB252" s="9"/>
      <c r="CNC252" s="4"/>
      <c r="CND252" s="9"/>
      <c r="CNE252" s="4"/>
      <c r="CNF252" s="9"/>
      <c r="CNG252" s="4"/>
      <c r="CNH252" s="9"/>
      <c r="CNI252" s="4"/>
      <c r="CNJ252" s="9"/>
      <c r="CNK252" s="4"/>
      <c r="CNL252" s="9"/>
      <c r="CNM252" s="4"/>
      <c r="CNN252" s="9"/>
      <c r="CNO252" s="4"/>
      <c r="CNP252" s="9"/>
      <c r="CNQ252" s="4"/>
      <c r="CNR252" s="9"/>
      <c r="CNS252" s="4"/>
      <c r="CNT252" s="9"/>
      <c r="CNU252" s="4"/>
      <c r="CNV252" s="9"/>
      <c r="CNW252" s="4"/>
      <c r="CNX252" s="9"/>
      <c r="CNY252" s="4"/>
      <c r="CNZ252" s="9"/>
      <c r="COA252" s="4"/>
      <c r="COB252" s="9"/>
      <c r="COC252" s="4"/>
      <c r="COD252" s="9"/>
      <c r="COE252" s="4"/>
      <c r="COF252" s="9"/>
      <c r="COG252" s="4"/>
      <c r="COH252" s="9"/>
      <c r="COI252" s="4"/>
      <c r="COJ252" s="9"/>
      <c r="COK252" s="4"/>
      <c r="COL252" s="9"/>
      <c r="COM252" s="4"/>
      <c r="CON252" s="9"/>
      <c r="COO252" s="4"/>
      <c r="COP252" s="9"/>
      <c r="COQ252" s="4"/>
      <c r="COR252" s="9"/>
      <c r="COS252" s="4"/>
      <c r="COT252" s="9"/>
      <c r="COU252" s="4"/>
      <c r="COV252" s="9"/>
      <c r="COW252" s="4"/>
      <c r="COX252" s="9"/>
      <c r="COY252" s="4"/>
      <c r="COZ252" s="9"/>
      <c r="CPA252" s="4"/>
      <c r="CPB252" s="9"/>
      <c r="CPC252" s="4"/>
      <c r="CPD252" s="9"/>
      <c r="CPE252" s="4"/>
      <c r="CPF252" s="9"/>
      <c r="CPG252" s="4"/>
      <c r="CPH252" s="9"/>
      <c r="CPI252" s="4"/>
      <c r="CPJ252" s="9"/>
      <c r="CPK252" s="4"/>
      <c r="CPL252" s="9"/>
      <c r="CPM252" s="4"/>
      <c r="CPN252" s="9"/>
      <c r="CPO252" s="4"/>
      <c r="CPP252" s="9"/>
      <c r="CPQ252" s="4"/>
      <c r="CPR252" s="9"/>
      <c r="CPS252" s="4"/>
      <c r="CPT252" s="9"/>
      <c r="CPU252" s="4"/>
      <c r="CPV252" s="9"/>
      <c r="CPW252" s="4"/>
      <c r="CPX252" s="9"/>
      <c r="CPY252" s="4"/>
      <c r="CPZ252" s="9"/>
      <c r="CQA252" s="4"/>
      <c r="CQB252" s="9"/>
      <c r="CQC252" s="4"/>
      <c r="CQD252" s="9"/>
      <c r="CQE252" s="4"/>
      <c r="CQF252" s="9"/>
      <c r="CQG252" s="4"/>
      <c r="CQH252" s="9"/>
      <c r="CQI252" s="4"/>
      <c r="CQJ252" s="9"/>
      <c r="CQK252" s="4"/>
      <c r="CQL252" s="9"/>
      <c r="CQM252" s="4"/>
      <c r="CQN252" s="9"/>
      <c r="CQO252" s="4"/>
      <c r="CQP252" s="9"/>
      <c r="CQQ252" s="4"/>
      <c r="CQR252" s="9"/>
      <c r="CQS252" s="4"/>
      <c r="CQT252" s="9"/>
      <c r="CQU252" s="4"/>
      <c r="CQV252" s="9"/>
      <c r="CQW252" s="4"/>
      <c r="CQX252" s="9"/>
      <c r="CQY252" s="4"/>
      <c r="CQZ252" s="9"/>
      <c r="CRA252" s="4"/>
      <c r="CRB252" s="9"/>
      <c r="CRC252" s="4"/>
      <c r="CRD252" s="9"/>
      <c r="CRE252" s="4"/>
      <c r="CRF252" s="9"/>
      <c r="CRG252" s="4"/>
      <c r="CRH252" s="9"/>
      <c r="CRI252" s="4"/>
      <c r="CRJ252" s="9"/>
      <c r="CRK252" s="4"/>
      <c r="CRL252" s="9"/>
      <c r="CRM252" s="4"/>
      <c r="CRN252" s="9"/>
      <c r="CRO252" s="4"/>
      <c r="CRP252" s="9"/>
      <c r="CRQ252" s="4"/>
      <c r="CRR252" s="9"/>
      <c r="CRS252" s="4"/>
      <c r="CRT252" s="9"/>
      <c r="CRU252" s="4"/>
      <c r="CRV252" s="9"/>
      <c r="CRW252" s="4"/>
      <c r="CRX252" s="9"/>
      <c r="CRY252" s="4"/>
      <c r="CRZ252" s="9"/>
      <c r="CSA252" s="4"/>
      <c r="CSB252" s="9"/>
      <c r="CSC252" s="4"/>
      <c r="CSD252" s="9"/>
      <c r="CSE252" s="4"/>
      <c r="CSF252" s="9"/>
      <c r="CSG252" s="4"/>
      <c r="CSH252" s="9"/>
      <c r="CSI252" s="4"/>
      <c r="CSJ252" s="9"/>
      <c r="CSK252" s="4"/>
      <c r="CSL252" s="9"/>
      <c r="CSM252" s="4"/>
      <c r="CSN252" s="9"/>
      <c r="CSO252" s="4"/>
      <c r="CSP252" s="9"/>
      <c r="CSQ252" s="4"/>
      <c r="CSR252" s="9"/>
      <c r="CSS252" s="4"/>
      <c r="CST252" s="9"/>
      <c r="CSU252" s="4"/>
      <c r="CSV252" s="9"/>
      <c r="CSW252" s="4"/>
      <c r="CSX252" s="9"/>
      <c r="CSY252" s="4"/>
      <c r="CSZ252" s="9"/>
      <c r="CTA252" s="4"/>
      <c r="CTB252" s="9"/>
      <c r="CTC252" s="4"/>
      <c r="CTD252" s="9"/>
      <c r="CTE252" s="4"/>
      <c r="CTF252" s="9"/>
      <c r="CTG252" s="4"/>
      <c r="CTH252" s="9"/>
      <c r="CTI252" s="4"/>
      <c r="CTJ252" s="9"/>
      <c r="CTK252" s="4"/>
      <c r="CTL252" s="9"/>
      <c r="CTM252" s="4"/>
      <c r="CTN252" s="9"/>
      <c r="CTO252" s="4"/>
      <c r="CTP252" s="9"/>
      <c r="CTQ252" s="4"/>
      <c r="CTR252" s="9"/>
      <c r="CTS252" s="4"/>
      <c r="CTT252" s="9"/>
      <c r="CTU252" s="4"/>
      <c r="CTV252" s="9"/>
      <c r="CTW252" s="4"/>
      <c r="CTX252" s="9"/>
      <c r="CTY252" s="4"/>
      <c r="CTZ252" s="9"/>
      <c r="CUA252" s="4"/>
      <c r="CUB252" s="9"/>
      <c r="CUC252" s="4"/>
      <c r="CUD252" s="9"/>
      <c r="CUE252" s="4"/>
      <c r="CUF252" s="9"/>
      <c r="CUG252" s="4"/>
      <c r="CUH252" s="9"/>
      <c r="CUI252" s="4"/>
      <c r="CUJ252" s="9"/>
      <c r="CUK252" s="4"/>
      <c r="CUL252" s="9"/>
      <c r="CUM252" s="4"/>
      <c r="CUN252" s="9"/>
      <c r="CUO252" s="4"/>
      <c r="CUP252" s="9"/>
      <c r="CUQ252" s="4"/>
      <c r="CUR252" s="9"/>
      <c r="CUS252" s="4"/>
      <c r="CUT252" s="9"/>
      <c r="CUU252" s="4"/>
      <c r="CUV252" s="9"/>
      <c r="CUW252" s="4"/>
      <c r="CUX252" s="9"/>
      <c r="CUY252" s="4"/>
      <c r="CUZ252" s="9"/>
      <c r="CVA252" s="4"/>
      <c r="CVB252" s="9"/>
      <c r="CVC252" s="4"/>
      <c r="CVD252" s="9"/>
      <c r="CVE252" s="4"/>
      <c r="CVF252" s="9"/>
      <c r="CVG252" s="4"/>
      <c r="CVH252" s="9"/>
      <c r="CVI252" s="4"/>
      <c r="CVJ252" s="9"/>
      <c r="CVK252" s="4"/>
      <c r="CVL252" s="9"/>
      <c r="CVM252" s="4"/>
      <c r="CVN252" s="9"/>
      <c r="CVO252" s="4"/>
      <c r="CVP252" s="9"/>
      <c r="CVQ252" s="4"/>
      <c r="CVR252" s="9"/>
      <c r="CVS252" s="4"/>
      <c r="CVT252" s="9"/>
      <c r="CVU252" s="4"/>
      <c r="CVV252" s="9"/>
      <c r="CVW252" s="4"/>
      <c r="CVX252" s="9"/>
      <c r="CVY252" s="4"/>
      <c r="CVZ252" s="9"/>
      <c r="CWA252" s="4"/>
      <c r="CWB252" s="9"/>
      <c r="CWC252" s="4"/>
      <c r="CWD252" s="9"/>
      <c r="CWE252" s="4"/>
      <c r="CWF252" s="9"/>
      <c r="CWG252" s="4"/>
      <c r="CWH252" s="9"/>
      <c r="CWI252" s="4"/>
      <c r="CWJ252" s="9"/>
      <c r="CWK252" s="4"/>
      <c r="CWL252" s="9"/>
      <c r="CWM252" s="4"/>
      <c r="CWN252" s="9"/>
      <c r="CWO252" s="4"/>
      <c r="CWP252" s="9"/>
      <c r="CWQ252" s="4"/>
      <c r="CWR252" s="9"/>
      <c r="CWS252" s="4"/>
      <c r="CWT252" s="9"/>
      <c r="CWU252" s="4"/>
      <c r="CWV252" s="9"/>
      <c r="CWW252" s="4"/>
      <c r="CWX252" s="9"/>
      <c r="CWY252" s="4"/>
      <c r="CWZ252" s="9"/>
      <c r="CXA252" s="4"/>
      <c r="CXB252" s="9"/>
      <c r="CXC252" s="4"/>
      <c r="CXD252" s="9"/>
      <c r="CXE252" s="4"/>
      <c r="CXF252" s="9"/>
      <c r="CXG252" s="4"/>
      <c r="CXH252" s="9"/>
      <c r="CXI252" s="4"/>
      <c r="CXJ252" s="9"/>
      <c r="CXK252" s="4"/>
      <c r="CXL252" s="9"/>
      <c r="CXM252" s="4"/>
      <c r="CXN252" s="9"/>
      <c r="CXO252" s="4"/>
      <c r="CXP252" s="9"/>
      <c r="CXQ252" s="4"/>
      <c r="CXR252" s="9"/>
      <c r="CXS252" s="4"/>
      <c r="CXT252" s="9"/>
      <c r="CXU252" s="4"/>
      <c r="CXV252" s="9"/>
      <c r="CXW252" s="4"/>
      <c r="CXX252" s="9"/>
      <c r="CXY252" s="4"/>
      <c r="CXZ252" s="9"/>
      <c r="CYA252" s="4"/>
      <c r="CYB252" s="9"/>
      <c r="CYC252" s="4"/>
      <c r="CYD252" s="9"/>
      <c r="CYE252" s="4"/>
      <c r="CYF252" s="9"/>
      <c r="CYG252" s="4"/>
      <c r="CYH252" s="9"/>
      <c r="CYI252" s="4"/>
      <c r="CYJ252" s="9"/>
      <c r="CYK252" s="4"/>
      <c r="CYL252" s="9"/>
      <c r="CYM252" s="4"/>
      <c r="CYN252" s="9"/>
      <c r="CYO252" s="4"/>
      <c r="CYP252" s="9"/>
      <c r="CYQ252" s="4"/>
      <c r="CYR252" s="9"/>
      <c r="CYS252" s="4"/>
      <c r="CYT252" s="9"/>
      <c r="CYU252" s="4"/>
      <c r="CYV252" s="9"/>
      <c r="CYW252" s="4"/>
      <c r="CYX252" s="9"/>
      <c r="CYY252" s="4"/>
      <c r="CYZ252" s="9"/>
      <c r="CZA252" s="4"/>
      <c r="CZB252" s="9"/>
      <c r="CZC252" s="4"/>
      <c r="CZD252" s="9"/>
      <c r="CZE252" s="4"/>
      <c r="CZF252" s="9"/>
      <c r="CZG252" s="4"/>
      <c r="CZH252" s="9"/>
      <c r="CZI252" s="4"/>
      <c r="CZJ252" s="9"/>
      <c r="CZK252" s="4"/>
      <c r="CZL252" s="9"/>
      <c r="CZM252" s="4"/>
      <c r="CZN252" s="9"/>
      <c r="CZO252" s="4"/>
      <c r="CZP252" s="9"/>
      <c r="CZQ252" s="4"/>
      <c r="CZR252" s="9"/>
      <c r="CZS252" s="4"/>
      <c r="CZT252" s="9"/>
      <c r="CZU252" s="4"/>
      <c r="CZV252" s="9"/>
      <c r="CZW252" s="4"/>
      <c r="CZX252" s="9"/>
      <c r="CZY252" s="4"/>
      <c r="CZZ252" s="9"/>
      <c r="DAA252" s="4"/>
      <c r="DAB252" s="9"/>
      <c r="DAC252" s="4"/>
      <c r="DAD252" s="9"/>
      <c r="DAE252" s="4"/>
      <c r="DAF252" s="9"/>
      <c r="DAG252" s="4"/>
      <c r="DAH252" s="9"/>
      <c r="DAI252" s="4"/>
      <c r="DAJ252" s="9"/>
      <c r="DAK252" s="4"/>
      <c r="DAL252" s="9"/>
      <c r="DAM252" s="4"/>
      <c r="DAN252" s="9"/>
      <c r="DAO252" s="4"/>
      <c r="DAP252" s="9"/>
      <c r="DAQ252" s="4"/>
      <c r="DAR252" s="9"/>
      <c r="DAS252" s="4"/>
      <c r="DAT252" s="9"/>
      <c r="DAU252" s="4"/>
      <c r="DAV252" s="9"/>
      <c r="DAW252" s="4"/>
      <c r="DAX252" s="9"/>
      <c r="DAY252" s="4"/>
      <c r="DAZ252" s="9"/>
      <c r="DBA252" s="4"/>
      <c r="DBB252" s="9"/>
      <c r="DBC252" s="4"/>
      <c r="DBD252" s="9"/>
      <c r="DBE252" s="4"/>
      <c r="DBF252" s="9"/>
      <c r="DBG252" s="4"/>
      <c r="DBH252" s="9"/>
      <c r="DBI252" s="4"/>
      <c r="DBJ252" s="9"/>
      <c r="DBK252" s="4"/>
      <c r="DBL252" s="9"/>
      <c r="DBM252" s="4"/>
      <c r="DBN252" s="9"/>
      <c r="DBO252" s="4"/>
      <c r="DBP252" s="9"/>
      <c r="DBQ252" s="4"/>
      <c r="DBR252" s="9"/>
      <c r="DBS252" s="4"/>
      <c r="DBT252" s="9"/>
      <c r="DBU252" s="4"/>
      <c r="DBV252" s="9"/>
      <c r="DBW252" s="4"/>
      <c r="DBX252" s="9"/>
      <c r="DBY252" s="4"/>
      <c r="DBZ252" s="9"/>
      <c r="DCA252" s="4"/>
      <c r="DCB252" s="9"/>
      <c r="DCC252" s="4"/>
      <c r="DCD252" s="9"/>
      <c r="DCE252" s="4"/>
      <c r="DCF252" s="9"/>
      <c r="DCG252" s="4"/>
      <c r="DCH252" s="9"/>
      <c r="DCI252" s="4"/>
      <c r="DCJ252" s="9"/>
      <c r="DCK252" s="4"/>
      <c r="DCL252" s="9"/>
      <c r="DCM252" s="4"/>
      <c r="DCN252" s="9"/>
      <c r="DCO252" s="4"/>
      <c r="DCP252" s="9"/>
      <c r="DCQ252" s="4"/>
      <c r="DCR252" s="9"/>
      <c r="DCS252" s="4"/>
      <c r="DCT252" s="9"/>
      <c r="DCU252" s="4"/>
      <c r="DCV252" s="9"/>
      <c r="DCW252" s="4"/>
      <c r="DCX252" s="9"/>
      <c r="DCY252" s="4"/>
      <c r="DCZ252" s="9"/>
      <c r="DDA252" s="4"/>
      <c r="DDB252" s="9"/>
      <c r="DDC252" s="4"/>
      <c r="DDD252" s="9"/>
      <c r="DDE252" s="4"/>
      <c r="DDF252" s="9"/>
      <c r="DDG252" s="4"/>
      <c r="DDH252" s="9"/>
      <c r="DDI252" s="4"/>
      <c r="DDJ252" s="9"/>
      <c r="DDK252" s="4"/>
      <c r="DDL252" s="9"/>
      <c r="DDM252" s="4"/>
      <c r="DDN252" s="9"/>
      <c r="DDO252" s="4"/>
      <c r="DDP252" s="9"/>
      <c r="DDQ252" s="4"/>
      <c r="DDR252" s="9"/>
      <c r="DDS252" s="4"/>
      <c r="DDT252" s="9"/>
      <c r="DDU252" s="4"/>
      <c r="DDV252" s="9"/>
      <c r="DDW252" s="4"/>
      <c r="DDX252" s="9"/>
      <c r="DDY252" s="4"/>
      <c r="DDZ252" s="9"/>
      <c r="DEA252" s="4"/>
      <c r="DEB252" s="9"/>
      <c r="DEC252" s="4"/>
      <c r="DED252" s="9"/>
      <c r="DEE252" s="4"/>
      <c r="DEF252" s="9"/>
      <c r="DEG252" s="4"/>
      <c r="DEH252" s="9"/>
      <c r="DEI252" s="4"/>
      <c r="DEJ252" s="9"/>
      <c r="DEK252" s="4"/>
      <c r="DEL252" s="9"/>
      <c r="DEM252" s="4"/>
      <c r="DEN252" s="9"/>
      <c r="DEO252" s="4"/>
      <c r="DEP252" s="9"/>
      <c r="DEQ252" s="4"/>
      <c r="DER252" s="9"/>
      <c r="DES252" s="4"/>
      <c r="DET252" s="9"/>
      <c r="DEU252" s="4"/>
      <c r="DEV252" s="9"/>
      <c r="DEW252" s="4"/>
      <c r="DEX252" s="9"/>
      <c r="DEY252" s="4"/>
      <c r="DEZ252" s="9"/>
      <c r="DFA252" s="4"/>
      <c r="DFB252" s="9"/>
      <c r="DFC252" s="4"/>
      <c r="DFD252" s="9"/>
      <c r="DFE252" s="4"/>
      <c r="DFF252" s="9"/>
      <c r="DFG252" s="4"/>
      <c r="DFH252" s="9"/>
      <c r="DFI252" s="4"/>
      <c r="DFJ252" s="9"/>
      <c r="DFK252" s="4"/>
      <c r="DFL252" s="9"/>
      <c r="DFM252" s="4"/>
      <c r="DFN252" s="9"/>
      <c r="DFO252" s="4"/>
      <c r="DFP252" s="9"/>
      <c r="DFQ252" s="4"/>
      <c r="DFR252" s="9"/>
      <c r="DFS252" s="4"/>
      <c r="DFT252" s="9"/>
      <c r="DFU252" s="4"/>
      <c r="DFV252" s="9"/>
      <c r="DFW252" s="4"/>
      <c r="DFX252" s="9"/>
      <c r="DFY252" s="4"/>
      <c r="DFZ252" s="9"/>
      <c r="DGA252" s="4"/>
      <c r="DGB252" s="9"/>
      <c r="DGC252" s="4"/>
      <c r="DGD252" s="9"/>
      <c r="DGE252" s="4"/>
      <c r="DGF252" s="9"/>
      <c r="DGG252" s="4"/>
      <c r="DGH252" s="9"/>
      <c r="DGI252" s="4"/>
      <c r="DGJ252" s="9"/>
      <c r="DGK252" s="4"/>
      <c r="DGL252" s="9"/>
      <c r="DGM252" s="4"/>
      <c r="DGN252" s="9"/>
      <c r="DGO252" s="4"/>
      <c r="DGP252" s="9"/>
      <c r="DGQ252" s="4"/>
      <c r="DGR252" s="9"/>
      <c r="DGS252" s="4"/>
      <c r="DGT252" s="9"/>
      <c r="DGU252" s="4"/>
      <c r="DGV252" s="9"/>
      <c r="DGW252" s="4"/>
      <c r="DGX252" s="9"/>
      <c r="DGY252" s="4"/>
      <c r="DGZ252" s="9"/>
      <c r="DHA252" s="4"/>
      <c r="DHB252" s="9"/>
      <c r="DHC252" s="4"/>
      <c r="DHD252" s="9"/>
      <c r="DHE252" s="4"/>
      <c r="DHF252" s="9"/>
      <c r="DHG252" s="4"/>
      <c r="DHH252" s="9"/>
      <c r="DHI252" s="4"/>
      <c r="DHJ252" s="9"/>
      <c r="DHK252" s="4"/>
      <c r="DHL252" s="9"/>
      <c r="DHM252" s="4"/>
      <c r="DHN252" s="9"/>
      <c r="DHO252" s="4"/>
      <c r="DHP252" s="9"/>
      <c r="DHQ252" s="4"/>
      <c r="DHR252" s="9"/>
      <c r="DHS252" s="4"/>
      <c r="DHT252" s="9"/>
      <c r="DHU252" s="4"/>
      <c r="DHV252" s="9"/>
      <c r="DHW252" s="4"/>
      <c r="DHX252" s="9"/>
      <c r="DHY252" s="4"/>
      <c r="DHZ252" s="9"/>
      <c r="DIA252" s="4"/>
      <c r="DIB252" s="9"/>
      <c r="DIC252" s="4"/>
      <c r="DID252" s="9"/>
      <c r="DIE252" s="4"/>
      <c r="DIF252" s="9"/>
      <c r="DIG252" s="4"/>
      <c r="DIH252" s="9"/>
      <c r="DII252" s="4"/>
      <c r="DIJ252" s="9"/>
      <c r="DIK252" s="4"/>
      <c r="DIL252" s="9"/>
      <c r="DIM252" s="4"/>
      <c r="DIN252" s="9"/>
      <c r="DIO252" s="4"/>
      <c r="DIP252" s="9"/>
      <c r="DIQ252" s="4"/>
      <c r="DIR252" s="9"/>
      <c r="DIS252" s="4"/>
      <c r="DIT252" s="9"/>
      <c r="DIU252" s="4"/>
      <c r="DIV252" s="9"/>
      <c r="DIW252" s="4"/>
      <c r="DIX252" s="9"/>
      <c r="DIY252" s="4"/>
      <c r="DIZ252" s="9"/>
      <c r="DJA252" s="4"/>
      <c r="DJB252" s="9"/>
      <c r="DJC252" s="4"/>
      <c r="DJD252" s="9"/>
      <c r="DJE252" s="4"/>
      <c r="DJF252" s="9"/>
      <c r="DJG252" s="4"/>
      <c r="DJH252" s="9"/>
      <c r="DJI252" s="4"/>
      <c r="DJJ252" s="9"/>
      <c r="DJK252" s="4"/>
      <c r="DJL252" s="9"/>
      <c r="DJM252" s="4"/>
      <c r="DJN252" s="9"/>
      <c r="DJO252" s="4"/>
      <c r="DJP252" s="9"/>
      <c r="DJQ252" s="4"/>
      <c r="DJR252" s="9"/>
      <c r="DJS252" s="4"/>
      <c r="DJT252" s="9"/>
      <c r="DJU252" s="4"/>
      <c r="DJV252" s="9"/>
      <c r="DJW252" s="4"/>
      <c r="DJX252" s="9"/>
      <c r="DJY252" s="4"/>
      <c r="DJZ252" s="9"/>
      <c r="DKA252" s="4"/>
      <c r="DKB252" s="9"/>
      <c r="DKC252" s="4"/>
      <c r="DKD252" s="9"/>
      <c r="DKE252" s="4"/>
      <c r="DKF252" s="9"/>
      <c r="DKG252" s="4"/>
      <c r="DKH252" s="9"/>
      <c r="DKI252" s="4"/>
      <c r="DKJ252" s="9"/>
      <c r="DKK252" s="4"/>
      <c r="DKL252" s="9"/>
      <c r="DKM252" s="4"/>
      <c r="DKN252" s="9"/>
      <c r="DKO252" s="4"/>
      <c r="DKP252" s="9"/>
      <c r="DKQ252" s="4"/>
      <c r="DKR252" s="9"/>
      <c r="DKS252" s="4"/>
      <c r="DKT252" s="9"/>
      <c r="DKU252" s="4"/>
      <c r="DKV252" s="9"/>
      <c r="DKW252" s="4"/>
      <c r="DKX252" s="9"/>
      <c r="DKY252" s="4"/>
      <c r="DKZ252" s="9"/>
      <c r="DLA252" s="4"/>
      <c r="DLB252" s="9"/>
      <c r="DLC252" s="4"/>
      <c r="DLD252" s="9"/>
      <c r="DLE252" s="4"/>
      <c r="DLF252" s="9"/>
      <c r="DLG252" s="4"/>
      <c r="DLH252" s="9"/>
      <c r="DLI252" s="4"/>
      <c r="DLJ252" s="9"/>
      <c r="DLK252" s="4"/>
      <c r="DLL252" s="9"/>
      <c r="DLM252" s="4"/>
      <c r="DLN252" s="9"/>
      <c r="DLO252" s="4"/>
      <c r="DLP252" s="9"/>
      <c r="DLQ252" s="4"/>
      <c r="DLR252" s="9"/>
      <c r="DLS252" s="4"/>
      <c r="DLT252" s="9"/>
      <c r="DLU252" s="4"/>
      <c r="DLV252" s="9"/>
      <c r="DLW252" s="4"/>
      <c r="DLX252" s="9"/>
      <c r="DLY252" s="4"/>
      <c r="DLZ252" s="9"/>
      <c r="DMA252" s="4"/>
      <c r="DMB252" s="9"/>
      <c r="DMC252" s="4"/>
      <c r="DMD252" s="9"/>
      <c r="DME252" s="4"/>
      <c r="DMF252" s="9"/>
      <c r="DMG252" s="4"/>
      <c r="DMH252" s="9"/>
      <c r="DMI252" s="4"/>
      <c r="DMJ252" s="9"/>
      <c r="DMK252" s="4"/>
      <c r="DML252" s="9"/>
      <c r="DMM252" s="4"/>
      <c r="DMN252" s="9"/>
      <c r="DMO252" s="4"/>
      <c r="DMP252" s="9"/>
      <c r="DMQ252" s="4"/>
      <c r="DMR252" s="9"/>
      <c r="DMS252" s="4"/>
      <c r="DMT252" s="9"/>
      <c r="DMU252" s="4"/>
      <c r="DMV252" s="9"/>
      <c r="DMW252" s="4"/>
      <c r="DMX252" s="9"/>
      <c r="DMY252" s="4"/>
      <c r="DMZ252" s="9"/>
      <c r="DNA252" s="4"/>
      <c r="DNB252" s="9"/>
      <c r="DNC252" s="4"/>
      <c r="DND252" s="9"/>
      <c r="DNE252" s="4"/>
      <c r="DNF252" s="9"/>
      <c r="DNG252" s="4"/>
      <c r="DNH252" s="9"/>
      <c r="DNI252" s="4"/>
      <c r="DNJ252" s="9"/>
      <c r="DNK252" s="4"/>
      <c r="DNL252" s="9"/>
      <c r="DNM252" s="4"/>
      <c r="DNN252" s="9"/>
      <c r="DNO252" s="4"/>
      <c r="DNP252" s="9"/>
      <c r="DNQ252" s="4"/>
      <c r="DNR252" s="9"/>
      <c r="DNS252" s="4"/>
      <c r="DNT252" s="9"/>
      <c r="DNU252" s="4"/>
      <c r="DNV252" s="9"/>
      <c r="DNW252" s="4"/>
      <c r="DNX252" s="9"/>
      <c r="DNY252" s="4"/>
      <c r="DNZ252" s="9"/>
      <c r="DOA252" s="4"/>
      <c r="DOB252" s="9"/>
      <c r="DOC252" s="4"/>
      <c r="DOD252" s="9"/>
      <c r="DOE252" s="4"/>
      <c r="DOF252" s="9"/>
      <c r="DOG252" s="4"/>
      <c r="DOH252" s="9"/>
      <c r="DOI252" s="4"/>
      <c r="DOJ252" s="9"/>
      <c r="DOK252" s="4"/>
      <c r="DOL252" s="9"/>
      <c r="DOM252" s="4"/>
      <c r="DON252" s="9"/>
      <c r="DOO252" s="4"/>
      <c r="DOP252" s="9"/>
      <c r="DOQ252" s="4"/>
      <c r="DOR252" s="9"/>
      <c r="DOS252" s="4"/>
      <c r="DOT252" s="9"/>
      <c r="DOU252" s="4"/>
      <c r="DOV252" s="9"/>
      <c r="DOW252" s="4"/>
      <c r="DOX252" s="9"/>
      <c r="DOY252" s="4"/>
      <c r="DOZ252" s="9"/>
      <c r="DPA252" s="4"/>
      <c r="DPB252" s="9"/>
      <c r="DPC252" s="4"/>
      <c r="DPD252" s="9"/>
      <c r="DPE252" s="4"/>
      <c r="DPF252" s="9"/>
      <c r="DPG252" s="4"/>
      <c r="DPH252" s="9"/>
      <c r="DPI252" s="4"/>
      <c r="DPJ252" s="9"/>
      <c r="DPK252" s="4"/>
      <c r="DPL252" s="9"/>
      <c r="DPM252" s="4"/>
      <c r="DPN252" s="9"/>
      <c r="DPO252" s="4"/>
      <c r="DPP252" s="9"/>
      <c r="DPQ252" s="4"/>
      <c r="DPR252" s="9"/>
      <c r="DPS252" s="4"/>
      <c r="DPT252" s="9"/>
      <c r="DPU252" s="4"/>
      <c r="DPV252" s="9"/>
      <c r="DPW252" s="4"/>
      <c r="DPX252" s="9"/>
      <c r="DPY252" s="4"/>
      <c r="DPZ252" s="9"/>
      <c r="DQA252" s="4"/>
      <c r="DQB252" s="9"/>
      <c r="DQC252" s="4"/>
      <c r="DQD252" s="9"/>
      <c r="DQE252" s="4"/>
      <c r="DQF252" s="9"/>
      <c r="DQG252" s="4"/>
      <c r="DQH252" s="9"/>
      <c r="DQI252" s="4"/>
      <c r="DQJ252" s="9"/>
      <c r="DQK252" s="4"/>
      <c r="DQL252" s="9"/>
      <c r="DQM252" s="4"/>
      <c r="DQN252" s="9"/>
      <c r="DQO252" s="4"/>
      <c r="DQP252" s="9"/>
      <c r="DQQ252" s="4"/>
      <c r="DQR252" s="9"/>
      <c r="DQS252" s="4"/>
      <c r="DQT252" s="9"/>
      <c r="DQU252" s="4"/>
      <c r="DQV252" s="9"/>
      <c r="DQW252" s="4"/>
      <c r="DQX252" s="9"/>
      <c r="DQY252" s="4"/>
      <c r="DQZ252" s="9"/>
      <c r="DRA252" s="4"/>
      <c r="DRB252" s="9"/>
      <c r="DRC252" s="4"/>
      <c r="DRD252" s="9"/>
      <c r="DRE252" s="4"/>
      <c r="DRF252" s="9"/>
      <c r="DRG252" s="4"/>
      <c r="DRH252" s="9"/>
      <c r="DRI252" s="4"/>
      <c r="DRJ252" s="9"/>
      <c r="DRK252" s="4"/>
      <c r="DRL252" s="9"/>
      <c r="DRM252" s="4"/>
      <c r="DRN252" s="9"/>
      <c r="DRO252" s="4"/>
      <c r="DRP252" s="9"/>
      <c r="DRQ252" s="4"/>
      <c r="DRR252" s="9"/>
      <c r="DRS252" s="4"/>
      <c r="DRT252" s="9"/>
      <c r="DRU252" s="4"/>
      <c r="DRV252" s="9"/>
      <c r="DRW252" s="4"/>
      <c r="DRX252" s="9"/>
      <c r="DRY252" s="4"/>
      <c r="DRZ252" s="9"/>
      <c r="DSA252" s="4"/>
      <c r="DSB252" s="9"/>
      <c r="DSC252" s="4"/>
      <c r="DSD252" s="9"/>
      <c r="DSE252" s="4"/>
      <c r="DSF252" s="9"/>
      <c r="DSG252" s="4"/>
      <c r="DSH252" s="9"/>
      <c r="DSI252" s="4"/>
      <c r="DSJ252" s="9"/>
      <c r="DSK252" s="4"/>
      <c r="DSL252" s="9"/>
      <c r="DSM252" s="4"/>
      <c r="DSN252" s="9"/>
      <c r="DSO252" s="4"/>
      <c r="DSP252" s="9"/>
      <c r="DSQ252" s="4"/>
      <c r="DSR252" s="9"/>
      <c r="DSS252" s="4"/>
      <c r="DST252" s="9"/>
      <c r="DSU252" s="4"/>
      <c r="DSV252" s="9"/>
      <c r="DSW252" s="4"/>
      <c r="DSX252" s="9"/>
      <c r="DSY252" s="4"/>
      <c r="DSZ252" s="9"/>
      <c r="DTA252" s="4"/>
      <c r="DTB252" s="9"/>
      <c r="DTC252" s="4"/>
      <c r="DTD252" s="9"/>
      <c r="DTE252" s="4"/>
      <c r="DTF252" s="9"/>
      <c r="DTG252" s="4"/>
      <c r="DTH252" s="9"/>
      <c r="DTI252" s="4"/>
      <c r="DTJ252" s="9"/>
      <c r="DTK252" s="4"/>
      <c r="DTL252" s="9"/>
      <c r="DTM252" s="4"/>
      <c r="DTN252" s="9"/>
      <c r="DTO252" s="4"/>
      <c r="DTP252" s="9"/>
      <c r="DTQ252" s="4"/>
      <c r="DTR252" s="9"/>
      <c r="DTS252" s="4"/>
      <c r="DTT252" s="9"/>
      <c r="DTU252" s="4"/>
      <c r="DTV252" s="9"/>
      <c r="DTW252" s="4"/>
      <c r="DTX252" s="9"/>
      <c r="DTY252" s="4"/>
      <c r="DTZ252" s="9"/>
      <c r="DUA252" s="4"/>
      <c r="DUB252" s="9"/>
      <c r="DUC252" s="4"/>
      <c r="DUD252" s="9"/>
      <c r="DUE252" s="4"/>
      <c r="DUF252" s="9"/>
      <c r="DUG252" s="4"/>
      <c r="DUH252" s="9"/>
      <c r="DUI252" s="4"/>
      <c r="DUJ252" s="9"/>
      <c r="DUK252" s="4"/>
      <c r="DUL252" s="9"/>
      <c r="DUM252" s="4"/>
      <c r="DUN252" s="9"/>
      <c r="DUO252" s="4"/>
      <c r="DUP252" s="9"/>
      <c r="DUQ252" s="4"/>
      <c r="DUR252" s="9"/>
      <c r="DUS252" s="4"/>
      <c r="DUT252" s="9"/>
      <c r="DUU252" s="4"/>
      <c r="DUV252" s="9"/>
      <c r="DUW252" s="4"/>
      <c r="DUX252" s="9"/>
      <c r="DUY252" s="4"/>
      <c r="DUZ252" s="9"/>
      <c r="DVA252" s="4"/>
      <c r="DVB252" s="9"/>
      <c r="DVC252" s="4"/>
      <c r="DVD252" s="9"/>
      <c r="DVE252" s="4"/>
      <c r="DVF252" s="9"/>
      <c r="DVG252" s="4"/>
      <c r="DVH252" s="9"/>
      <c r="DVI252" s="4"/>
      <c r="DVJ252" s="9"/>
      <c r="DVK252" s="4"/>
      <c r="DVL252" s="9"/>
      <c r="DVM252" s="4"/>
      <c r="DVN252" s="9"/>
      <c r="DVO252" s="4"/>
      <c r="DVP252" s="9"/>
      <c r="DVQ252" s="4"/>
      <c r="DVR252" s="9"/>
      <c r="DVS252" s="4"/>
      <c r="DVT252" s="9"/>
      <c r="DVU252" s="4"/>
      <c r="DVV252" s="9"/>
      <c r="DVW252" s="4"/>
      <c r="DVX252" s="9"/>
      <c r="DVY252" s="4"/>
      <c r="DVZ252" s="9"/>
      <c r="DWA252" s="4"/>
      <c r="DWB252" s="9"/>
      <c r="DWC252" s="4"/>
      <c r="DWD252" s="9"/>
      <c r="DWE252" s="4"/>
      <c r="DWF252" s="9"/>
      <c r="DWG252" s="4"/>
      <c r="DWH252" s="9"/>
      <c r="DWI252" s="4"/>
      <c r="DWJ252" s="9"/>
      <c r="DWK252" s="4"/>
      <c r="DWL252" s="9"/>
      <c r="DWM252" s="4"/>
      <c r="DWN252" s="9"/>
      <c r="DWO252" s="4"/>
      <c r="DWP252" s="9"/>
      <c r="DWQ252" s="4"/>
      <c r="DWR252" s="9"/>
      <c r="DWS252" s="4"/>
      <c r="DWT252" s="9"/>
      <c r="DWU252" s="4"/>
      <c r="DWV252" s="9"/>
      <c r="DWW252" s="4"/>
      <c r="DWX252" s="9"/>
      <c r="DWY252" s="4"/>
      <c r="DWZ252" s="9"/>
      <c r="DXA252" s="4"/>
      <c r="DXB252" s="9"/>
      <c r="DXC252" s="4"/>
      <c r="DXD252" s="9"/>
      <c r="DXE252" s="4"/>
      <c r="DXF252" s="9"/>
      <c r="DXG252" s="4"/>
      <c r="DXH252" s="9"/>
      <c r="DXI252" s="4"/>
      <c r="DXJ252" s="9"/>
      <c r="DXK252" s="4"/>
      <c r="DXL252" s="9"/>
      <c r="DXM252" s="4"/>
      <c r="DXN252" s="9"/>
      <c r="DXO252" s="4"/>
      <c r="DXP252" s="9"/>
      <c r="DXQ252" s="4"/>
      <c r="DXR252" s="9"/>
      <c r="DXS252" s="4"/>
      <c r="DXT252" s="9"/>
      <c r="DXU252" s="4"/>
      <c r="DXV252" s="9"/>
      <c r="DXW252" s="4"/>
      <c r="DXX252" s="9"/>
      <c r="DXY252" s="4"/>
      <c r="DXZ252" s="9"/>
      <c r="DYA252" s="4"/>
      <c r="DYB252" s="9"/>
      <c r="DYC252" s="4"/>
      <c r="DYD252" s="9"/>
      <c r="DYE252" s="4"/>
      <c r="DYF252" s="9"/>
      <c r="DYG252" s="4"/>
      <c r="DYH252" s="9"/>
      <c r="DYI252" s="4"/>
      <c r="DYJ252" s="9"/>
      <c r="DYK252" s="4"/>
      <c r="DYL252" s="9"/>
      <c r="DYM252" s="4"/>
      <c r="DYN252" s="9"/>
      <c r="DYO252" s="4"/>
      <c r="DYP252" s="9"/>
      <c r="DYQ252" s="4"/>
      <c r="DYR252" s="9"/>
      <c r="DYS252" s="4"/>
      <c r="DYT252" s="9"/>
      <c r="DYU252" s="4"/>
      <c r="DYV252" s="9"/>
      <c r="DYW252" s="4"/>
      <c r="DYX252" s="9"/>
      <c r="DYY252" s="4"/>
      <c r="DYZ252" s="9"/>
      <c r="DZA252" s="4"/>
      <c r="DZB252" s="9"/>
      <c r="DZC252" s="4"/>
      <c r="DZD252" s="9"/>
      <c r="DZE252" s="4"/>
      <c r="DZF252" s="9"/>
      <c r="DZG252" s="4"/>
      <c r="DZH252" s="9"/>
      <c r="DZI252" s="4"/>
      <c r="DZJ252" s="9"/>
      <c r="DZK252" s="4"/>
      <c r="DZL252" s="9"/>
      <c r="DZM252" s="4"/>
      <c r="DZN252" s="9"/>
      <c r="DZO252" s="4"/>
      <c r="DZP252" s="9"/>
      <c r="DZQ252" s="4"/>
      <c r="DZR252" s="9"/>
      <c r="DZS252" s="4"/>
      <c r="DZT252" s="9"/>
      <c r="DZU252" s="4"/>
      <c r="DZV252" s="9"/>
      <c r="DZW252" s="4"/>
      <c r="DZX252" s="9"/>
      <c r="DZY252" s="4"/>
      <c r="DZZ252" s="9"/>
      <c r="EAA252" s="4"/>
      <c r="EAB252" s="9"/>
      <c r="EAC252" s="4"/>
      <c r="EAD252" s="9"/>
      <c r="EAE252" s="4"/>
      <c r="EAF252" s="9"/>
      <c r="EAG252" s="4"/>
      <c r="EAH252" s="9"/>
      <c r="EAI252" s="4"/>
      <c r="EAJ252" s="9"/>
      <c r="EAK252" s="4"/>
      <c r="EAL252" s="9"/>
      <c r="EAM252" s="4"/>
      <c r="EAN252" s="9"/>
      <c r="EAO252" s="4"/>
      <c r="EAP252" s="9"/>
      <c r="EAQ252" s="4"/>
      <c r="EAR252" s="9"/>
      <c r="EAS252" s="4"/>
      <c r="EAT252" s="9"/>
      <c r="EAU252" s="4"/>
      <c r="EAV252" s="9"/>
      <c r="EAW252" s="4"/>
      <c r="EAX252" s="9"/>
      <c r="EAY252" s="4"/>
      <c r="EAZ252" s="9"/>
      <c r="EBA252" s="4"/>
      <c r="EBB252" s="9"/>
      <c r="EBC252" s="4"/>
      <c r="EBD252" s="9"/>
      <c r="EBE252" s="4"/>
      <c r="EBF252" s="9"/>
      <c r="EBG252" s="4"/>
      <c r="EBH252" s="9"/>
      <c r="EBI252" s="4"/>
      <c r="EBJ252" s="9"/>
      <c r="EBK252" s="4"/>
      <c r="EBL252" s="9"/>
      <c r="EBM252" s="4"/>
      <c r="EBN252" s="9"/>
      <c r="EBO252" s="4"/>
      <c r="EBP252" s="9"/>
      <c r="EBQ252" s="4"/>
      <c r="EBR252" s="9"/>
      <c r="EBS252" s="4"/>
      <c r="EBT252" s="9"/>
      <c r="EBU252" s="4"/>
      <c r="EBV252" s="9"/>
      <c r="EBW252" s="4"/>
      <c r="EBX252" s="9"/>
      <c r="EBY252" s="4"/>
      <c r="EBZ252" s="9"/>
      <c r="ECA252" s="4"/>
      <c r="ECB252" s="9"/>
      <c r="ECC252" s="4"/>
      <c r="ECD252" s="9"/>
      <c r="ECE252" s="4"/>
      <c r="ECF252" s="9"/>
      <c r="ECG252" s="4"/>
      <c r="ECH252" s="9"/>
      <c r="ECI252" s="4"/>
      <c r="ECJ252" s="9"/>
      <c r="ECK252" s="4"/>
      <c r="ECL252" s="9"/>
      <c r="ECM252" s="4"/>
      <c r="ECN252" s="9"/>
      <c r="ECO252" s="4"/>
      <c r="ECP252" s="9"/>
      <c r="ECQ252" s="4"/>
      <c r="ECR252" s="9"/>
      <c r="ECS252" s="4"/>
      <c r="ECT252" s="9"/>
      <c r="ECU252" s="4"/>
      <c r="ECV252" s="9"/>
      <c r="ECW252" s="4"/>
      <c r="ECX252" s="9"/>
      <c r="ECY252" s="4"/>
      <c r="ECZ252" s="9"/>
      <c r="EDA252" s="4"/>
      <c r="EDB252" s="9"/>
      <c r="EDC252" s="4"/>
      <c r="EDD252" s="9"/>
      <c r="EDE252" s="4"/>
      <c r="EDF252" s="9"/>
      <c r="EDG252" s="4"/>
      <c r="EDH252" s="9"/>
      <c r="EDI252" s="4"/>
      <c r="EDJ252" s="9"/>
      <c r="EDK252" s="4"/>
      <c r="EDL252" s="9"/>
      <c r="EDM252" s="4"/>
      <c r="EDN252" s="9"/>
      <c r="EDO252" s="4"/>
      <c r="EDP252" s="9"/>
      <c r="EDQ252" s="4"/>
      <c r="EDR252" s="9"/>
      <c r="EDS252" s="4"/>
      <c r="EDT252" s="9"/>
      <c r="EDU252" s="4"/>
      <c r="EDV252" s="9"/>
      <c r="EDW252" s="4"/>
      <c r="EDX252" s="9"/>
      <c r="EDY252" s="4"/>
      <c r="EDZ252" s="9"/>
      <c r="EEA252" s="4"/>
      <c r="EEB252" s="9"/>
      <c r="EEC252" s="4"/>
      <c r="EED252" s="9"/>
      <c r="EEE252" s="4"/>
      <c r="EEF252" s="9"/>
      <c r="EEG252" s="4"/>
      <c r="EEH252" s="9"/>
      <c r="EEI252" s="4"/>
      <c r="EEJ252" s="9"/>
      <c r="EEK252" s="4"/>
      <c r="EEL252" s="9"/>
      <c r="EEM252" s="4"/>
      <c r="EEN252" s="9"/>
      <c r="EEO252" s="4"/>
      <c r="EEP252" s="9"/>
      <c r="EEQ252" s="4"/>
      <c r="EER252" s="9"/>
      <c r="EES252" s="4"/>
      <c r="EET252" s="9"/>
      <c r="EEU252" s="4"/>
      <c r="EEV252" s="9"/>
      <c r="EEW252" s="4"/>
      <c r="EEX252" s="9"/>
      <c r="EEY252" s="4"/>
      <c r="EEZ252" s="9"/>
      <c r="EFA252" s="4"/>
      <c r="EFB252" s="9"/>
      <c r="EFC252" s="4"/>
      <c r="EFD252" s="9"/>
      <c r="EFE252" s="4"/>
      <c r="EFF252" s="9"/>
      <c r="EFG252" s="4"/>
      <c r="EFH252" s="9"/>
      <c r="EFI252" s="4"/>
      <c r="EFJ252" s="9"/>
      <c r="EFK252" s="4"/>
      <c r="EFL252" s="9"/>
      <c r="EFM252" s="4"/>
      <c r="EFN252" s="9"/>
      <c r="EFO252" s="4"/>
      <c r="EFP252" s="9"/>
      <c r="EFQ252" s="4"/>
      <c r="EFR252" s="9"/>
      <c r="EFS252" s="4"/>
      <c r="EFT252" s="9"/>
      <c r="EFU252" s="4"/>
      <c r="EFV252" s="9"/>
      <c r="EFW252" s="4"/>
      <c r="EFX252" s="9"/>
      <c r="EFY252" s="4"/>
      <c r="EFZ252" s="9"/>
      <c r="EGA252" s="4"/>
      <c r="EGB252" s="9"/>
      <c r="EGC252" s="4"/>
      <c r="EGD252" s="9"/>
      <c r="EGE252" s="4"/>
      <c r="EGF252" s="9"/>
      <c r="EGG252" s="4"/>
      <c r="EGH252" s="9"/>
      <c r="EGI252" s="4"/>
      <c r="EGJ252" s="9"/>
      <c r="EGK252" s="4"/>
      <c r="EGL252" s="9"/>
      <c r="EGM252" s="4"/>
      <c r="EGN252" s="9"/>
      <c r="EGO252" s="4"/>
      <c r="EGP252" s="9"/>
      <c r="EGQ252" s="4"/>
      <c r="EGR252" s="9"/>
      <c r="EGS252" s="4"/>
      <c r="EGT252" s="9"/>
      <c r="EGU252" s="4"/>
      <c r="EGV252" s="9"/>
      <c r="EGW252" s="4"/>
      <c r="EGX252" s="9"/>
      <c r="EGY252" s="4"/>
      <c r="EGZ252" s="9"/>
      <c r="EHA252" s="4"/>
      <c r="EHB252" s="9"/>
      <c r="EHC252" s="4"/>
      <c r="EHD252" s="9"/>
      <c r="EHE252" s="4"/>
      <c r="EHF252" s="9"/>
      <c r="EHG252" s="4"/>
      <c r="EHH252" s="9"/>
      <c r="EHI252" s="4"/>
      <c r="EHJ252" s="9"/>
      <c r="EHK252" s="4"/>
      <c r="EHL252" s="9"/>
      <c r="EHM252" s="4"/>
      <c r="EHN252" s="9"/>
      <c r="EHO252" s="4"/>
      <c r="EHP252" s="9"/>
      <c r="EHQ252" s="4"/>
      <c r="EHR252" s="9"/>
      <c r="EHS252" s="4"/>
      <c r="EHT252" s="9"/>
      <c r="EHU252" s="4"/>
      <c r="EHV252" s="9"/>
      <c r="EHW252" s="4"/>
      <c r="EHX252" s="9"/>
      <c r="EHY252" s="4"/>
      <c r="EHZ252" s="9"/>
      <c r="EIA252" s="4"/>
      <c r="EIB252" s="9"/>
      <c r="EIC252" s="4"/>
      <c r="EID252" s="9"/>
      <c r="EIE252" s="4"/>
      <c r="EIF252" s="9"/>
      <c r="EIG252" s="4"/>
      <c r="EIH252" s="9"/>
      <c r="EII252" s="4"/>
      <c r="EIJ252" s="9"/>
      <c r="EIK252" s="4"/>
      <c r="EIL252" s="9"/>
      <c r="EIM252" s="4"/>
      <c r="EIN252" s="9"/>
      <c r="EIO252" s="4"/>
      <c r="EIP252" s="9"/>
      <c r="EIQ252" s="4"/>
      <c r="EIR252" s="9"/>
      <c r="EIS252" s="4"/>
      <c r="EIT252" s="9"/>
      <c r="EIU252" s="4"/>
      <c r="EIV252" s="9"/>
      <c r="EIW252" s="4"/>
      <c r="EIX252" s="9"/>
      <c r="EIY252" s="4"/>
      <c r="EIZ252" s="9"/>
      <c r="EJA252" s="4"/>
      <c r="EJB252" s="9"/>
      <c r="EJC252" s="4"/>
      <c r="EJD252" s="9"/>
      <c r="EJE252" s="4"/>
      <c r="EJF252" s="9"/>
      <c r="EJG252" s="4"/>
      <c r="EJH252" s="9"/>
      <c r="EJI252" s="4"/>
      <c r="EJJ252" s="9"/>
      <c r="EJK252" s="4"/>
      <c r="EJL252" s="9"/>
      <c r="EJM252" s="4"/>
      <c r="EJN252" s="9"/>
      <c r="EJO252" s="4"/>
      <c r="EJP252" s="9"/>
      <c r="EJQ252" s="4"/>
      <c r="EJR252" s="9"/>
      <c r="EJS252" s="4"/>
      <c r="EJT252" s="9"/>
      <c r="EJU252" s="4"/>
      <c r="EJV252" s="9"/>
      <c r="EJW252" s="4"/>
      <c r="EJX252" s="9"/>
      <c r="EJY252" s="4"/>
      <c r="EJZ252" s="9"/>
      <c r="EKA252" s="4"/>
      <c r="EKB252" s="9"/>
      <c r="EKC252" s="4"/>
      <c r="EKD252" s="9"/>
      <c r="EKE252" s="4"/>
      <c r="EKF252" s="9"/>
      <c r="EKG252" s="4"/>
      <c r="EKH252" s="9"/>
      <c r="EKI252" s="4"/>
      <c r="EKJ252" s="9"/>
      <c r="EKK252" s="4"/>
      <c r="EKL252" s="9"/>
      <c r="EKM252" s="4"/>
      <c r="EKN252" s="9"/>
      <c r="EKO252" s="4"/>
      <c r="EKP252" s="9"/>
      <c r="EKQ252" s="4"/>
      <c r="EKR252" s="9"/>
      <c r="EKS252" s="4"/>
      <c r="EKT252" s="9"/>
      <c r="EKU252" s="4"/>
      <c r="EKV252" s="9"/>
      <c r="EKW252" s="4"/>
      <c r="EKX252" s="9"/>
      <c r="EKY252" s="4"/>
      <c r="EKZ252" s="9"/>
      <c r="ELA252" s="4"/>
      <c r="ELB252" s="9"/>
      <c r="ELC252" s="4"/>
      <c r="ELD252" s="9"/>
      <c r="ELE252" s="4"/>
      <c r="ELF252" s="9"/>
      <c r="ELG252" s="4"/>
      <c r="ELH252" s="9"/>
      <c r="ELI252" s="4"/>
      <c r="ELJ252" s="9"/>
      <c r="ELK252" s="4"/>
      <c r="ELL252" s="9"/>
      <c r="ELM252" s="4"/>
      <c r="ELN252" s="9"/>
      <c r="ELO252" s="4"/>
      <c r="ELP252" s="9"/>
      <c r="ELQ252" s="4"/>
      <c r="ELR252" s="9"/>
      <c r="ELS252" s="4"/>
      <c r="ELT252" s="9"/>
      <c r="ELU252" s="4"/>
      <c r="ELV252" s="9"/>
      <c r="ELW252" s="4"/>
      <c r="ELX252" s="9"/>
      <c r="ELY252" s="4"/>
      <c r="ELZ252" s="9"/>
      <c r="EMA252" s="4"/>
      <c r="EMB252" s="9"/>
      <c r="EMC252" s="4"/>
      <c r="EMD252" s="9"/>
      <c r="EME252" s="4"/>
      <c r="EMF252" s="9"/>
      <c r="EMG252" s="4"/>
      <c r="EMH252" s="9"/>
      <c r="EMI252" s="4"/>
      <c r="EMJ252" s="9"/>
      <c r="EMK252" s="4"/>
      <c r="EML252" s="9"/>
      <c r="EMM252" s="4"/>
      <c r="EMN252" s="9"/>
      <c r="EMO252" s="4"/>
      <c r="EMP252" s="9"/>
      <c r="EMQ252" s="4"/>
      <c r="EMR252" s="9"/>
      <c r="EMS252" s="4"/>
      <c r="EMT252" s="9"/>
      <c r="EMU252" s="4"/>
      <c r="EMV252" s="9"/>
      <c r="EMW252" s="4"/>
      <c r="EMX252" s="9"/>
      <c r="EMY252" s="4"/>
      <c r="EMZ252" s="9"/>
      <c r="ENA252" s="4"/>
      <c r="ENB252" s="9"/>
      <c r="ENC252" s="4"/>
      <c r="END252" s="9"/>
      <c r="ENE252" s="4"/>
      <c r="ENF252" s="9"/>
      <c r="ENG252" s="4"/>
      <c r="ENH252" s="9"/>
      <c r="ENI252" s="4"/>
      <c r="ENJ252" s="9"/>
      <c r="ENK252" s="4"/>
      <c r="ENL252" s="9"/>
      <c r="ENM252" s="4"/>
      <c r="ENN252" s="9"/>
      <c r="ENO252" s="4"/>
      <c r="ENP252" s="9"/>
      <c r="ENQ252" s="4"/>
      <c r="ENR252" s="9"/>
      <c r="ENS252" s="4"/>
      <c r="ENT252" s="9"/>
      <c r="ENU252" s="4"/>
      <c r="ENV252" s="9"/>
      <c r="ENW252" s="4"/>
      <c r="ENX252" s="9"/>
      <c r="ENY252" s="4"/>
      <c r="ENZ252" s="9"/>
      <c r="EOA252" s="4"/>
      <c r="EOB252" s="9"/>
      <c r="EOC252" s="4"/>
      <c r="EOD252" s="9"/>
      <c r="EOE252" s="4"/>
      <c r="EOF252" s="9"/>
      <c r="EOG252" s="4"/>
      <c r="EOH252" s="9"/>
      <c r="EOI252" s="4"/>
      <c r="EOJ252" s="9"/>
      <c r="EOK252" s="4"/>
      <c r="EOL252" s="9"/>
      <c r="EOM252" s="4"/>
      <c r="EON252" s="9"/>
      <c r="EOO252" s="4"/>
      <c r="EOP252" s="9"/>
      <c r="EOQ252" s="4"/>
      <c r="EOR252" s="9"/>
      <c r="EOS252" s="4"/>
      <c r="EOT252" s="9"/>
      <c r="EOU252" s="4"/>
      <c r="EOV252" s="9"/>
      <c r="EOW252" s="4"/>
      <c r="EOX252" s="9"/>
      <c r="EOY252" s="4"/>
      <c r="EOZ252" s="9"/>
      <c r="EPA252" s="4"/>
      <c r="EPB252" s="9"/>
      <c r="EPC252" s="4"/>
      <c r="EPD252" s="9"/>
      <c r="EPE252" s="4"/>
      <c r="EPF252" s="9"/>
      <c r="EPG252" s="4"/>
      <c r="EPH252" s="9"/>
      <c r="EPI252" s="4"/>
      <c r="EPJ252" s="9"/>
      <c r="EPK252" s="4"/>
      <c r="EPL252" s="9"/>
      <c r="EPM252" s="4"/>
      <c r="EPN252" s="9"/>
      <c r="EPO252" s="4"/>
      <c r="EPP252" s="9"/>
      <c r="EPQ252" s="4"/>
      <c r="EPR252" s="9"/>
      <c r="EPS252" s="4"/>
      <c r="EPT252" s="9"/>
      <c r="EPU252" s="4"/>
      <c r="EPV252" s="9"/>
      <c r="EPW252" s="4"/>
      <c r="EPX252" s="9"/>
      <c r="EPY252" s="4"/>
      <c r="EPZ252" s="9"/>
      <c r="EQA252" s="4"/>
      <c r="EQB252" s="9"/>
      <c r="EQC252" s="4"/>
      <c r="EQD252" s="9"/>
      <c r="EQE252" s="4"/>
      <c r="EQF252" s="9"/>
      <c r="EQG252" s="4"/>
      <c r="EQH252" s="9"/>
      <c r="EQI252" s="4"/>
      <c r="EQJ252" s="9"/>
      <c r="EQK252" s="4"/>
      <c r="EQL252" s="9"/>
      <c r="EQM252" s="4"/>
      <c r="EQN252" s="9"/>
      <c r="EQO252" s="4"/>
      <c r="EQP252" s="9"/>
      <c r="EQQ252" s="4"/>
      <c r="EQR252" s="9"/>
      <c r="EQS252" s="4"/>
      <c r="EQT252" s="9"/>
      <c r="EQU252" s="4"/>
      <c r="EQV252" s="9"/>
      <c r="EQW252" s="4"/>
      <c r="EQX252" s="9"/>
      <c r="EQY252" s="4"/>
      <c r="EQZ252" s="9"/>
      <c r="ERA252" s="4"/>
      <c r="ERB252" s="9"/>
      <c r="ERC252" s="4"/>
      <c r="ERD252" s="9"/>
      <c r="ERE252" s="4"/>
      <c r="ERF252" s="9"/>
      <c r="ERG252" s="4"/>
      <c r="ERH252" s="9"/>
      <c r="ERI252" s="4"/>
      <c r="ERJ252" s="9"/>
      <c r="ERK252" s="4"/>
      <c r="ERL252" s="9"/>
      <c r="ERM252" s="4"/>
      <c r="ERN252" s="9"/>
      <c r="ERO252" s="4"/>
      <c r="ERP252" s="9"/>
      <c r="ERQ252" s="4"/>
      <c r="ERR252" s="9"/>
      <c r="ERS252" s="4"/>
      <c r="ERT252" s="9"/>
      <c r="ERU252" s="4"/>
      <c r="ERV252" s="9"/>
      <c r="ERW252" s="4"/>
      <c r="ERX252" s="9"/>
      <c r="ERY252" s="4"/>
      <c r="ERZ252" s="9"/>
      <c r="ESA252" s="4"/>
      <c r="ESB252" s="9"/>
      <c r="ESC252" s="4"/>
      <c r="ESD252" s="9"/>
      <c r="ESE252" s="4"/>
      <c r="ESF252" s="9"/>
      <c r="ESG252" s="4"/>
      <c r="ESH252" s="9"/>
      <c r="ESI252" s="4"/>
      <c r="ESJ252" s="9"/>
      <c r="ESK252" s="4"/>
      <c r="ESL252" s="9"/>
      <c r="ESM252" s="4"/>
      <c r="ESN252" s="9"/>
      <c r="ESO252" s="4"/>
      <c r="ESP252" s="9"/>
      <c r="ESQ252" s="4"/>
      <c r="ESR252" s="9"/>
      <c r="ESS252" s="4"/>
      <c r="EST252" s="9"/>
      <c r="ESU252" s="4"/>
      <c r="ESV252" s="9"/>
      <c r="ESW252" s="4"/>
      <c r="ESX252" s="9"/>
      <c r="ESY252" s="4"/>
      <c r="ESZ252" s="9"/>
      <c r="ETA252" s="4"/>
      <c r="ETB252" s="9"/>
      <c r="ETC252" s="4"/>
      <c r="ETD252" s="9"/>
      <c r="ETE252" s="4"/>
      <c r="ETF252" s="9"/>
      <c r="ETG252" s="4"/>
      <c r="ETH252" s="9"/>
      <c r="ETI252" s="4"/>
      <c r="ETJ252" s="9"/>
      <c r="ETK252" s="4"/>
      <c r="ETL252" s="9"/>
      <c r="ETM252" s="4"/>
      <c r="ETN252" s="9"/>
      <c r="ETO252" s="4"/>
      <c r="ETP252" s="9"/>
      <c r="ETQ252" s="4"/>
      <c r="ETR252" s="9"/>
      <c r="ETS252" s="4"/>
      <c r="ETT252" s="9"/>
      <c r="ETU252" s="4"/>
      <c r="ETV252" s="9"/>
      <c r="ETW252" s="4"/>
      <c r="ETX252" s="9"/>
      <c r="ETY252" s="4"/>
      <c r="ETZ252" s="9"/>
      <c r="EUA252" s="4"/>
      <c r="EUB252" s="9"/>
      <c r="EUC252" s="4"/>
      <c r="EUD252" s="9"/>
      <c r="EUE252" s="4"/>
      <c r="EUF252" s="9"/>
      <c r="EUG252" s="4"/>
      <c r="EUH252" s="9"/>
      <c r="EUI252" s="4"/>
      <c r="EUJ252" s="9"/>
      <c r="EUK252" s="4"/>
      <c r="EUL252" s="9"/>
      <c r="EUM252" s="4"/>
      <c r="EUN252" s="9"/>
      <c r="EUO252" s="4"/>
      <c r="EUP252" s="9"/>
      <c r="EUQ252" s="4"/>
      <c r="EUR252" s="9"/>
      <c r="EUS252" s="4"/>
      <c r="EUT252" s="9"/>
      <c r="EUU252" s="4"/>
      <c r="EUV252" s="9"/>
      <c r="EUW252" s="4"/>
      <c r="EUX252" s="9"/>
      <c r="EUY252" s="4"/>
      <c r="EUZ252" s="9"/>
      <c r="EVA252" s="4"/>
      <c r="EVB252" s="9"/>
      <c r="EVC252" s="4"/>
      <c r="EVD252" s="9"/>
      <c r="EVE252" s="4"/>
      <c r="EVF252" s="9"/>
      <c r="EVG252" s="4"/>
      <c r="EVH252" s="9"/>
      <c r="EVI252" s="4"/>
      <c r="EVJ252" s="9"/>
      <c r="EVK252" s="4"/>
      <c r="EVL252" s="9"/>
      <c r="EVM252" s="4"/>
      <c r="EVN252" s="9"/>
      <c r="EVO252" s="4"/>
      <c r="EVP252" s="9"/>
      <c r="EVQ252" s="4"/>
      <c r="EVR252" s="9"/>
      <c r="EVS252" s="4"/>
      <c r="EVT252" s="9"/>
      <c r="EVU252" s="4"/>
      <c r="EVV252" s="9"/>
      <c r="EVW252" s="4"/>
      <c r="EVX252" s="9"/>
      <c r="EVY252" s="4"/>
      <c r="EVZ252" s="9"/>
      <c r="EWA252" s="4"/>
      <c r="EWB252" s="9"/>
      <c r="EWC252" s="4"/>
      <c r="EWD252" s="9"/>
      <c r="EWE252" s="4"/>
      <c r="EWF252" s="9"/>
      <c r="EWG252" s="4"/>
      <c r="EWH252" s="9"/>
      <c r="EWI252" s="4"/>
      <c r="EWJ252" s="9"/>
      <c r="EWK252" s="4"/>
      <c r="EWL252" s="9"/>
      <c r="EWM252" s="4"/>
      <c r="EWN252" s="9"/>
      <c r="EWO252" s="4"/>
      <c r="EWP252" s="9"/>
      <c r="EWQ252" s="4"/>
      <c r="EWR252" s="9"/>
      <c r="EWS252" s="4"/>
      <c r="EWT252" s="9"/>
      <c r="EWU252" s="4"/>
      <c r="EWV252" s="9"/>
      <c r="EWW252" s="4"/>
      <c r="EWX252" s="9"/>
      <c r="EWY252" s="4"/>
      <c r="EWZ252" s="9"/>
      <c r="EXA252" s="4"/>
      <c r="EXB252" s="9"/>
      <c r="EXC252" s="4"/>
      <c r="EXD252" s="9"/>
      <c r="EXE252" s="4"/>
      <c r="EXF252" s="9"/>
      <c r="EXG252" s="4"/>
      <c r="EXH252" s="9"/>
      <c r="EXI252" s="4"/>
      <c r="EXJ252" s="9"/>
      <c r="EXK252" s="4"/>
      <c r="EXL252" s="9"/>
      <c r="EXM252" s="4"/>
      <c r="EXN252" s="9"/>
      <c r="EXO252" s="4"/>
      <c r="EXP252" s="9"/>
      <c r="EXQ252" s="4"/>
      <c r="EXR252" s="9"/>
      <c r="EXS252" s="4"/>
      <c r="EXT252" s="9"/>
      <c r="EXU252" s="4"/>
      <c r="EXV252" s="9"/>
      <c r="EXW252" s="4"/>
      <c r="EXX252" s="9"/>
      <c r="EXY252" s="4"/>
      <c r="EXZ252" s="9"/>
      <c r="EYA252" s="4"/>
      <c r="EYB252" s="9"/>
      <c r="EYC252" s="4"/>
      <c r="EYD252" s="9"/>
      <c r="EYE252" s="4"/>
      <c r="EYF252" s="9"/>
      <c r="EYG252" s="4"/>
      <c r="EYH252" s="9"/>
      <c r="EYI252" s="4"/>
      <c r="EYJ252" s="9"/>
      <c r="EYK252" s="4"/>
      <c r="EYL252" s="9"/>
      <c r="EYM252" s="4"/>
      <c r="EYN252" s="9"/>
      <c r="EYO252" s="4"/>
      <c r="EYP252" s="9"/>
      <c r="EYQ252" s="4"/>
      <c r="EYR252" s="9"/>
      <c r="EYS252" s="4"/>
      <c r="EYT252" s="9"/>
      <c r="EYU252" s="4"/>
      <c r="EYV252" s="9"/>
      <c r="EYW252" s="4"/>
      <c r="EYX252" s="9"/>
      <c r="EYY252" s="4"/>
      <c r="EYZ252" s="9"/>
      <c r="EZA252" s="4"/>
      <c r="EZB252" s="9"/>
      <c r="EZC252" s="4"/>
      <c r="EZD252" s="9"/>
      <c r="EZE252" s="4"/>
      <c r="EZF252" s="9"/>
      <c r="EZG252" s="4"/>
      <c r="EZH252" s="9"/>
      <c r="EZI252" s="4"/>
      <c r="EZJ252" s="9"/>
      <c r="EZK252" s="4"/>
      <c r="EZL252" s="9"/>
      <c r="EZM252" s="4"/>
      <c r="EZN252" s="9"/>
      <c r="EZO252" s="4"/>
      <c r="EZP252" s="9"/>
      <c r="EZQ252" s="4"/>
      <c r="EZR252" s="9"/>
      <c r="EZS252" s="4"/>
      <c r="EZT252" s="9"/>
      <c r="EZU252" s="4"/>
      <c r="EZV252" s="9"/>
      <c r="EZW252" s="4"/>
      <c r="EZX252" s="9"/>
      <c r="EZY252" s="4"/>
      <c r="EZZ252" s="9"/>
      <c r="FAA252" s="4"/>
      <c r="FAB252" s="9"/>
      <c r="FAC252" s="4"/>
      <c r="FAD252" s="9"/>
      <c r="FAE252" s="4"/>
      <c r="FAF252" s="9"/>
      <c r="FAG252" s="4"/>
      <c r="FAH252" s="9"/>
      <c r="FAI252" s="4"/>
      <c r="FAJ252" s="9"/>
      <c r="FAK252" s="4"/>
      <c r="FAL252" s="9"/>
      <c r="FAM252" s="4"/>
      <c r="FAN252" s="9"/>
      <c r="FAO252" s="4"/>
      <c r="FAP252" s="9"/>
      <c r="FAQ252" s="4"/>
      <c r="FAR252" s="9"/>
      <c r="FAS252" s="4"/>
      <c r="FAT252" s="9"/>
      <c r="FAU252" s="4"/>
      <c r="FAV252" s="9"/>
      <c r="FAW252" s="4"/>
      <c r="FAX252" s="9"/>
      <c r="FAY252" s="4"/>
      <c r="FAZ252" s="9"/>
      <c r="FBA252" s="4"/>
      <c r="FBB252" s="9"/>
      <c r="FBC252" s="4"/>
      <c r="FBD252" s="9"/>
      <c r="FBE252" s="4"/>
      <c r="FBF252" s="9"/>
      <c r="FBG252" s="4"/>
      <c r="FBH252" s="9"/>
      <c r="FBI252" s="4"/>
      <c r="FBJ252" s="9"/>
      <c r="FBK252" s="4"/>
      <c r="FBL252" s="9"/>
      <c r="FBM252" s="4"/>
      <c r="FBN252" s="9"/>
      <c r="FBO252" s="4"/>
      <c r="FBP252" s="9"/>
      <c r="FBQ252" s="4"/>
      <c r="FBR252" s="9"/>
      <c r="FBS252" s="4"/>
      <c r="FBT252" s="9"/>
      <c r="FBU252" s="4"/>
      <c r="FBV252" s="9"/>
      <c r="FBW252" s="4"/>
      <c r="FBX252" s="9"/>
      <c r="FBY252" s="4"/>
      <c r="FBZ252" s="9"/>
      <c r="FCA252" s="4"/>
      <c r="FCB252" s="9"/>
      <c r="FCC252" s="4"/>
      <c r="FCD252" s="9"/>
      <c r="FCE252" s="4"/>
      <c r="FCF252" s="9"/>
      <c r="FCG252" s="4"/>
      <c r="FCH252" s="9"/>
      <c r="FCI252" s="4"/>
      <c r="FCJ252" s="9"/>
      <c r="FCK252" s="4"/>
      <c r="FCL252" s="9"/>
      <c r="FCM252" s="4"/>
      <c r="FCN252" s="9"/>
      <c r="FCO252" s="4"/>
      <c r="FCP252" s="9"/>
      <c r="FCQ252" s="4"/>
      <c r="FCR252" s="9"/>
      <c r="FCS252" s="4"/>
      <c r="FCT252" s="9"/>
      <c r="FCU252" s="4"/>
      <c r="FCV252" s="9"/>
      <c r="FCW252" s="4"/>
      <c r="FCX252" s="9"/>
      <c r="FCY252" s="4"/>
      <c r="FCZ252" s="9"/>
      <c r="FDA252" s="4"/>
      <c r="FDB252" s="9"/>
      <c r="FDC252" s="4"/>
      <c r="FDD252" s="9"/>
      <c r="FDE252" s="4"/>
      <c r="FDF252" s="9"/>
      <c r="FDG252" s="4"/>
      <c r="FDH252" s="9"/>
      <c r="FDI252" s="4"/>
      <c r="FDJ252" s="9"/>
      <c r="FDK252" s="4"/>
      <c r="FDL252" s="9"/>
      <c r="FDM252" s="4"/>
      <c r="FDN252" s="9"/>
      <c r="FDO252" s="4"/>
      <c r="FDP252" s="9"/>
      <c r="FDQ252" s="4"/>
      <c r="FDR252" s="9"/>
      <c r="FDS252" s="4"/>
      <c r="FDT252" s="9"/>
      <c r="FDU252" s="4"/>
      <c r="FDV252" s="9"/>
      <c r="FDW252" s="4"/>
      <c r="FDX252" s="9"/>
      <c r="FDY252" s="4"/>
      <c r="FDZ252" s="9"/>
      <c r="FEA252" s="4"/>
      <c r="FEB252" s="9"/>
      <c r="FEC252" s="4"/>
      <c r="FED252" s="9"/>
      <c r="FEE252" s="4"/>
      <c r="FEF252" s="9"/>
      <c r="FEG252" s="4"/>
      <c r="FEH252" s="9"/>
      <c r="FEI252" s="4"/>
      <c r="FEJ252" s="9"/>
      <c r="FEK252" s="4"/>
      <c r="FEL252" s="9"/>
      <c r="FEM252" s="4"/>
      <c r="FEN252" s="9"/>
      <c r="FEO252" s="4"/>
      <c r="FEP252" s="9"/>
      <c r="FEQ252" s="4"/>
      <c r="FER252" s="9"/>
      <c r="FES252" s="4"/>
      <c r="FET252" s="9"/>
      <c r="FEU252" s="4"/>
      <c r="FEV252" s="9"/>
      <c r="FEW252" s="4"/>
      <c r="FEX252" s="9"/>
      <c r="FEY252" s="4"/>
      <c r="FEZ252" s="9"/>
      <c r="FFA252" s="4"/>
      <c r="FFB252" s="9"/>
      <c r="FFC252" s="4"/>
      <c r="FFD252" s="9"/>
      <c r="FFE252" s="4"/>
      <c r="FFF252" s="9"/>
      <c r="FFG252" s="4"/>
      <c r="FFH252" s="9"/>
      <c r="FFI252" s="4"/>
      <c r="FFJ252" s="9"/>
      <c r="FFK252" s="4"/>
      <c r="FFL252" s="9"/>
      <c r="FFM252" s="4"/>
      <c r="FFN252" s="9"/>
      <c r="FFO252" s="4"/>
      <c r="FFP252" s="9"/>
      <c r="FFQ252" s="4"/>
      <c r="FFR252" s="9"/>
      <c r="FFS252" s="4"/>
      <c r="FFT252" s="9"/>
      <c r="FFU252" s="4"/>
      <c r="FFV252" s="9"/>
      <c r="FFW252" s="4"/>
      <c r="FFX252" s="9"/>
      <c r="FFY252" s="4"/>
      <c r="FFZ252" s="9"/>
      <c r="FGA252" s="4"/>
      <c r="FGB252" s="9"/>
      <c r="FGC252" s="4"/>
      <c r="FGD252" s="9"/>
      <c r="FGE252" s="4"/>
      <c r="FGF252" s="9"/>
      <c r="FGG252" s="4"/>
      <c r="FGH252" s="9"/>
      <c r="FGI252" s="4"/>
      <c r="FGJ252" s="9"/>
      <c r="FGK252" s="4"/>
      <c r="FGL252" s="9"/>
      <c r="FGM252" s="4"/>
      <c r="FGN252" s="9"/>
      <c r="FGO252" s="4"/>
      <c r="FGP252" s="9"/>
      <c r="FGQ252" s="4"/>
      <c r="FGR252" s="9"/>
      <c r="FGS252" s="4"/>
      <c r="FGT252" s="9"/>
      <c r="FGU252" s="4"/>
      <c r="FGV252" s="9"/>
      <c r="FGW252" s="4"/>
      <c r="FGX252" s="9"/>
      <c r="FGY252" s="4"/>
      <c r="FGZ252" s="9"/>
      <c r="FHA252" s="4"/>
      <c r="FHB252" s="9"/>
      <c r="FHC252" s="4"/>
      <c r="FHD252" s="9"/>
      <c r="FHE252" s="4"/>
      <c r="FHF252" s="9"/>
      <c r="FHG252" s="4"/>
      <c r="FHH252" s="9"/>
      <c r="FHI252" s="4"/>
      <c r="FHJ252" s="9"/>
      <c r="FHK252" s="4"/>
      <c r="FHL252" s="9"/>
      <c r="FHM252" s="4"/>
      <c r="FHN252" s="9"/>
      <c r="FHO252" s="4"/>
      <c r="FHP252" s="9"/>
      <c r="FHQ252" s="4"/>
      <c r="FHR252" s="9"/>
      <c r="FHS252" s="4"/>
      <c r="FHT252" s="9"/>
      <c r="FHU252" s="4"/>
      <c r="FHV252" s="9"/>
      <c r="FHW252" s="4"/>
      <c r="FHX252" s="9"/>
      <c r="FHY252" s="4"/>
      <c r="FHZ252" s="9"/>
      <c r="FIA252" s="4"/>
      <c r="FIB252" s="9"/>
      <c r="FIC252" s="4"/>
      <c r="FID252" s="9"/>
      <c r="FIE252" s="4"/>
      <c r="FIF252" s="9"/>
      <c r="FIG252" s="4"/>
      <c r="FIH252" s="9"/>
      <c r="FII252" s="4"/>
      <c r="FIJ252" s="9"/>
      <c r="FIK252" s="4"/>
      <c r="FIL252" s="9"/>
      <c r="FIM252" s="4"/>
      <c r="FIN252" s="9"/>
      <c r="FIO252" s="4"/>
      <c r="FIP252" s="9"/>
      <c r="FIQ252" s="4"/>
      <c r="FIR252" s="9"/>
      <c r="FIS252" s="4"/>
      <c r="FIT252" s="9"/>
      <c r="FIU252" s="4"/>
      <c r="FIV252" s="9"/>
      <c r="FIW252" s="4"/>
      <c r="FIX252" s="9"/>
      <c r="FIY252" s="4"/>
      <c r="FIZ252" s="9"/>
      <c r="FJA252" s="4"/>
      <c r="FJB252" s="9"/>
      <c r="FJC252" s="4"/>
      <c r="FJD252" s="9"/>
      <c r="FJE252" s="4"/>
      <c r="FJF252" s="9"/>
      <c r="FJG252" s="4"/>
      <c r="FJH252" s="9"/>
      <c r="FJI252" s="4"/>
      <c r="FJJ252" s="9"/>
      <c r="FJK252" s="4"/>
      <c r="FJL252" s="9"/>
      <c r="FJM252" s="4"/>
      <c r="FJN252" s="9"/>
      <c r="FJO252" s="4"/>
      <c r="FJP252" s="9"/>
      <c r="FJQ252" s="4"/>
      <c r="FJR252" s="9"/>
      <c r="FJS252" s="4"/>
      <c r="FJT252" s="9"/>
      <c r="FJU252" s="4"/>
      <c r="FJV252" s="9"/>
      <c r="FJW252" s="4"/>
      <c r="FJX252" s="9"/>
      <c r="FJY252" s="4"/>
      <c r="FJZ252" s="9"/>
      <c r="FKA252" s="4"/>
      <c r="FKB252" s="9"/>
      <c r="FKC252" s="4"/>
      <c r="FKD252" s="9"/>
      <c r="FKE252" s="4"/>
      <c r="FKF252" s="9"/>
      <c r="FKG252" s="4"/>
      <c r="FKH252" s="9"/>
      <c r="FKI252" s="4"/>
      <c r="FKJ252" s="9"/>
      <c r="FKK252" s="4"/>
      <c r="FKL252" s="9"/>
      <c r="FKM252" s="4"/>
      <c r="FKN252" s="9"/>
      <c r="FKO252" s="4"/>
      <c r="FKP252" s="9"/>
      <c r="FKQ252" s="4"/>
      <c r="FKR252" s="9"/>
      <c r="FKS252" s="4"/>
      <c r="FKT252" s="9"/>
      <c r="FKU252" s="4"/>
      <c r="FKV252" s="9"/>
      <c r="FKW252" s="4"/>
      <c r="FKX252" s="9"/>
      <c r="FKY252" s="4"/>
      <c r="FKZ252" s="9"/>
      <c r="FLA252" s="4"/>
      <c r="FLB252" s="9"/>
      <c r="FLC252" s="4"/>
      <c r="FLD252" s="9"/>
      <c r="FLE252" s="4"/>
      <c r="FLF252" s="9"/>
      <c r="FLG252" s="4"/>
      <c r="FLH252" s="9"/>
      <c r="FLI252" s="4"/>
      <c r="FLJ252" s="9"/>
      <c r="FLK252" s="4"/>
      <c r="FLL252" s="9"/>
      <c r="FLM252" s="4"/>
      <c r="FLN252" s="9"/>
      <c r="FLO252" s="4"/>
      <c r="FLP252" s="9"/>
      <c r="FLQ252" s="4"/>
      <c r="FLR252" s="9"/>
      <c r="FLS252" s="4"/>
      <c r="FLT252" s="9"/>
      <c r="FLU252" s="4"/>
      <c r="FLV252" s="9"/>
      <c r="FLW252" s="4"/>
      <c r="FLX252" s="9"/>
      <c r="FLY252" s="4"/>
      <c r="FLZ252" s="9"/>
      <c r="FMA252" s="4"/>
      <c r="FMB252" s="9"/>
      <c r="FMC252" s="4"/>
      <c r="FMD252" s="9"/>
      <c r="FME252" s="4"/>
      <c r="FMF252" s="9"/>
      <c r="FMG252" s="4"/>
      <c r="FMH252" s="9"/>
      <c r="FMI252" s="4"/>
      <c r="FMJ252" s="9"/>
      <c r="FMK252" s="4"/>
      <c r="FML252" s="9"/>
      <c r="FMM252" s="4"/>
      <c r="FMN252" s="9"/>
      <c r="FMO252" s="4"/>
      <c r="FMP252" s="9"/>
      <c r="FMQ252" s="4"/>
      <c r="FMR252" s="9"/>
      <c r="FMS252" s="4"/>
      <c r="FMT252" s="9"/>
      <c r="FMU252" s="4"/>
      <c r="FMV252" s="9"/>
      <c r="FMW252" s="4"/>
      <c r="FMX252" s="9"/>
      <c r="FMY252" s="4"/>
      <c r="FMZ252" s="9"/>
      <c r="FNA252" s="4"/>
      <c r="FNB252" s="9"/>
      <c r="FNC252" s="4"/>
      <c r="FND252" s="9"/>
      <c r="FNE252" s="4"/>
      <c r="FNF252" s="9"/>
      <c r="FNG252" s="4"/>
      <c r="FNH252" s="9"/>
      <c r="FNI252" s="4"/>
      <c r="FNJ252" s="9"/>
      <c r="FNK252" s="4"/>
      <c r="FNL252" s="9"/>
      <c r="FNM252" s="4"/>
      <c r="FNN252" s="9"/>
      <c r="FNO252" s="4"/>
      <c r="FNP252" s="9"/>
      <c r="FNQ252" s="4"/>
      <c r="FNR252" s="9"/>
      <c r="FNS252" s="4"/>
      <c r="FNT252" s="9"/>
      <c r="FNU252" s="4"/>
      <c r="FNV252" s="9"/>
      <c r="FNW252" s="4"/>
      <c r="FNX252" s="9"/>
      <c r="FNY252" s="4"/>
      <c r="FNZ252" s="9"/>
      <c r="FOA252" s="4"/>
      <c r="FOB252" s="9"/>
      <c r="FOC252" s="4"/>
      <c r="FOD252" s="9"/>
      <c r="FOE252" s="4"/>
      <c r="FOF252" s="9"/>
      <c r="FOG252" s="4"/>
      <c r="FOH252" s="9"/>
      <c r="FOI252" s="4"/>
      <c r="FOJ252" s="9"/>
      <c r="FOK252" s="4"/>
      <c r="FOL252" s="9"/>
      <c r="FOM252" s="4"/>
      <c r="FON252" s="9"/>
      <c r="FOO252" s="4"/>
      <c r="FOP252" s="9"/>
      <c r="FOQ252" s="4"/>
      <c r="FOR252" s="9"/>
      <c r="FOS252" s="4"/>
      <c r="FOT252" s="9"/>
      <c r="FOU252" s="4"/>
      <c r="FOV252" s="9"/>
      <c r="FOW252" s="4"/>
      <c r="FOX252" s="9"/>
      <c r="FOY252" s="4"/>
      <c r="FOZ252" s="9"/>
      <c r="FPA252" s="4"/>
      <c r="FPB252" s="9"/>
      <c r="FPC252" s="4"/>
      <c r="FPD252" s="9"/>
      <c r="FPE252" s="4"/>
      <c r="FPF252" s="9"/>
      <c r="FPG252" s="4"/>
      <c r="FPH252" s="9"/>
      <c r="FPI252" s="4"/>
      <c r="FPJ252" s="9"/>
      <c r="FPK252" s="4"/>
      <c r="FPL252" s="9"/>
      <c r="FPM252" s="4"/>
      <c r="FPN252" s="9"/>
      <c r="FPO252" s="4"/>
      <c r="FPP252" s="9"/>
      <c r="FPQ252" s="4"/>
      <c r="FPR252" s="9"/>
      <c r="FPS252" s="4"/>
      <c r="FPT252" s="9"/>
      <c r="FPU252" s="4"/>
      <c r="FPV252" s="9"/>
      <c r="FPW252" s="4"/>
      <c r="FPX252" s="9"/>
      <c r="FPY252" s="4"/>
      <c r="FPZ252" s="9"/>
      <c r="FQA252" s="4"/>
      <c r="FQB252" s="9"/>
      <c r="FQC252" s="4"/>
      <c r="FQD252" s="9"/>
      <c r="FQE252" s="4"/>
      <c r="FQF252" s="9"/>
      <c r="FQG252" s="4"/>
      <c r="FQH252" s="9"/>
      <c r="FQI252" s="4"/>
      <c r="FQJ252" s="9"/>
      <c r="FQK252" s="4"/>
      <c r="FQL252" s="9"/>
      <c r="FQM252" s="4"/>
      <c r="FQN252" s="9"/>
      <c r="FQO252" s="4"/>
      <c r="FQP252" s="9"/>
      <c r="FQQ252" s="4"/>
      <c r="FQR252" s="9"/>
      <c r="FQS252" s="4"/>
      <c r="FQT252" s="9"/>
      <c r="FQU252" s="4"/>
      <c r="FQV252" s="9"/>
      <c r="FQW252" s="4"/>
      <c r="FQX252" s="9"/>
      <c r="FQY252" s="4"/>
      <c r="FQZ252" s="9"/>
      <c r="FRA252" s="4"/>
      <c r="FRB252" s="9"/>
      <c r="FRC252" s="4"/>
      <c r="FRD252" s="9"/>
      <c r="FRE252" s="4"/>
      <c r="FRF252" s="9"/>
      <c r="FRG252" s="4"/>
      <c r="FRH252" s="9"/>
      <c r="FRI252" s="4"/>
      <c r="FRJ252" s="9"/>
      <c r="FRK252" s="4"/>
      <c r="FRL252" s="9"/>
      <c r="FRM252" s="4"/>
      <c r="FRN252" s="9"/>
      <c r="FRO252" s="4"/>
      <c r="FRP252" s="9"/>
      <c r="FRQ252" s="4"/>
      <c r="FRR252" s="9"/>
      <c r="FRS252" s="4"/>
      <c r="FRT252" s="9"/>
      <c r="FRU252" s="4"/>
      <c r="FRV252" s="9"/>
      <c r="FRW252" s="4"/>
      <c r="FRX252" s="9"/>
      <c r="FRY252" s="4"/>
      <c r="FRZ252" s="9"/>
      <c r="FSA252" s="4"/>
      <c r="FSB252" s="9"/>
      <c r="FSC252" s="4"/>
      <c r="FSD252" s="9"/>
      <c r="FSE252" s="4"/>
      <c r="FSF252" s="9"/>
      <c r="FSG252" s="4"/>
      <c r="FSH252" s="9"/>
      <c r="FSI252" s="4"/>
      <c r="FSJ252" s="9"/>
      <c r="FSK252" s="4"/>
      <c r="FSL252" s="9"/>
      <c r="FSM252" s="4"/>
      <c r="FSN252" s="9"/>
      <c r="FSO252" s="4"/>
      <c r="FSP252" s="9"/>
      <c r="FSQ252" s="4"/>
      <c r="FSR252" s="9"/>
      <c r="FSS252" s="4"/>
      <c r="FST252" s="9"/>
      <c r="FSU252" s="4"/>
      <c r="FSV252" s="9"/>
      <c r="FSW252" s="4"/>
      <c r="FSX252" s="9"/>
      <c r="FSY252" s="4"/>
      <c r="FSZ252" s="9"/>
      <c r="FTA252" s="4"/>
      <c r="FTB252" s="9"/>
      <c r="FTC252" s="4"/>
      <c r="FTD252" s="9"/>
      <c r="FTE252" s="4"/>
      <c r="FTF252" s="9"/>
      <c r="FTG252" s="4"/>
      <c r="FTH252" s="9"/>
      <c r="FTI252" s="4"/>
      <c r="FTJ252" s="9"/>
      <c r="FTK252" s="4"/>
      <c r="FTL252" s="9"/>
      <c r="FTM252" s="4"/>
      <c r="FTN252" s="9"/>
      <c r="FTO252" s="4"/>
      <c r="FTP252" s="9"/>
      <c r="FTQ252" s="4"/>
      <c r="FTR252" s="9"/>
      <c r="FTS252" s="4"/>
      <c r="FTT252" s="9"/>
      <c r="FTU252" s="4"/>
      <c r="FTV252" s="9"/>
      <c r="FTW252" s="4"/>
      <c r="FTX252" s="9"/>
      <c r="FTY252" s="4"/>
      <c r="FTZ252" s="9"/>
      <c r="FUA252" s="4"/>
      <c r="FUB252" s="9"/>
      <c r="FUC252" s="4"/>
      <c r="FUD252" s="9"/>
      <c r="FUE252" s="4"/>
      <c r="FUF252" s="9"/>
      <c r="FUG252" s="4"/>
      <c r="FUH252" s="9"/>
      <c r="FUI252" s="4"/>
      <c r="FUJ252" s="9"/>
      <c r="FUK252" s="4"/>
      <c r="FUL252" s="9"/>
      <c r="FUM252" s="4"/>
      <c r="FUN252" s="9"/>
      <c r="FUO252" s="4"/>
      <c r="FUP252" s="9"/>
      <c r="FUQ252" s="4"/>
      <c r="FUR252" s="9"/>
      <c r="FUS252" s="4"/>
      <c r="FUT252" s="9"/>
      <c r="FUU252" s="4"/>
      <c r="FUV252" s="9"/>
      <c r="FUW252" s="4"/>
      <c r="FUX252" s="9"/>
      <c r="FUY252" s="4"/>
      <c r="FUZ252" s="9"/>
      <c r="FVA252" s="4"/>
      <c r="FVB252" s="9"/>
      <c r="FVC252" s="4"/>
      <c r="FVD252" s="9"/>
      <c r="FVE252" s="4"/>
      <c r="FVF252" s="9"/>
      <c r="FVG252" s="4"/>
      <c r="FVH252" s="9"/>
      <c r="FVI252" s="4"/>
      <c r="FVJ252" s="9"/>
      <c r="FVK252" s="4"/>
      <c r="FVL252" s="9"/>
      <c r="FVM252" s="4"/>
      <c r="FVN252" s="9"/>
      <c r="FVO252" s="4"/>
      <c r="FVP252" s="9"/>
      <c r="FVQ252" s="4"/>
      <c r="FVR252" s="9"/>
      <c r="FVS252" s="4"/>
      <c r="FVT252" s="9"/>
      <c r="FVU252" s="4"/>
      <c r="FVV252" s="9"/>
      <c r="FVW252" s="4"/>
      <c r="FVX252" s="9"/>
      <c r="FVY252" s="4"/>
      <c r="FVZ252" s="9"/>
      <c r="FWA252" s="4"/>
      <c r="FWB252" s="9"/>
      <c r="FWC252" s="4"/>
      <c r="FWD252" s="9"/>
      <c r="FWE252" s="4"/>
      <c r="FWF252" s="9"/>
      <c r="FWG252" s="4"/>
      <c r="FWH252" s="9"/>
      <c r="FWI252" s="4"/>
      <c r="FWJ252" s="9"/>
      <c r="FWK252" s="4"/>
      <c r="FWL252" s="9"/>
      <c r="FWM252" s="4"/>
      <c r="FWN252" s="9"/>
      <c r="FWO252" s="4"/>
      <c r="FWP252" s="9"/>
      <c r="FWQ252" s="4"/>
      <c r="FWR252" s="9"/>
      <c r="FWS252" s="4"/>
      <c r="FWT252" s="9"/>
      <c r="FWU252" s="4"/>
      <c r="FWV252" s="9"/>
      <c r="FWW252" s="4"/>
      <c r="FWX252" s="9"/>
      <c r="FWY252" s="4"/>
      <c r="FWZ252" s="9"/>
      <c r="FXA252" s="4"/>
      <c r="FXB252" s="9"/>
      <c r="FXC252" s="4"/>
      <c r="FXD252" s="9"/>
      <c r="FXE252" s="4"/>
      <c r="FXF252" s="9"/>
      <c r="FXG252" s="4"/>
      <c r="FXH252" s="9"/>
      <c r="FXI252" s="4"/>
      <c r="FXJ252" s="9"/>
      <c r="FXK252" s="4"/>
      <c r="FXL252" s="9"/>
      <c r="FXM252" s="4"/>
      <c r="FXN252" s="9"/>
      <c r="FXO252" s="4"/>
      <c r="FXP252" s="9"/>
      <c r="FXQ252" s="4"/>
      <c r="FXR252" s="9"/>
      <c r="FXS252" s="4"/>
      <c r="FXT252" s="9"/>
      <c r="FXU252" s="4"/>
      <c r="FXV252" s="9"/>
      <c r="FXW252" s="4"/>
      <c r="FXX252" s="9"/>
      <c r="FXY252" s="4"/>
      <c r="FXZ252" s="9"/>
      <c r="FYA252" s="4"/>
      <c r="FYB252" s="9"/>
      <c r="FYC252" s="4"/>
      <c r="FYD252" s="9"/>
      <c r="FYE252" s="4"/>
      <c r="FYF252" s="9"/>
      <c r="FYG252" s="4"/>
      <c r="FYH252" s="9"/>
      <c r="FYI252" s="4"/>
      <c r="FYJ252" s="9"/>
      <c r="FYK252" s="4"/>
      <c r="FYL252" s="9"/>
      <c r="FYM252" s="4"/>
      <c r="FYN252" s="9"/>
      <c r="FYO252" s="4"/>
      <c r="FYP252" s="9"/>
      <c r="FYQ252" s="4"/>
      <c r="FYR252" s="9"/>
      <c r="FYS252" s="4"/>
      <c r="FYT252" s="9"/>
      <c r="FYU252" s="4"/>
      <c r="FYV252" s="9"/>
      <c r="FYW252" s="4"/>
      <c r="FYX252" s="9"/>
      <c r="FYY252" s="4"/>
      <c r="FYZ252" s="9"/>
      <c r="FZA252" s="4"/>
      <c r="FZB252" s="9"/>
      <c r="FZC252" s="4"/>
      <c r="FZD252" s="9"/>
      <c r="FZE252" s="4"/>
      <c r="FZF252" s="9"/>
      <c r="FZG252" s="4"/>
      <c r="FZH252" s="9"/>
      <c r="FZI252" s="4"/>
      <c r="FZJ252" s="9"/>
      <c r="FZK252" s="4"/>
      <c r="FZL252" s="9"/>
      <c r="FZM252" s="4"/>
      <c r="FZN252" s="9"/>
      <c r="FZO252" s="4"/>
      <c r="FZP252" s="9"/>
      <c r="FZQ252" s="4"/>
      <c r="FZR252" s="9"/>
      <c r="FZS252" s="4"/>
      <c r="FZT252" s="9"/>
      <c r="FZU252" s="4"/>
      <c r="FZV252" s="9"/>
      <c r="FZW252" s="4"/>
      <c r="FZX252" s="9"/>
      <c r="FZY252" s="4"/>
      <c r="FZZ252" s="9"/>
      <c r="GAA252" s="4"/>
      <c r="GAB252" s="9"/>
      <c r="GAC252" s="4"/>
      <c r="GAD252" s="9"/>
      <c r="GAE252" s="4"/>
      <c r="GAF252" s="9"/>
      <c r="GAG252" s="4"/>
      <c r="GAH252" s="9"/>
      <c r="GAI252" s="4"/>
      <c r="GAJ252" s="9"/>
      <c r="GAK252" s="4"/>
      <c r="GAL252" s="9"/>
      <c r="GAM252" s="4"/>
      <c r="GAN252" s="9"/>
      <c r="GAO252" s="4"/>
      <c r="GAP252" s="9"/>
      <c r="GAQ252" s="4"/>
      <c r="GAR252" s="9"/>
      <c r="GAS252" s="4"/>
      <c r="GAT252" s="9"/>
      <c r="GAU252" s="4"/>
      <c r="GAV252" s="9"/>
      <c r="GAW252" s="4"/>
      <c r="GAX252" s="9"/>
      <c r="GAY252" s="4"/>
      <c r="GAZ252" s="9"/>
      <c r="GBA252" s="4"/>
      <c r="GBB252" s="9"/>
      <c r="GBC252" s="4"/>
      <c r="GBD252" s="9"/>
      <c r="GBE252" s="4"/>
      <c r="GBF252" s="9"/>
      <c r="GBG252" s="4"/>
      <c r="GBH252" s="9"/>
      <c r="GBI252" s="4"/>
      <c r="GBJ252" s="9"/>
      <c r="GBK252" s="4"/>
      <c r="GBL252" s="9"/>
      <c r="GBM252" s="4"/>
      <c r="GBN252" s="9"/>
      <c r="GBO252" s="4"/>
      <c r="GBP252" s="9"/>
      <c r="GBQ252" s="4"/>
      <c r="GBR252" s="9"/>
      <c r="GBS252" s="4"/>
      <c r="GBT252" s="9"/>
      <c r="GBU252" s="4"/>
      <c r="GBV252" s="9"/>
      <c r="GBW252" s="4"/>
      <c r="GBX252" s="9"/>
      <c r="GBY252" s="4"/>
      <c r="GBZ252" s="9"/>
      <c r="GCA252" s="4"/>
      <c r="GCB252" s="9"/>
      <c r="GCC252" s="4"/>
      <c r="GCD252" s="9"/>
      <c r="GCE252" s="4"/>
      <c r="GCF252" s="9"/>
      <c r="GCG252" s="4"/>
      <c r="GCH252" s="9"/>
      <c r="GCI252" s="4"/>
      <c r="GCJ252" s="9"/>
      <c r="GCK252" s="4"/>
      <c r="GCL252" s="9"/>
      <c r="GCM252" s="4"/>
      <c r="GCN252" s="9"/>
      <c r="GCO252" s="4"/>
      <c r="GCP252" s="9"/>
      <c r="GCQ252" s="4"/>
      <c r="GCR252" s="9"/>
      <c r="GCS252" s="4"/>
      <c r="GCT252" s="9"/>
      <c r="GCU252" s="4"/>
      <c r="GCV252" s="9"/>
      <c r="GCW252" s="4"/>
      <c r="GCX252" s="9"/>
      <c r="GCY252" s="4"/>
      <c r="GCZ252" s="9"/>
      <c r="GDA252" s="4"/>
      <c r="GDB252" s="9"/>
      <c r="GDC252" s="4"/>
      <c r="GDD252" s="9"/>
      <c r="GDE252" s="4"/>
      <c r="GDF252" s="9"/>
      <c r="GDG252" s="4"/>
      <c r="GDH252" s="9"/>
      <c r="GDI252" s="4"/>
      <c r="GDJ252" s="9"/>
      <c r="GDK252" s="4"/>
      <c r="GDL252" s="9"/>
      <c r="GDM252" s="4"/>
      <c r="GDN252" s="9"/>
      <c r="GDO252" s="4"/>
      <c r="GDP252" s="9"/>
      <c r="GDQ252" s="4"/>
      <c r="GDR252" s="9"/>
      <c r="GDS252" s="4"/>
      <c r="GDT252" s="9"/>
      <c r="GDU252" s="4"/>
      <c r="GDV252" s="9"/>
      <c r="GDW252" s="4"/>
      <c r="GDX252" s="9"/>
      <c r="GDY252" s="4"/>
      <c r="GDZ252" s="9"/>
      <c r="GEA252" s="4"/>
      <c r="GEB252" s="9"/>
      <c r="GEC252" s="4"/>
      <c r="GED252" s="9"/>
      <c r="GEE252" s="4"/>
      <c r="GEF252" s="9"/>
      <c r="GEG252" s="4"/>
      <c r="GEH252" s="9"/>
      <c r="GEI252" s="4"/>
      <c r="GEJ252" s="9"/>
      <c r="GEK252" s="4"/>
      <c r="GEL252" s="9"/>
      <c r="GEM252" s="4"/>
      <c r="GEN252" s="9"/>
      <c r="GEO252" s="4"/>
      <c r="GEP252" s="9"/>
      <c r="GEQ252" s="4"/>
      <c r="GER252" s="9"/>
      <c r="GES252" s="4"/>
      <c r="GET252" s="9"/>
      <c r="GEU252" s="4"/>
      <c r="GEV252" s="9"/>
      <c r="GEW252" s="4"/>
      <c r="GEX252" s="9"/>
      <c r="GEY252" s="4"/>
      <c r="GEZ252" s="9"/>
      <c r="GFA252" s="4"/>
      <c r="GFB252" s="9"/>
      <c r="GFC252" s="4"/>
      <c r="GFD252" s="9"/>
      <c r="GFE252" s="4"/>
      <c r="GFF252" s="9"/>
      <c r="GFG252" s="4"/>
      <c r="GFH252" s="9"/>
      <c r="GFI252" s="4"/>
      <c r="GFJ252" s="9"/>
      <c r="GFK252" s="4"/>
      <c r="GFL252" s="9"/>
      <c r="GFM252" s="4"/>
      <c r="GFN252" s="9"/>
      <c r="GFO252" s="4"/>
      <c r="GFP252" s="9"/>
      <c r="GFQ252" s="4"/>
      <c r="GFR252" s="9"/>
      <c r="GFS252" s="4"/>
      <c r="GFT252" s="9"/>
      <c r="GFU252" s="4"/>
      <c r="GFV252" s="9"/>
      <c r="GFW252" s="4"/>
      <c r="GFX252" s="9"/>
      <c r="GFY252" s="4"/>
      <c r="GFZ252" s="9"/>
      <c r="GGA252" s="4"/>
      <c r="GGB252" s="9"/>
      <c r="GGC252" s="4"/>
      <c r="GGD252" s="9"/>
      <c r="GGE252" s="4"/>
      <c r="GGF252" s="9"/>
      <c r="GGG252" s="4"/>
      <c r="GGH252" s="9"/>
      <c r="GGI252" s="4"/>
      <c r="GGJ252" s="9"/>
      <c r="GGK252" s="4"/>
      <c r="GGL252" s="9"/>
      <c r="GGM252" s="4"/>
      <c r="GGN252" s="9"/>
      <c r="GGO252" s="4"/>
      <c r="GGP252" s="9"/>
      <c r="GGQ252" s="4"/>
      <c r="GGR252" s="9"/>
      <c r="GGS252" s="4"/>
      <c r="GGT252" s="9"/>
      <c r="GGU252" s="4"/>
      <c r="GGV252" s="9"/>
      <c r="GGW252" s="4"/>
      <c r="GGX252" s="9"/>
      <c r="GGY252" s="4"/>
      <c r="GGZ252" s="9"/>
      <c r="GHA252" s="4"/>
      <c r="GHB252" s="9"/>
      <c r="GHC252" s="4"/>
      <c r="GHD252" s="9"/>
      <c r="GHE252" s="4"/>
      <c r="GHF252" s="9"/>
      <c r="GHG252" s="4"/>
      <c r="GHH252" s="9"/>
      <c r="GHI252" s="4"/>
      <c r="GHJ252" s="9"/>
      <c r="GHK252" s="4"/>
      <c r="GHL252" s="9"/>
      <c r="GHM252" s="4"/>
      <c r="GHN252" s="9"/>
      <c r="GHO252" s="4"/>
      <c r="GHP252" s="9"/>
      <c r="GHQ252" s="4"/>
      <c r="GHR252" s="9"/>
      <c r="GHS252" s="4"/>
      <c r="GHT252" s="9"/>
      <c r="GHU252" s="4"/>
      <c r="GHV252" s="9"/>
      <c r="GHW252" s="4"/>
      <c r="GHX252" s="9"/>
      <c r="GHY252" s="4"/>
      <c r="GHZ252" s="9"/>
      <c r="GIA252" s="4"/>
      <c r="GIB252" s="9"/>
      <c r="GIC252" s="4"/>
      <c r="GID252" s="9"/>
      <c r="GIE252" s="4"/>
      <c r="GIF252" s="9"/>
      <c r="GIG252" s="4"/>
      <c r="GIH252" s="9"/>
      <c r="GII252" s="4"/>
      <c r="GIJ252" s="9"/>
      <c r="GIK252" s="4"/>
      <c r="GIL252" s="9"/>
      <c r="GIM252" s="4"/>
      <c r="GIN252" s="9"/>
      <c r="GIO252" s="4"/>
      <c r="GIP252" s="9"/>
      <c r="GIQ252" s="4"/>
      <c r="GIR252" s="9"/>
      <c r="GIS252" s="4"/>
      <c r="GIT252" s="9"/>
      <c r="GIU252" s="4"/>
      <c r="GIV252" s="9"/>
      <c r="GIW252" s="4"/>
      <c r="GIX252" s="9"/>
      <c r="GIY252" s="4"/>
      <c r="GIZ252" s="9"/>
      <c r="GJA252" s="4"/>
      <c r="GJB252" s="9"/>
      <c r="GJC252" s="4"/>
      <c r="GJD252" s="9"/>
      <c r="GJE252" s="4"/>
      <c r="GJF252" s="9"/>
      <c r="GJG252" s="4"/>
      <c r="GJH252" s="9"/>
      <c r="GJI252" s="4"/>
      <c r="GJJ252" s="9"/>
      <c r="GJK252" s="4"/>
      <c r="GJL252" s="9"/>
      <c r="GJM252" s="4"/>
      <c r="GJN252" s="9"/>
      <c r="GJO252" s="4"/>
      <c r="GJP252" s="9"/>
      <c r="GJQ252" s="4"/>
      <c r="GJR252" s="9"/>
      <c r="GJS252" s="4"/>
      <c r="GJT252" s="9"/>
      <c r="GJU252" s="4"/>
      <c r="GJV252" s="9"/>
      <c r="GJW252" s="4"/>
      <c r="GJX252" s="9"/>
      <c r="GJY252" s="4"/>
      <c r="GJZ252" s="9"/>
      <c r="GKA252" s="4"/>
      <c r="GKB252" s="9"/>
      <c r="GKC252" s="4"/>
      <c r="GKD252" s="9"/>
      <c r="GKE252" s="4"/>
      <c r="GKF252" s="9"/>
      <c r="GKG252" s="4"/>
      <c r="GKH252" s="9"/>
      <c r="GKI252" s="4"/>
      <c r="GKJ252" s="9"/>
      <c r="GKK252" s="4"/>
      <c r="GKL252" s="9"/>
      <c r="GKM252" s="4"/>
      <c r="GKN252" s="9"/>
      <c r="GKO252" s="4"/>
      <c r="GKP252" s="9"/>
      <c r="GKQ252" s="4"/>
      <c r="GKR252" s="9"/>
      <c r="GKS252" s="4"/>
      <c r="GKT252" s="9"/>
      <c r="GKU252" s="4"/>
      <c r="GKV252" s="9"/>
      <c r="GKW252" s="4"/>
      <c r="GKX252" s="9"/>
      <c r="GKY252" s="4"/>
      <c r="GKZ252" s="9"/>
      <c r="GLA252" s="4"/>
      <c r="GLB252" s="9"/>
      <c r="GLC252" s="4"/>
      <c r="GLD252" s="9"/>
      <c r="GLE252" s="4"/>
      <c r="GLF252" s="9"/>
      <c r="GLG252" s="4"/>
      <c r="GLH252" s="9"/>
      <c r="GLI252" s="4"/>
      <c r="GLJ252" s="9"/>
      <c r="GLK252" s="4"/>
      <c r="GLL252" s="9"/>
      <c r="GLM252" s="4"/>
      <c r="GLN252" s="9"/>
      <c r="GLO252" s="4"/>
      <c r="GLP252" s="9"/>
      <c r="GLQ252" s="4"/>
      <c r="GLR252" s="9"/>
      <c r="GLS252" s="4"/>
      <c r="GLT252" s="9"/>
      <c r="GLU252" s="4"/>
      <c r="GLV252" s="9"/>
      <c r="GLW252" s="4"/>
      <c r="GLX252" s="9"/>
      <c r="GLY252" s="4"/>
      <c r="GLZ252" s="9"/>
      <c r="GMA252" s="4"/>
      <c r="GMB252" s="9"/>
      <c r="GMC252" s="4"/>
      <c r="GMD252" s="9"/>
      <c r="GME252" s="4"/>
      <c r="GMF252" s="9"/>
      <c r="GMG252" s="4"/>
      <c r="GMH252" s="9"/>
      <c r="GMI252" s="4"/>
      <c r="GMJ252" s="9"/>
      <c r="GMK252" s="4"/>
      <c r="GML252" s="9"/>
      <c r="GMM252" s="4"/>
      <c r="GMN252" s="9"/>
      <c r="GMO252" s="4"/>
      <c r="GMP252" s="9"/>
      <c r="GMQ252" s="4"/>
      <c r="GMR252" s="9"/>
      <c r="GMS252" s="4"/>
      <c r="GMT252" s="9"/>
      <c r="GMU252" s="4"/>
      <c r="GMV252" s="9"/>
      <c r="GMW252" s="4"/>
      <c r="GMX252" s="9"/>
      <c r="GMY252" s="4"/>
      <c r="GMZ252" s="9"/>
      <c r="GNA252" s="4"/>
      <c r="GNB252" s="9"/>
      <c r="GNC252" s="4"/>
      <c r="GND252" s="9"/>
      <c r="GNE252" s="4"/>
      <c r="GNF252" s="9"/>
      <c r="GNG252" s="4"/>
      <c r="GNH252" s="9"/>
      <c r="GNI252" s="4"/>
      <c r="GNJ252" s="9"/>
      <c r="GNK252" s="4"/>
      <c r="GNL252" s="9"/>
      <c r="GNM252" s="4"/>
      <c r="GNN252" s="9"/>
      <c r="GNO252" s="4"/>
      <c r="GNP252" s="9"/>
      <c r="GNQ252" s="4"/>
      <c r="GNR252" s="9"/>
      <c r="GNS252" s="4"/>
      <c r="GNT252" s="9"/>
      <c r="GNU252" s="4"/>
      <c r="GNV252" s="9"/>
      <c r="GNW252" s="4"/>
      <c r="GNX252" s="9"/>
      <c r="GNY252" s="4"/>
      <c r="GNZ252" s="9"/>
      <c r="GOA252" s="4"/>
      <c r="GOB252" s="9"/>
      <c r="GOC252" s="4"/>
      <c r="GOD252" s="9"/>
      <c r="GOE252" s="4"/>
      <c r="GOF252" s="9"/>
      <c r="GOG252" s="4"/>
      <c r="GOH252" s="9"/>
      <c r="GOI252" s="4"/>
      <c r="GOJ252" s="9"/>
      <c r="GOK252" s="4"/>
      <c r="GOL252" s="9"/>
      <c r="GOM252" s="4"/>
      <c r="GON252" s="9"/>
      <c r="GOO252" s="4"/>
      <c r="GOP252" s="9"/>
      <c r="GOQ252" s="4"/>
      <c r="GOR252" s="9"/>
      <c r="GOS252" s="4"/>
      <c r="GOT252" s="9"/>
      <c r="GOU252" s="4"/>
      <c r="GOV252" s="9"/>
      <c r="GOW252" s="4"/>
      <c r="GOX252" s="9"/>
      <c r="GOY252" s="4"/>
      <c r="GOZ252" s="9"/>
      <c r="GPA252" s="4"/>
      <c r="GPB252" s="9"/>
      <c r="GPC252" s="4"/>
      <c r="GPD252" s="9"/>
      <c r="GPE252" s="4"/>
      <c r="GPF252" s="9"/>
      <c r="GPG252" s="4"/>
      <c r="GPH252" s="9"/>
      <c r="GPI252" s="4"/>
      <c r="GPJ252" s="9"/>
      <c r="GPK252" s="4"/>
      <c r="GPL252" s="9"/>
      <c r="GPM252" s="4"/>
      <c r="GPN252" s="9"/>
      <c r="GPO252" s="4"/>
      <c r="GPP252" s="9"/>
      <c r="GPQ252" s="4"/>
      <c r="GPR252" s="9"/>
      <c r="GPS252" s="4"/>
      <c r="GPT252" s="9"/>
      <c r="GPU252" s="4"/>
      <c r="GPV252" s="9"/>
      <c r="GPW252" s="4"/>
      <c r="GPX252" s="9"/>
      <c r="GPY252" s="4"/>
      <c r="GPZ252" s="9"/>
      <c r="GQA252" s="4"/>
      <c r="GQB252" s="9"/>
      <c r="GQC252" s="4"/>
      <c r="GQD252" s="9"/>
      <c r="GQE252" s="4"/>
      <c r="GQF252" s="9"/>
      <c r="GQG252" s="4"/>
      <c r="GQH252" s="9"/>
      <c r="GQI252" s="4"/>
      <c r="GQJ252" s="9"/>
      <c r="GQK252" s="4"/>
      <c r="GQL252" s="9"/>
      <c r="GQM252" s="4"/>
      <c r="GQN252" s="9"/>
      <c r="GQO252" s="4"/>
      <c r="GQP252" s="9"/>
      <c r="GQQ252" s="4"/>
      <c r="GQR252" s="9"/>
      <c r="GQS252" s="4"/>
      <c r="GQT252" s="9"/>
      <c r="GQU252" s="4"/>
      <c r="GQV252" s="9"/>
      <c r="GQW252" s="4"/>
      <c r="GQX252" s="9"/>
      <c r="GQY252" s="4"/>
      <c r="GQZ252" s="9"/>
      <c r="GRA252" s="4"/>
      <c r="GRB252" s="9"/>
      <c r="GRC252" s="4"/>
      <c r="GRD252" s="9"/>
      <c r="GRE252" s="4"/>
      <c r="GRF252" s="9"/>
      <c r="GRG252" s="4"/>
      <c r="GRH252" s="9"/>
      <c r="GRI252" s="4"/>
      <c r="GRJ252" s="9"/>
      <c r="GRK252" s="4"/>
      <c r="GRL252" s="9"/>
      <c r="GRM252" s="4"/>
      <c r="GRN252" s="9"/>
      <c r="GRO252" s="4"/>
      <c r="GRP252" s="9"/>
      <c r="GRQ252" s="4"/>
      <c r="GRR252" s="9"/>
      <c r="GRS252" s="4"/>
      <c r="GRT252" s="9"/>
      <c r="GRU252" s="4"/>
      <c r="GRV252" s="9"/>
      <c r="GRW252" s="4"/>
      <c r="GRX252" s="9"/>
      <c r="GRY252" s="4"/>
      <c r="GRZ252" s="9"/>
      <c r="GSA252" s="4"/>
      <c r="GSB252" s="9"/>
      <c r="GSC252" s="4"/>
      <c r="GSD252" s="9"/>
      <c r="GSE252" s="4"/>
      <c r="GSF252" s="9"/>
      <c r="GSG252" s="4"/>
      <c r="GSH252" s="9"/>
      <c r="GSI252" s="4"/>
      <c r="GSJ252" s="9"/>
      <c r="GSK252" s="4"/>
      <c r="GSL252" s="9"/>
      <c r="GSM252" s="4"/>
      <c r="GSN252" s="9"/>
      <c r="GSO252" s="4"/>
      <c r="GSP252" s="9"/>
      <c r="GSQ252" s="4"/>
      <c r="GSR252" s="9"/>
      <c r="GSS252" s="4"/>
      <c r="GST252" s="9"/>
      <c r="GSU252" s="4"/>
      <c r="GSV252" s="9"/>
      <c r="GSW252" s="4"/>
      <c r="GSX252" s="9"/>
      <c r="GSY252" s="4"/>
      <c r="GSZ252" s="9"/>
      <c r="GTA252" s="4"/>
      <c r="GTB252" s="9"/>
      <c r="GTC252" s="4"/>
      <c r="GTD252" s="9"/>
      <c r="GTE252" s="4"/>
      <c r="GTF252" s="9"/>
      <c r="GTG252" s="4"/>
      <c r="GTH252" s="9"/>
      <c r="GTI252" s="4"/>
      <c r="GTJ252" s="9"/>
      <c r="GTK252" s="4"/>
      <c r="GTL252" s="9"/>
      <c r="GTM252" s="4"/>
      <c r="GTN252" s="9"/>
      <c r="GTO252" s="4"/>
      <c r="GTP252" s="9"/>
      <c r="GTQ252" s="4"/>
      <c r="GTR252" s="9"/>
      <c r="GTS252" s="4"/>
      <c r="GTT252" s="9"/>
      <c r="GTU252" s="4"/>
      <c r="GTV252" s="9"/>
      <c r="GTW252" s="4"/>
      <c r="GTX252" s="9"/>
      <c r="GTY252" s="4"/>
      <c r="GTZ252" s="9"/>
      <c r="GUA252" s="4"/>
      <c r="GUB252" s="9"/>
      <c r="GUC252" s="4"/>
      <c r="GUD252" s="9"/>
      <c r="GUE252" s="4"/>
      <c r="GUF252" s="9"/>
      <c r="GUG252" s="4"/>
      <c r="GUH252" s="9"/>
      <c r="GUI252" s="4"/>
      <c r="GUJ252" s="9"/>
      <c r="GUK252" s="4"/>
      <c r="GUL252" s="9"/>
      <c r="GUM252" s="4"/>
      <c r="GUN252" s="9"/>
      <c r="GUO252" s="4"/>
      <c r="GUP252" s="9"/>
      <c r="GUQ252" s="4"/>
      <c r="GUR252" s="9"/>
      <c r="GUS252" s="4"/>
      <c r="GUT252" s="9"/>
      <c r="GUU252" s="4"/>
      <c r="GUV252" s="9"/>
      <c r="GUW252" s="4"/>
      <c r="GUX252" s="9"/>
      <c r="GUY252" s="4"/>
      <c r="GUZ252" s="9"/>
      <c r="GVA252" s="4"/>
      <c r="GVB252" s="9"/>
      <c r="GVC252" s="4"/>
      <c r="GVD252" s="9"/>
      <c r="GVE252" s="4"/>
      <c r="GVF252" s="9"/>
      <c r="GVG252" s="4"/>
      <c r="GVH252" s="9"/>
      <c r="GVI252" s="4"/>
      <c r="GVJ252" s="9"/>
      <c r="GVK252" s="4"/>
      <c r="GVL252" s="9"/>
      <c r="GVM252" s="4"/>
      <c r="GVN252" s="9"/>
      <c r="GVO252" s="4"/>
      <c r="GVP252" s="9"/>
      <c r="GVQ252" s="4"/>
      <c r="GVR252" s="9"/>
      <c r="GVS252" s="4"/>
      <c r="GVT252" s="9"/>
      <c r="GVU252" s="4"/>
      <c r="GVV252" s="9"/>
      <c r="GVW252" s="4"/>
      <c r="GVX252" s="9"/>
      <c r="GVY252" s="4"/>
      <c r="GVZ252" s="9"/>
      <c r="GWA252" s="4"/>
      <c r="GWB252" s="9"/>
      <c r="GWC252" s="4"/>
      <c r="GWD252" s="9"/>
      <c r="GWE252" s="4"/>
      <c r="GWF252" s="9"/>
      <c r="GWG252" s="4"/>
      <c r="GWH252" s="9"/>
      <c r="GWI252" s="4"/>
      <c r="GWJ252" s="9"/>
      <c r="GWK252" s="4"/>
      <c r="GWL252" s="9"/>
      <c r="GWM252" s="4"/>
      <c r="GWN252" s="9"/>
      <c r="GWO252" s="4"/>
      <c r="GWP252" s="9"/>
      <c r="GWQ252" s="4"/>
      <c r="GWR252" s="9"/>
      <c r="GWS252" s="4"/>
      <c r="GWT252" s="9"/>
      <c r="GWU252" s="4"/>
      <c r="GWV252" s="9"/>
      <c r="GWW252" s="4"/>
      <c r="GWX252" s="9"/>
      <c r="GWY252" s="4"/>
      <c r="GWZ252" s="9"/>
      <c r="GXA252" s="4"/>
      <c r="GXB252" s="9"/>
      <c r="GXC252" s="4"/>
      <c r="GXD252" s="9"/>
      <c r="GXE252" s="4"/>
      <c r="GXF252" s="9"/>
      <c r="GXG252" s="4"/>
      <c r="GXH252" s="9"/>
      <c r="GXI252" s="4"/>
      <c r="GXJ252" s="9"/>
      <c r="GXK252" s="4"/>
      <c r="GXL252" s="9"/>
      <c r="GXM252" s="4"/>
      <c r="GXN252" s="9"/>
      <c r="GXO252" s="4"/>
      <c r="GXP252" s="9"/>
      <c r="GXQ252" s="4"/>
      <c r="GXR252" s="9"/>
      <c r="GXS252" s="4"/>
      <c r="GXT252" s="9"/>
      <c r="GXU252" s="4"/>
      <c r="GXV252" s="9"/>
      <c r="GXW252" s="4"/>
      <c r="GXX252" s="9"/>
      <c r="GXY252" s="4"/>
      <c r="GXZ252" s="9"/>
      <c r="GYA252" s="4"/>
      <c r="GYB252" s="9"/>
      <c r="GYC252" s="4"/>
      <c r="GYD252" s="9"/>
      <c r="GYE252" s="4"/>
      <c r="GYF252" s="9"/>
      <c r="GYG252" s="4"/>
      <c r="GYH252" s="9"/>
      <c r="GYI252" s="4"/>
      <c r="GYJ252" s="9"/>
      <c r="GYK252" s="4"/>
      <c r="GYL252" s="9"/>
      <c r="GYM252" s="4"/>
      <c r="GYN252" s="9"/>
      <c r="GYO252" s="4"/>
      <c r="GYP252" s="9"/>
      <c r="GYQ252" s="4"/>
      <c r="GYR252" s="9"/>
      <c r="GYS252" s="4"/>
      <c r="GYT252" s="9"/>
      <c r="GYU252" s="4"/>
      <c r="GYV252" s="9"/>
      <c r="GYW252" s="4"/>
      <c r="GYX252" s="9"/>
      <c r="GYY252" s="4"/>
      <c r="GYZ252" s="9"/>
      <c r="GZA252" s="4"/>
      <c r="GZB252" s="9"/>
      <c r="GZC252" s="4"/>
      <c r="GZD252" s="9"/>
      <c r="GZE252" s="4"/>
      <c r="GZF252" s="9"/>
      <c r="GZG252" s="4"/>
      <c r="GZH252" s="9"/>
      <c r="GZI252" s="4"/>
      <c r="GZJ252" s="9"/>
      <c r="GZK252" s="4"/>
      <c r="GZL252" s="9"/>
      <c r="GZM252" s="4"/>
      <c r="GZN252" s="9"/>
      <c r="GZO252" s="4"/>
      <c r="GZP252" s="9"/>
      <c r="GZQ252" s="4"/>
      <c r="GZR252" s="9"/>
      <c r="GZS252" s="4"/>
      <c r="GZT252" s="9"/>
      <c r="GZU252" s="4"/>
      <c r="GZV252" s="9"/>
      <c r="GZW252" s="4"/>
      <c r="GZX252" s="9"/>
      <c r="GZY252" s="4"/>
      <c r="GZZ252" s="9"/>
      <c r="HAA252" s="4"/>
      <c r="HAB252" s="9"/>
      <c r="HAC252" s="4"/>
      <c r="HAD252" s="9"/>
      <c r="HAE252" s="4"/>
      <c r="HAF252" s="9"/>
      <c r="HAG252" s="4"/>
      <c r="HAH252" s="9"/>
      <c r="HAI252" s="4"/>
      <c r="HAJ252" s="9"/>
      <c r="HAK252" s="4"/>
      <c r="HAL252" s="9"/>
      <c r="HAM252" s="4"/>
      <c r="HAN252" s="9"/>
      <c r="HAO252" s="4"/>
      <c r="HAP252" s="9"/>
      <c r="HAQ252" s="4"/>
      <c r="HAR252" s="9"/>
      <c r="HAS252" s="4"/>
      <c r="HAT252" s="9"/>
      <c r="HAU252" s="4"/>
      <c r="HAV252" s="9"/>
      <c r="HAW252" s="4"/>
      <c r="HAX252" s="9"/>
      <c r="HAY252" s="4"/>
      <c r="HAZ252" s="9"/>
      <c r="HBA252" s="4"/>
      <c r="HBB252" s="9"/>
      <c r="HBC252" s="4"/>
      <c r="HBD252" s="9"/>
      <c r="HBE252" s="4"/>
      <c r="HBF252" s="9"/>
      <c r="HBG252" s="4"/>
      <c r="HBH252" s="9"/>
      <c r="HBI252" s="4"/>
      <c r="HBJ252" s="9"/>
      <c r="HBK252" s="4"/>
      <c r="HBL252" s="9"/>
      <c r="HBM252" s="4"/>
      <c r="HBN252" s="9"/>
      <c r="HBO252" s="4"/>
      <c r="HBP252" s="9"/>
      <c r="HBQ252" s="4"/>
      <c r="HBR252" s="9"/>
      <c r="HBS252" s="4"/>
      <c r="HBT252" s="9"/>
      <c r="HBU252" s="4"/>
      <c r="HBV252" s="9"/>
      <c r="HBW252" s="4"/>
      <c r="HBX252" s="9"/>
      <c r="HBY252" s="4"/>
      <c r="HBZ252" s="9"/>
      <c r="HCA252" s="4"/>
      <c r="HCB252" s="9"/>
      <c r="HCC252" s="4"/>
      <c r="HCD252" s="9"/>
      <c r="HCE252" s="4"/>
      <c r="HCF252" s="9"/>
      <c r="HCG252" s="4"/>
      <c r="HCH252" s="9"/>
      <c r="HCI252" s="4"/>
      <c r="HCJ252" s="9"/>
      <c r="HCK252" s="4"/>
      <c r="HCL252" s="9"/>
      <c r="HCM252" s="4"/>
      <c r="HCN252" s="9"/>
      <c r="HCO252" s="4"/>
      <c r="HCP252" s="9"/>
      <c r="HCQ252" s="4"/>
      <c r="HCR252" s="9"/>
      <c r="HCS252" s="4"/>
      <c r="HCT252" s="9"/>
      <c r="HCU252" s="4"/>
      <c r="HCV252" s="9"/>
      <c r="HCW252" s="4"/>
      <c r="HCX252" s="9"/>
      <c r="HCY252" s="4"/>
      <c r="HCZ252" s="9"/>
      <c r="HDA252" s="4"/>
      <c r="HDB252" s="9"/>
      <c r="HDC252" s="4"/>
      <c r="HDD252" s="9"/>
      <c r="HDE252" s="4"/>
      <c r="HDF252" s="9"/>
      <c r="HDG252" s="4"/>
      <c r="HDH252" s="9"/>
      <c r="HDI252" s="4"/>
      <c r="HDJ252" s="9"/>
      <c r="HDK252" s="4"/>
      <c r="HDL252" s="9"/>
      <c r="HDM252" s="4"/>
      <c r="HDN252" s="9"/>
      <c r="HDO252" s="4"/>
      <c r="HDP252" s="9"/>
      <c r="HDQ252" s="4"/>
      <c r="HDR252" s="9"/>
      <c r="HDS252" s="4"/>
      <c r="HDT252" s="9"/>
      <c r="HDU252" s="4"/>
      <c r="HDV252" s="9"/>
      <c r="HDW252" s="4"/>
      <c r="HDX252" s="9"/>
      <c r="HDY252" s="4"/>
      <c r="HDZ252" s="9"/>
      <c r="HEA252" s="4"/>
      <c r="HEB252" s="9"/>
      <c r="HEC252" s="4"/>
      <c r="HED252" s="9"/>
      <c r="HEE252" s="4"/>
      <c r="HEF252" s="9"/>
      <c r="HEG252" s="4"/>
      <c r="HEH252" s="9"/>
      <c r="HEI252" s="4"/>
      <c r="HEJ252" s="9"/>
      <c r="HEK252" s="4"/>
      <c r="HEL252" s="9"/>
      <c r="HEM252" s="4"/>
      <c r="HEN252" s="9"/>
      <c r="HEO252" s="4"/>
      <c r="HEP252" s="9"/>
      <c r="HEQ252" s="4"/>
      <c r="HER252" s="9"/>
      <c r="HES252" s="4"/>
      <c r="HET252" s="9"/>
      <c r="HEU252" s="4"/>
      <c r="HEV252" s="9"/>
      <c r="HEW252" s="4"/>
      <c r="HEX252" s="9"/>
      <c r="HEY252" s="4"/>
      <c r="HEZ252" s="9"/>
      <c r="HFA252" s="4"/>
      <c r="HFB252" s="9"/>
      <c r="HFC252" s="4"/>
      <c r="HFD252" s="9"/>
      <c r="HFE252" s="4"/>
      <c r="HFF252" s="9"/>
      <c r="HFG252" s="4"/>
      <c r="HFH252" s="9"/>
      <c r="HFI252" s="4"/>
      <c r="HFJ252" s="9"/>
      <c r="HFK252" s="4"/>
      <c r="HFL252" s="9"/>
      <c r="HFM252" s="4"/>
      <c r="HFN252" s="9"/>
      <c r="HFO252" s="4"/>
      <c r="HFP252" s="9"/>
      <c r="HFQ252" s="4"/>
      <c r="HFR252" s="9"/>
      <c r="HFS252" s="4"/>
      <c r="HFT252" s="9"/>
      <c r="HFU252" s="4"/>
      <c r="HFV252" s="9"/>
      <c r="HFW252" s="4"/>
      <c r="HFX252" s="9"/>
      <c r="HFY252" s="4"/>
      <c r="HFZ252" s="9"/>
      <c r="HGA252" s="4"/>
      <c r="HGB252" s="9"/>
      <c r="HGC252" s="4"/>
      <c r="HGD252" s="9"/>
      <c r="HGE252" s="4"/>
      <c r="HGF252" s="9"/>
      <c r="HGG252" s="4"/>
      <c r="HGH252" s="9"/>
      <c r="HGI252" s="4"/>
      <c r="HGJ252" s="9"/>
      <c r="HGK252" s="4"/>
      <c r="HGL252" s="9"/>
      <c r="HGM252" s="4"/>
      <c r="HGN252" s="9"/>
      <c r="HGO252" s="4"/>
      <c r="HGP252" s="9"/>
      <c r="HGQ252" s="4"/>
      <c r="HGR252" s="9"/>
      <c r="HGS252" s="4"/>
      <c r="HGT252" s="9"/>
      <c r="HGU252" s="4"/>
      <c r="HGV252" s="9"/>
      <c r="HGW252" s="4"/>
      <c r="HGX252" s="9"/>
      <c r="HGY252" s="4"/>
      <c r="HGZ252" s="9"/>
      <c r="HHA252" s="4"/>
      <c r="HHB252" s="9"/>
      <c r="HHC252" s="4"/>
      <c r="HHD252" s="9"/>
      <c r="HHE252" s="4"/>
      <c r="HHF252" s="9"/>
      <c r="HHG252" s="4"/>
      <c r="HHH252" s="9"/>
      <c r="HHI252" s="4"/>
      <c r="HHJ252" s="9"/>
      <c r="HHK252" s="4"/>
      <c r="HHL252" s="9"/>
      <c r="HHM252" s="4"/>
      <c r="HHN252" s="9"/>
      <c r="HHO252" s="4"/>
      <c r="HHP252" s="9"/>
      <c r="HHQ252" s="4"/>
      <c r="HHR252" s="9"/>
      <c r="HHS252" s="4"/>
      <c r="HHT252" s="9"/>
      <c r="HHU252" s="4"/>
      <c r="HHV252" s="9"/>
      <c r="HHW252" s="4"/>
      <c r="HHX252" s="9"/>
      <c r="HHY252" s="4"/>
      <c r="HHZ252" s="9"/>
      <c r="HIA252" s="4"/>
      <c r="HIB252" s="9"/>
      <c r="HIC252" s="4"/>
      <c r="HID252" s="9"/>
      <c r="HIE252" s="4"/>
      <c r="HIF252" s="9"/>
      <c r="HIG252" s="4"/>
      <c r="HIH252" s="9"/>
      <c r="HII252" s="4"/>
      <c r="HIJ252" s="9"/>
      <c r="HIK252" s="4"/>
      <c r="HIL252" s="9"/>
      <c r="HIM252" s="4"/>
      <c r="HIN252" s="9"/>
      <c r="HIO252" s="4"/>
      <c r="HIP252" s="9"/>
      <c r="HIQ252" s="4"/>
      <c r="HIR252" s="9"/>
      <c r="HIS252" s="4"/>
      <c r="HIT252" s="9"/>
      <c r="HIU252" s="4"/>
      <c r="HIV252" s="9"/>
      <c r="HIW252" s="4"/>
      <c r="HIX252" s="9"/>
      <c r="HIY252" s="4"/>
      <c r="HIZ252" s="9"/>
      <c r="HJA252" s="4"/>
      <c r="HJB252" s="9"/>
      <c r="HJC252" s="4"/>
      <c r="HJD252" s="9"/>
      <c r="HJE252" s="4"/>
      <c r="HJF252" s="9"/>
      <c r="HJG252" s="4"/>
      <c r="HJH252" s="9"/>
      <c r="HJI252" s="4"/>
      <c r="HJJ252" s="9"/>
      <c r="HJK252" s="4"/>
      <c r="HJL252" s="9"/>
      <c r="HJM252" s="4"/>
      <c r="HJN252" s="9"/>
      <c r="HJO252" s="4"/>
      <c r="HJP252" s="9"/>
      <c r="HJQ252" s="4"/>
      <c r="HJR252" s="9"/>
      <c r="HJS252" s="4"/>
      <c r="HJT252" s="9"/>
      <c r="HJU252" s="4"/>
      <c r="HJV252" s="9"/>
      <c r="HJW252" s="4"/>
      <c r="HJX252" s="9"/>
      <c r="HJY252" s="4"/>
      <c r="HJZ252" s="9"/>
      <c r="HKA252" s="4"/>
      <c r="HKB252" s="9"/>
      <c r="HKC252" s="4"/>
      <c r="HKD252" s="9"/>
      <c r="HKE252" s="4"/>
      <c r="HKF252" s="9"/>
      <c r="HKG252" s="4"/>
      <c r="HKH252" s="9"/>
      <c r="HKI252" s="4"/>
      <c r="HKJ252" s="9"/>
      <c r="HKK252" s="4"/>
      <c r="HKL252" s="9"/>
      <c r="HKM252" s="4"/>
      <c r="HKN252" s="9"/>
      <c r="HKO252" s="4"/>
      <c r="HKP252" s="9"/>
      <c r="HKQ252" s="4"/>
      <c r="HKR252" s="9"/>
      <c r="HKS252" s="4"/>
      <c r="HKT252" s="9"/>
      <c r="HKU252" s="4"/>
      <c r="HKV252" s="9"/>
      <c r="HKW252" s="4"/>
      <c r="HKX252" s="9"/>
      <c r="HKY252" s="4"/>
      <c r="HKZ252" s="9"/>
      <c r="HLA252" s="4"/>
      <c r="HLB252" s="9"/>
      <c r="HLC252" s="4"/>
      <c r="HLD252" s="9"/>
      <c r="HLE252" s="4"/>
      <c r="HLF252" s="9"/>
      <c r="HLG252" s="4"/>
      <c r="HLH252" s="9"/>
      <c r="HLI252" s="4"/>
      <c r="HLJ252" s="9"/>
      <c r="HLK252" s="4"/>
      <c r="HLL252" s="9"/>
      <c r="HLM252" s="4"/>
      <c r="HLN252" s="9"/>
      <c r="HLO252" s="4"/>
      <c r="HLP252" s="9"/>
      <c r="HLQ252" s="4"/>
      <c r="HLR252" s="9"/>
      <c r="HLS252" s="4"/>
      <c r="HLT252" s="9"/>
      <c r="HLU252" s="4"/>
      <c r="HLV252" s="9"/>
      <c r="HLW252" s="4"/>
      <c r="HLX252" s="9"/>
      <c r="HLY252" s="4"/>
      <c r="HLZ252" s="9"/>
      <c r="HMA252" s="4"/>
      <c r="HMB252" s="9"/>
      <c r="HMC252" s="4"/>
      <c r="HMD252" s="9"/>
      <c r="HME252" s="4"/>
      <c r="HMF252" s="9"/>
      <c r="HMG252" s="4"/>
      <c r="HMH252" s="9"/>
      <c r="HMI252" s="4"/>
      <c r="HMJ252" s="9"/>
      <c r="HMK252" s="4"/>
      <c r="HML252" s="9"/>
      <c r="HMM252" s="4"/>
      <c r="HMN252" s="9"/>
      <c r="HMO252" s="4"/>
      <c r="HMP252" s="9"/>
      <c r="HMQ252" s="4"/>
      <c r="HMR252" s="9"/>
      <c r="HMS252" s="4"/>
      <c r="HMT252" s="9"/>
      <c r="HMU252" s="4"/>
      <c r="HMV252" s="9"/>
      <c r="HMW252" s="4"/>
      <c r="HMX252" s="9"/>
      <c r="HMY252" s="4"/>
      <c r="HMZ252" s="9"/>
      <c r="HNA252" s="4"/>
      <c r="HNB252" s="9"/>
      <c r="HNC252" s="4"/>
      <c r="HND252" s="9"/>
      <c r="HNE252" s="4"/>
      <c r="HNF252" s="9"/>
      <c r="HNG252" s="4"/>
      <c r="HNH252" s="9"/>
      <c r="HNI252" s="4"/>
      <c r="HNJ252" s="9"/>
      <c r="HNK252" s="4"/>
      <c r="HNL252" s="9"/>
      <c r="HNM252" s="4"/>
      <c r="HNN252" s="9"/>
      <c r="HNO252" s="4"/>
      <c r="HNP252" s="9"/>
      <c r="HNQ252" s="4"/>
      <c r="HNR252" s="9"/>
      <c r="HNS252" s="4"/>
      <c r="HNT252" s="9"/>
      <c r="HNU252" s="4"/>
      <c r="HNV252" s="9"/>
      <c r="HNW252" s="4"/>
      <c r="HNX252" s="9"/>
      <c r="HNY252" s="4"/>
      <c r="HNZ252" s="9"/>
      <c r="HOA252" s="4"/>
      <c r="HOB252" s="9"/>
      <c r="HOC252" s="4"/>
      <c r="HOD252" s="9"/>
      <c r="HOE252" s="4"/>
      <c r="HOF252" s="9"/>
      <c r="HOG252" s="4"/>
      <c r="HOH252" s="9"/>
      <c r="HOI252" s="4"/>
      <c r="HOJ252" s="9"/>
      <c r="HOK252" s="4"/>
      <c r="HOL252" s="9"/>
      <c r="HOM252" s="4"/>
      <c r="HON252" s="9"/>
      <c r="HOO252" s="4"/>
      <c r="HOP252" s="9"/>
      <c r="HOQ252" s="4"/>
      <c r="HOR252" s="9"/>
      <c r="HOS252" s="4"/>
      <c r="HOT252" s="9"/>
      <c r="HOU252" s="4"/>
      <c r="HOV252" s="9"/>
      <c r="HOW252" s="4"/>
      <c r="HOX252" s="9"/>
      <c r="HOY252" s="4"/>
      <c r="HOZ252" s="9"/>
      <c r="HPA252" s="4"/>
      <c r="HPB252" s="9"/>
      <c r="HPC252" s="4"/>
      <c r="HPD252" s="9"/>
      <c r="HPE252" s="4"/>
      <c r="HPF252" s="9"/>
      <c r="HPG252" s="4"/>
      <c r="HPH252" s="9"/>
      <c r="HPI252" s="4"/>
      <c r="HPJ252" s="9"/>
      <c r="HPK252" s="4"/>
      <c r="HPL252" s="9"/>
      <c r="HPM252" s="4"/>
      <c r="HPN252" s="9"/>
      <c r="HPO252" s="4"/>
      <c r="HPP252" s="9"/>
      <c r="HPQ252" s="4"/>
      <c r="HPR252" s="9"/>
      <c r="HPS252" s="4"/>
      <c r="HPT252" s="9"/>
      <c r="HPU252" s="4"/>
      <c r="HPV252" s="9"/>
      <c r="HPW252" s="4"/>
      <c r="HPX252" s="9"/>
      <c r="HPY252" s="4"/>
      <c r="HPZ252" s="9"/>
      <c r="HQA252" s="4"/>
      <c r="HQB252" s="9"/>
      <c r="HQC252" s="4"/>
      <c r="HQD252" s="9"/>
      <c r="HQE252" s="4"/>
      <c r="HQF252" s="9"/>
      <c r="HQG252" s="4"/>
      <c r="HQH252" s="9"/>
      <c r="HQI252" s="4"/>
      <c r="HQJ252" s="9"/>
      <c r="HQK252" s="4"/>
      <c r="HQL252" s="9"/>
      <c r="HQM252" s="4"/>
      <c r="HQN252" s="9"/>
      <c r="HQO252" s="4"/>
      <c r="HQP252" s="9"/>
      <c r="HQQ252" s="4"/>
      <c r="HQR252" s="9"/>
      <c r="HQS252" s="4"/>
      <c r="HQT252" s="9"/>
      <c r="HQU252" s="4"/>
      <c r="HQV252" s="9"/>
      <c r="HQW252" s="4"/>
      <c r="HQX252" s="9"/>
      <c r="HQY252" s="4"/>
      <c r="HQZ252" s="9"/>
      <c r="HRA252" s="4"/>
      <c r="HRB252" s="9"/>
      <c r="HRC252" s="4"/>
      <c r="HRD252" s="9"/>
      <c r="HRE252" s="4"/>
      <c r="HRF252" s="9"/>
      <c r="HRG252" s="4"/>
      <c r="HRH252" s="9"/>
      <c r="HRI252" s="4"/>
      <c r="HRJ252" s="9"/>
      <c r="HRK252" s="4"/>
      <c r="HRL252" s="9"/>
      <c r="HRM252" s="4"/>
      <c r="HRN252" s="9"/>
      <c r="HRO252" s="4"/>
      <c r="HRP252" s="9"/>
      <c r="HRQ252" s="4"/>
      <c r="HRR252" s="9"/>
      <c r="HRS252" s="4"/>
      <c r="HRT252" s="9"/>
      <c r="HRU252" s="4"/>
      <c r="HRV252" s="9"/>
      <c r="HRW252" s="4"/>
      <c r="HRX252" s="9"/>
      <c r="HRY252" s="4"/>
      <c r="HRZ252" s="9"/>
      <c r="HSA252" s="4"/>
      <c r="HSB252" s="9"/>
      <c r="HSC252" s="4"/>
      <c r="HSD252" s="9"/>
      <c r="HSE252" s="4"/>
      <c r="HSF252" s="9"/>
      <c r="HSG252" s="4"/>
      <c r="HSH252" s="9"/>
      <c r="HSI252" s="4"/>
      <c r="HSJ252" s="9"/>
      <c r="HSK252" s="4"/>
      <c r="HSL252" s="9"/>
      <c r="HSM252" s="4"/>
      <c r="HSN252" s="9"/>
      <c r="HSO252" s="4"/>
      <c r="HSP252" s="9"/>
      <c r="HSQ252" s="4"/>
      <c r="HSR252" s="9"/>
      <c r="HSS252" s="4"/>
      <c r="HST252" s="9"/>
      <c r="HSU252" s="4"/>
      <c r="HSV252" s="9"/>
      <c r="HSW252" s="4"/>
      <c r="HSX252" s="9"/>
      <c r="HSY252" s="4"/>
      <c r="HSZ252" s="9"/>
      <c r="HTA252" s="4"/>
      <c r="HTB252" s="9"/>
      <c r="HTC252" s="4"/>
      <c r="HTD252" s="9"/>
      <c r="HTE252" s="4"/>
      <c r="HTF252" s="9"/>
      <c r="HTG252" s="4"/>
      <c r="HTH252" s="9"/>
      <c r="HTI252" s="4"/>
      <c r="HTJ252" s="9"/>
      <c r="HTK252" s="4"/>
      <c r="HTL252" s="9"/>
      <c r="HTM252" s="4"/>
      <c r="HTN252" s="9"/>
      <c r="HTO252" s="4"/>
      <c r="HTP252" s="9"/>
      <c r="HTQ252" s="4"/>
      <c r="HTR252" s="9"/>
      <c r="HTS252" s="4"/>
      <c r="HTT252" s="9"/>
      <c r="HTU252" s="4"/>
      <c r="HTV252" s="9"/>
      <c r="HTW252" s="4"/>
      <c r="HTX252" s="9"/>
      <c r="HTY252" s="4"/>
      <c r="HTZ252" s="9"/>
      <c r="HUA252" s="4"/>
      <c r="HUB252" s="9"/>
      <c r="HUC252" s="4"/>
      <c r="HUD252" s="9"/>
      <c r="HUE252" s="4"/>
      <c r="HUF252" s="9"/>
      <c r="HUG252" s="4"/>
      <c r="HUH252" s="9"/>
      <c r="HUI252" s="4"/>
      <c r="HUJ252" s="9"/>
      <c r="HUK252" s="4"/>
      <c r="HUL252" s="9"/>
      <c r="HUM252" s="4"/>
      <c r="HUN252" s="9"/>
      <c r="HUO252" s="4"/>
      <c r="HUP252" s="9"/>
      <c r="HUQ252" s="4"/>
      <c r="HUR252" s="9"/>
      <c r="HUS252" s="4"/>
      <c r="HUT252" s="9"/>
      <c r="HUU252" s="4"/>
      <c r="HUV252" s="9"/>
      <c r="HUW252" s="4"/>
      <c r="HUX252" s="9"/>
      <c r="HUY252" s="4"/>
      <c r="HUZ252" s="9"/>
      <c r="HVA252" s="4"/>
      <c r="HVB252" s="9"/>
      <c r="HVC252" s="4"/>
      <c r="HVD252" s="9"/>
      <c r="HVE252" s="4"/>
      <c r="HVF252" s="9"/>
      <c r="HVG252" s="4"/>
      <c r="HVH252" s="9"/>
      <c r="HVI252" s="4"/>
      <c r="HVJ252" s="9"/>
      <c r="HVK252" s="4"/>
      <c r="HVL252" s="9"/>
      <c r="HVM252" s="4"/>
      <c r="HVN252" s="9"/>
      <c r="HVO252" s="4"/>
      <c r="HVP252" s="9"/>
      <c r="HVQ252" s="4"/>
      <c r="HVR252" s="9"/>
      <c r="HVS252" s="4"/>
      <c r="HVT252" s="9"/>
      <c r="HVU252" s="4"/>
      <c r="HVV252" s="9"/>
      <c r="HVW252" s="4"/>
      <c r="HVX252" s="9"/>
      <c r="HVY252" s="4"/>
      <c r="HVZ252" s="9"/>
      <c r="HWA252" s="4"/>
      <c r="HWB252" s="9"/>
      <c r="HWC252" s="4"/>
      <c r="HWD252" s="9"/>
      <c r="HWE252" s="4"/>
      <c r="HWF252" s="9"/>
      <c r="HWG252" s="4"/>
      <c r="HWH252" s="9"/>
      <c r="HWI252" s="4"/>
      <c r="HWJ252" s="9"/>
      <c r="HWK252" s="4"/>
      <c r="HWL252" s="9"/>
      <c r="HWM252" s="4"/>
      <c r="HWN252" s="9"/>
      <c r="HWO252" s="4"/>
      <c r="HWP252" s="9"/>
      <c r="HWQ252" s="4"/>
      <c r="HWR252" s="9"/>
      <c r="HWS252" s="4"/>
      <c r="HWT252" s="9"/>
      <c r="HWU252" s="4"/>
      <c r="HWV252" s="9"/>
      <c r="HWW252" s="4"/>
      <c r="HWX252" s="9"/>
      <c r="HWY252" s="4"/>
      <c r="HWZ252" s="9"/>
      <c r="HXA252" s="4"/>
      <c r="HXB252" s="9"/>
      <c r="HXC252" s="4"/>
      <c r="HXD252" s="9"/>
      <c r="HXE252" s="4"/>
      <c r="HXF252" s="9"/>
      <c r="HXG252" s="4"/>
      <c r="HXH252" s="9"/>
      <c r="HXI252" s="4"/>
      <c r="HXJ252" s="9"/>
      <c r="HXK252" s="4"/>
      <c r="HXL252" s="9"/>
      <c r="HXM252" s="4"/>
      <c r="HXN252" s="9"/>
      <c r="HXO252" s="4"/>
      <c r="HXP252" s="9"/>
      <c r="HXQ252" s="4"/>
      <c r="HXR252" s="9"/>
      <c r="HXS252" s="4"/>
      <c r="HXT252" s="9"/>
      <c r="HXU252" s="4"/>
      <c r="HXV252" s="9"/>
      <c r="HXW252" s="4"/>
      <c r="HXX252" s="9"/>
      <c r="HXY252" s="4"/>
      <c r="HXZ252" s="9"/>
      <c r="HYA252" s="4"/>
      <c r="HYB252" s="9"/>
      <c r="HYC252" s="4"/>
      <c r="HYD252" s="9"/>
      <c r="HYE252" s="4"/>
      <c r="HYF252" s="9"/>
      <c r="HYG252" s="4"/>
      <c r="HYH252" s="9"/>
      <c r="HYI252" s="4"/>
      <c r="HYJ252" s="9"/>
      <c r="HYK252" s="4"/>
      <c r="HYL252" s="9"/>
      <c r="HYM252" s="4"/>
      <c r="HYN252" s="9"/>
      <c r="HYO252" s="4"/>
      <c r="HYP252" s="9"/>
      <c r="HYQ252" s="4"/>
      <c r="HYR252" s="9"/>
      <c r="HYS252" s="4"/>
      <c r="HYT252" s="9"/>
      <c r="HYU252" s="4"/>
      <c r="HYV252" s="9"/>
      <c r="HYW252" s="4"/>
      <c r="HYX252" s="9"/>
      <c r="HYY252" s="4"/>
      <c r="HYZ252" s="9"/>
      <c r="HZA252" s="4"/>
      <c r="HZB252" s="9"/>
      <c r="HZC252" s="4"/>
      <c r="HZD252" s="9"/>
      <c r="HZE252" s="4"/>
      <c r="HZF252" s="9"/>
      <c r="HZG252" s="4"/>
      <c r="HZH252" s="9"/>
      <c r="HZI252" s="4"/>
      <c r="HZJ252" s="9"/>
      <c r="HZK252" s="4"/>
      <c r="HZL252" s="9"/>
      <c r="HZM252" s="4"/>
      <c r="HZN252" s="9"/>
      <c r="HZO252" s="4"/>
      <c r="HZP252" s="9"/>
      <c r="HZQ252" s="4"/>
      <c r="HZR252" s="9"/>
      <c r="HZS252" s="4"/>
      <c r="HZT252" s="9"/>
      <c r="HZU252" s="4"/>
      <c r="HZV252" s="9"/>
      <c r="HZW252" s="4"/>
      <c r="HZX252" s="9"/>
      <c r="HZY252" s="4"/>
      <c r="HZZ252" s="9"/>
      <c r="IAA252" s="4"/>
      <c r="IAB252" s="9"/>
      <c r="IAC252" s="4"/>
      <c r="IAD252" s="9"/>
      <c r="IAE252" s="4"/>
      <c r="IAF252" s="9"/>
      <c r="IAG252" s="4"/>
      <c r="IAH252" s="9"/>
      <c r="IAI252" s="4"/>
      <c r="IAJ252" s="9"/>
      <c r="IAK252" s="4"/>
      <c r="IAL252" s="9"/>
      <c r="IAM252" s="4"/>
      <c r="IAN252" s="9"/>
      <c r="IAO252" s="4"/>
      <c r="IAP252" s="9"/>
      <c r="IAQ252" s="4"/>
      <c r="IAR252" s="9"/>
      <c r="IAS252" s="4"/>
      <c r="IAT252" s="9"/>
      <c r="IAU252" s="4"/>
      <c r="IAV252" s="9"/>
      <c r="IAW252" s="4"/>
      <c r="IAX252" s="9"/>
      <c r="IAY252" s="4"/>
      <c r="IAZ252" s="9"/>
      <c r="IBA252" s="4"/>
      <c r="IBB252" s="9"/>
      <c r="IBC252" s="4"/>
      <c r="IBD252" s="9"/>
      <c r="IBE252" s="4"/>
      <c r="IBF252" s="9"/>
      <c r="IBG252" s="4"/>
      <c r="IBH252" s="9"/>
      <c r="IBI252" s="4"/>
      <c r="IBJ252" s="9"/>
      <c r="IBK252" s="4"/>
      <c r="IBL252" s="9"/>
      <c r="IBM252" s="4"/>
      <c r="IBN252" s="9"/>
      <c r="IBO252" s="4"/>
      <c r="IBP252" s="9"/>
      <c r="IBQ252" s="4"/>
      <c r="IBR252" s="9"/>
      <c r="IBS252" s="4"/>
      <c r="IBT252" s="9"/>
      <c r="IBU252" s="4"/>
      <c r="IBV252" s="9"/>
      <c r="IBW252" s="4"/>
      <c r="IBX252" s="9"/>
      <c r="IBY252" s="4"/>
      <c r="IBZ252" s="9"/>
      <c r="ICA252" s="4"/>
      <c r="ICB252" s="9"/>
      <c r="ICC252" s="4"/>
      <c r="ICD252" s="9"/>
      <c r="ICE252" s="4"/>
      <c r="ICF252" s="9"/>
      <c r="ICG252" s="4"/>
      <c r="ICH252" s="9"/>
      <c r="ICI252" s="4"/>
      <c r="ICJ252" s="9"/>
      <c r="ICK252" s="4"/>
      <c r="ICL252" s="9"/>
      <c r="ICM252" s="4"/>
      <c r="ICN252" s="9"/>
      <c r="ICO252" s="4"/>
      <c r="ICP252" s="9"/>
      <c r="ICQ252" s="4"/>
      <c r="ICR252" s="9"/>
      <c r="ICS252" s="4"/>
      <c r="ICT252" s="9"/>
      <c r="ICU252" s="4"/>
      <c r="ICV252" s="9"/>
      <c r="ICW252" s="4"/>
      <c r="ICX252" s="9"/>
      <c r="ICY252" s="4"/>
      <c r="ICZ252" s="9"/>
      <c r="IDA252" s="4"/>
      <c r="IDB252" s="9"/>
      <c r="IDC252" s="4"/>
      <c r="IDD252" s="9"/>
      <c r="IDE252" s="4"/>
      <c r="IDF252" s="9"/>
      <c r="IDG252" s="4"/>
      <c r="IDH252" s="9"/>
      <c r="IDI252" s="4"/>
      <c r="IDJ252" s="9"/>
      <c r="IDK252" s="4"/>
      <c r="IDL252" s="9"/>
      <c r="IDM252" s="4"/>
      <c r="IDN252" s="9"/>
      <c r="IDO252" s="4"/>
      <c r="IDP252" s="9"/>
      <c r="IDQ252" s="4"/>
      <c r="IDR252" s="9"/>
      <c r="IDS252" s="4"/>
      <c r="IDT252" s="9"/>
      <c r="IDU252" s="4"/>
      <c r="IDV252" s="9"/>
      <c r="IDW252" s="4"/>
      <c r="IDX252" s="9"/>
      <c r="IDY252" s="4"/>
      <c r="IDZ252" s="9"/>
      <c r="IEA252" s="4"/>
      <c r="IEB252" s="9"/>
      <c r="IEC252" s="4"/>
      <c r="IED252" s="9"/>
      <c r="IEE252" s="4"/>
      <c r="IEF252" s="9"/>
      <c r="IEG252" s="4"/>
      <c r="IEH252" s="9"/>
      <c r="IEI252" s="4"/>
      <c r="IEJ252" s="9"/>
      <c r="IEK252" s="4"/>
      <c r="IEL252" s="9"/>
      <c r="IEM252" s="4"/>
      <c r="IEN252" s="9"/>
      <c r="IEO252" s="4"/>
      <c r="IEP252" s="9"/>
      <c r="IEQ252" s="4"/>
      <c r="IER252" s="9"/>
      <c r="IES252" s="4"/>
      <c r="IET252" s="9"/>
      <c r="IEU252" s="4"/>
      <c r="IEV252" s="9"/>
      <c r="IEW252" s="4"/>
      <c r="IEX252" s="9"/>
      <c r="IEY252" s="4"/>
      <c r="IEZ252" s="9"/>
      <c r="IFA252" s="4"/>
      <c r="IFB252" s="9"/>
      <c r="IFC252" s="4"/>
      <c r="IFD252" s="9"/>
      <c r="IFE252" s="4"/>
      <c r="IFF252" s="9"/>
      <c r="IFG252" s="4"/>
      <c r="IFH252" s="9"/>
      <c r="IFI252" s="4"/>
      <c r="IFJ252" s="9"/>
      <c r="IFK252" s="4"/>
      <c r="IFL252" s="9"/>
      <c r="IFM252" s="4"/>
      <c r="IFN252" s="9"/>
      <c r="IFO252" s="4"/>
      <c r="IFP252" s="9"/>
      <c r="IFQ252" s="4"/>
      <c r="IFR252" s="9"/>
      <c r="IFS252" s="4"/>
      <c r="IFT252" s="9"/>
      <c r="IFU252" s="4"/>
      <c r="IFV252" s="9"/>
      <c r="IFW252" s="4"/>
      <c r="IFX252" s="9"/>
      <c r="IFY252" s="4"/>
      <c r="IFZ252" s="9"/>
      <c r="IGA252" s="4"/>
      <c r="IGB252" s="9"/>
      <c r="IGC252" s="4"/>
      <c r="IGD252" s="9"/>
      <c r="IGE252" s="4"/>
      <c r="IGF252" s="9"/>
      <c r="IGG252" s="4"/>
      <c r="IGH252" s="9"/>
      <c r="IGI252" s="4"/>
      <c r="IGJ252" s="9"/>
      <c r="IGK252" s="4"/>
      <c r="IGL252" s="9"/>
      <c r="IGM252" s="4"/>
      <c r="IGN252" s="9"/>
      <c r="IGO252" s="4"/>
      <c r="IGP252" s="9"/>
      <c r="IGQ252" s="4"/>
      <c r="IGR252" s="9"/>
      <c r="IGS252" s="4"/>
      <c r="IGT252" s="9"/>
      <c r="IGU252" s="4"/>
      <c r="IGV252" s="9"/>
      <c r="IGW252" s="4"/>
      <c r="IGX252" s="9"/>
      <c r="IGY252" s="4"/>
      <c r="IGZ252" s="9"/>
      <c r="IHA252" s="4"/>
      <c r="IHB252" s="9"/>
      <c r="IHC252" s="4"/>
      <c r="IHD252" s="9"/>
      <c r="IHE252" s="4"/>
      <c r="IHF252" s="9"/>
      <c r="IHG252" s="4"/>
      <c r="IHH252" s="9"/>
      <c r="IHI252" s="4"/>
      <c r="IHJ252" s="9"/>
      <c r="IHK252" s="4"/>
      <c r="IHL252" s="9"/>
      <c r="IHM252" s="4"/>
      <c r="IHN252" s="9"/>
      <c r="IHO252" s="4"/>
      <c r="IHP252" s="9"/>
      <c r="IHQ252" s="4"/>
      <c r="IHR252" s="9"/>
      <c r="IHS252" s="4"/>
      <c r="IHT252" s="9"/>
      <c r="IHU252" s="4"/>
      <c r="IHV252" s="9"/>
      <c r="IHW252" s="4"/>
      <c r="IHX252" s="9"/>
      <c r="IHY252" s="4"/>
      <c r="IHZ252" s="9"/>
      <c r="IIA252" s="4"/>
      <c r="IIB252" s="9"/>
      <c r="IIC252" s="4"/>
      <c r="IID252" s="9"/>
      <c r="IIE252" s="4"/>
      <c r="IIF252" s="9"/>
      <c r="IIG252" s="4"/>
      <c r="IIH252" s="9"/>
      <c r="III252" s="4"/>
      <c r="IIJ252" s="9"/>
      <c r="IIK252" s="4"/>
      <c r="IIL252" s="9"/>
      <c r="IIM252" s="4"/>
      <c r="IIN252" s="9"/>
      <c r="IIO252" s="4"/>
      <c r="IIP252" s="9"/>
      <c r="IIQ252" s="4"/>
      <c r="IIR252" s="9"/>
      <c r="IIS252" s="4"/>
      <c r="IIT252" s="9"/>
      <c r="IIU252" s="4"/>
      <c r="IIV252" s="9"/>
      <c r="IIW252" s="4"/>
      <c r="IIX252" s="9"/>
      <c r="IIY252" s="4"/>
      <c r="IIZ252" s="9"/>
      <c r="IJA252" s="4"/>
      <c r="IJB252" s="9"/>
      <c r="IJC252" s="4"/>
      <c r="IJD252" s="9"/>
      <c r="IJE252" s="4"/>
      <c r="IJF252" s="9"/>
      <c r="IJG252" s="4"/>
      <c r="IJH252" s="9"/>
      <c r="IJI252" s="4"/>
      <c r="IJJ252" s="9"/>
      <c r="IJK252" s="4"/>
      <c r="IJL252" s="9"/>
      <c r="IJM252" s="4"/>
      <c r="IJN252" s="9"/>
      <c r="IJO252" s="4"/>
      <c r="IJP252" s="9"/>
      <c r="IJQ252" s="4"/>
      <c r="IJR252" s="9"/>
      <c r="IJS252" s="4"/>
      <c r="IJT252" s="9"/>
      <c r="IJU252" s="4"/>
      <c r="IJV252" s="9"/>
      <c r="IJW252" s="4"/>
      <c r="IJX252" s="9"/>
      <c r="IJY252" s="4"/>
      <c r="IJZ252" s="9"/>
      <c r="IKA252" s="4"/>
      <c r="IKB252" s="9"/>
      <c r="IKC252" s="4"/>
      <c r="IKD252" s="9"/>
      <c r="IKE252" s="4"/>
      <c r="IKF252" s="9"/>
      <c r="IKG252" s="4"/>
      <c r="IKH252" s="9"/>
      <c r="IKI252" s="4"/>
      <c r="IKJ252" s="9"/>
      <c r="IKK252" s="4"/>
      <c r="IKL252" s="9"/>
      <c r="IKM252" s="4"/>
      <c r="IKN252" s="9"/>
      <c r="IKO252" s="4"/>
      <c r="IKP252" s="9"/>
      <c r="IKQ252" s="4"/>
      <c r="IKR252" s="9"/>
      <c r="IKS252" s="4"/>
      <c r="IKT252" s="9"/>
      <c r="IKU252" s="4"/>
      <c r="IKV252" s="9"/>
      <c r="IKW252" s="4"/>
      <c r="IKX252" s="9"/>
      <c r="IKY252" s="4"/>
      <c r="IKZ252" s="9"/>
      <c r="ILA252" s="4"/>
      <c r="ILB252" s="9"/>
      <c r="ILC252" s="4"/>
      <c r="ILD252" s="9"/>
      <c r="ILE252" s="4"/>
      <c r="ILF252" s="9"/>
      <c r="ILG252" s="4"/>
      <c r="ILH252" s="9"/>
      <c r="ILI252" s="4"/>
      <c r="ILJ252" s="9"/>
      <c r="ILK252" s="4"/>
      <c r="ILL252" s="9"/>
      <c r="ILM252" s="4"/>
      <c r="ILN252" s="9"/>
      <c r="ILO252" s="4"/>
      <c r="ILP252" s="9"/>
      <c r="ILQ252" s="4"/>
      <c r="ILR252" s="9"/>
      <c r="ILS252" s="4"/>
      <c r="ILT252" s="9"/>
      <c r="ILU252" s="4"/>
      <c r="ILV252" s="9"/>
      <c r="ILW252" s="4"/>
      <c r="ILX252" s="9"/>
      <c r="ILY252" s="4"/>
      <c r="ILZ252" s="9"/>
      <c r="IMA252" s="4"/>
      <c r="IMB252" s="9"/>
      <c r="IMC252" s="4"/>
      <c r="IMD252" s="9"/>
      <c r="IME252" s="4"/>
      <c r="IMF252" s="9"/>
      <c r="IMG252" s="4"/>
      <c r="IMH252" s="9"/>
      <c r="IMI252" s="4"/>
      <c r="IMJ252" s="9"/>
      <c r="IMK252" s="4"/>
      <c r="IML252" s="9"/>
      <c r="IMM252" s="4"/>
      <c r="IMN252" s="9"/>
      <c r="IMO252" s="4"/>
      <c r="IMP252" s="9"/>
      <c r="IMQ252" s="4"/>
      <c r="IMR252" s="9"/>
      <c r="IMS252" s="4"/>
      <c r="IMT252" s="9"/>
      <c r="IMU252" s="4"/>
      <c r="IMV252" s="9"/>
      <c r="IMW252" s="4"/>
      <c r="IMX252" s="9"/>
      <c r="IMY252" s="4"/>
      <c r="IMZ252" s="9"/>
      <c r="INA252" s="4"/>
      <c r="INB252" s="9"/>
      <c r="INC252" s="4"/>
      <c r="IND252" s="9"/>
      <c r="INE252" s="4"/>
      <c r="INF252" s="9"/>
      <c r="ING252" s="4"/>
      <c r="INH252" s="9"/>
      <c r="INI252" s="4"/>
      <c r="INJ252" s="9"/>
      <c r="INK252" s="4"/>
      <c r="INL252" s="9"/>
      <c r="INM252" s="4"/>
      <c r="INN252" s="9"/>
      <c r="INO252" s="4"/>
      <c r="INP252" s="9"/>
      <c r="INQ252" s="4"/>
      <c r="INR252" s="9"/>
      <c r="INS252" s="4"/>
      <c r="INT252" s="9"/>
      <c r="INU252" s="4"/>
      <c r="INV252" s="9"/>
      <c r="INW252" s="4"/>
      <c r="INX252" s="9"/>
      <c r="INY252" s="4"/>
      <c r="INZ252" s="9"/>
      <c r="IOA252" s="4"/>
      <c r="IOB252" s="9"/>
      <c r="IOC252" s="4"/>
      <c r="IOD252" s="9"/>
      <c r="IOE252" s="4"/>
      <c r="IOF252" s="9"/>
      <c r="IOG252" s="4"/>
      <c r="IOH252" s="9"/>
      <c r="IOI252" s="4"/>
      <c r="IOJ252" s="9"/>
      <c r="IOK252" s="4"/>
      <c r="IOL252" s="9"/>
      <c r="IOM252" s="4"/>
      <c r="ION252" s="9"/>
      <c r="IOO252" s="4"/>
      <c r="IOP252" s="9"/>
      <c r="IOQ252" s="4"/>
      <c r="IOR252" s="9"/>
      <c r="IOS252" s="4"/>
      <c r="IOT252" s="9"/>
      <c r="IOU252" s="4"/>
      <c r="IOV252" s="9"/>
      <c r="IOW252" s="4"/>
      <c r="IOX252" s="9"/>
      <c r="IOY252" s="4"/>
      <c r="IOZ252" s="9"/>
      <c r="IPA252" s="4"/>
      <c r="IPB252" s="9"/>
      <c r="IPC252" s="4"/>
      <c r="IPD252" s="9"/>
      <c r="IPE252" s="4"/>
      <c r="IPF252" s="9"/>
      <c r="IPG252" s="4"/>
      <c r="IPH252" s="9"/>
      <c r="IPI252" s="4"/>
      <c r="IPJ252" s="9"/>
      <c r="IPK252" s="4"/>
      <c r="IPL252" s="9"/>
      <c r="IPM252" s="4"/>
      <c r="IPN252" s="9"/>
      <c r="IPO252" s="4"/>
      <c r="IPP252" s="9"/>
      <c r="IPQ252" s="4"/>
      <c r="IPR252" s="9"/>
      <c r="IPS252" s="4"/>
      <c r="IPT252" s="9"/>
      <c r="IPU252" s="4"/>
      <c r="IPV252" s="9"/>
      <c r="IPW252" s="4"/>
      <c r="IPX252" s="9"/>
      <c r="IPY252" s="4"/>
      <c r="IPZ252" s="9"/>
      <c r="IQA252" s="4"/>
      <c r="IQB252" s="9"/>
      <c r="IQC252" s="4"/>
      <c r="IQD252" s="9"/>
      <c r="IQE252" s="4"/>
      <c r="IQF252" s="9"/>
      <c r="IQG252" s="4"/>
      <c r="IQH252" s="9"/>
      <c r="IQI252" s="4"/>
      <c r="IQJ252" s="9"/>
      <c r="IQK252" s="4"/>
      <c r="IQL252" s="9"/>
      <c r="IQM252" s="4"/>
      <c r="IQN252" s="9"/>
      <c r="IQO252" s="4"/>
      <c r="IQP252" s="9"/>
      <c r="IQQ252" s="4"/>
      <c r="IQR252" s="9"/>
      <c r="IQS252" s="4"/>
      <c r="IQT252" s="9"/>
      <c r="IQU252" s="4"/>
      <c r="IQV252" s="9"/>
      <c r="IQW252" s="4"/>
      <c r="IQX252" s="9"/>
      <c r="IQY252" s="4"/>
      <c r="IQZ252" s="9"/>
      <c r="IRA252" s="4"/>
      <c r="IRB252" s="9"/>
      <c r="IRC252" s="4"/>
      <c r="IRD252" s="9"/>
      <c r="IRE252" s="4"/>
      <c r="IRF252" s="9"/>
      <c r="IRG252" s="4"/>
      <c r="IRH252" s="9"/>
      <c r="IRI252" s="4"/>
      <c r="IRJ252" s="9"/>
      <c r="IRK252" s="4"/>
      <c r="IRL252" s="9"/>
      <c r="IRM252" s="4"/>
      <c r="IRN252" s="9"/>
      <c r="IRO252" s="4"/>
      <c r="IRP252" s="9"/>
      <c r="IRQ252" s="4"/>
      <c r="IRR252" s="9"/>
      <c r="IRS252" s="4"/>
      <c r="IRT252" s="9"/>
      <c r="IRU252" s="4"/>
      <c r="IRV252" s="9"/>
      <c r="IRW252" s="4"/>
      <c r="IRX252" s="9"/>
      <c r="IRY252" s="4"/>
      <c r="IRZ252" s="9"/>
      <c r="ISA252" s="4"/>
      <c r="ISB252" s="9"/>
      <c r="ISC252" s="4"/>
      <c r="ISD252" s="9"/>
      <c r="ISE252" s="4"/>
      <c r="ISF252" s="9"/>
      <c r="ISG252" s="4"/>
      <c r="ISH252" s="9"/>
      <c r="ISI252" s="4"/>
      <c r="ISJ252" s="9"/>
      <c r="ISK252" s="4"/>
      <c r="ISL252" s="9"/>
      <c r="ISM252" s="4"/>
      <c r="ISN252" s="9"/>
      <c r="ISO252" s="4"/>
      <c r="ISP252" s="9"/>
      <c r="ISQ252" s="4"/>
      <c r="ISR252" s="9"/>
      <c r="ISS252" s="4"/>
      <c r="IST252" s="9"/>
      <c r="ISU252" s="4"/>
      <c r="ISV252" s="9"/>
      <c r="ISW252" s="4"/>
      <c r="ISX252" s="9"/>
      <c r="ISY252" s="4"/>
      <c r="ISZ252" s="9"/>
      <c r="ITA252" s="4"/>
      <c r="ITB252" s="9"/>
      <c r="ITC252" s="4"/>
      <c r="ITD252" s="9"/>
      <c r="ITE252" s="4"/>
      <c r="ITF252" s="9"/>
      <c r="ITG252" s="4"/>
      <c r="ITH252" s="9"/>
      <c r="ITI252" s="4"/>
      <c r="ITJ252" s="9"/>
      <c r="ITK252" s="4"/>
      <c r="ITL252" s="9"/>
      <c r="ITM252" s="4"/>
      <c r="ITN252" s="9"/>
      <c r="ITO252" s="4"/>
      <c r="ITP252" s="9"/>
      <c r="ITQ252" s="4"/>
      <c r="ITR252" s="9"/>
      <c r="ITS252" s="4"/>
      <c r="ITT252" s="9"/>
      <c r="ITU252" s="4"/>
      <c r="ITV252" s="9"/>
      <c r="ITW252" s="4"/>
      <c r="ITX252" s="9"/>
      <c r="ITY252" s="4"/>
      <c r="ITZ252" s="9"/>
      <c r="IUA252" s="4"/>
      <c r="IUB252" s="9"/>
      <c r="IUC252" s="4"/>
      <c r="IUD252" s="9"/>
      <c r="IUE252" s="4"/>
      <c r="IUF252" s="9"/>
      <c r="IUG252" s="4"/>
      <c r="IUH252" s="9"/>
      <c r="IUI252" s="4"/>
      <c r="IUJ252" s="9"/>
      <c r="IUK252" s="4"/>
      <c r="IUL252" s="9"/>
      <c r="IUM252" s="4"/>
      <c r="IUN252" s="9"/>
      <c r="IUO252" s="4"/>
      <c r="IUP252" s="9"/>
      <c r="IUQ252" s="4"/>
      <c r="IUR252" s="9"/>
      <c r="IUS252" s="4"/>
      <c r="IUT252" s="9"/>
      <c r="IUU252" s="4"/>
      <c r="IUV252" s="9"/>
      <c r="IUW252" s="4"/>
      <c r="IUX252" s="9"/>
      <c r="IUY252" s="4"/>
      <c r="IUZ252" s="9"/>
      <c r="IVA252" s="4"/>
      <c r="IVB252" s="9"/>
      <c r="IVC252" s="4"/>
      <c r="IVD252" s="9"/>
      <c r="IVE252" s="4"/>
      <c r="IVF252" s="9"/>
      <c r="IVG252" s="4"/>
      <c r="IVH252" s="9"/>
      <c r="IVI252" s="4"/>
      <c r="IVJ252" s="9"/>
      <c r="IVK252" s="4"/>
      <c r="IVL252" s="9"/>
      <c r="IVM252" s="4"/>
      <c r="IVN252" s="9"/>
      <c r="IVO252" s="4"/>
      <c r="IVP252" s="9"/>
      <c r="IVQ252" s="4"/>
      <c r="IVR252" s="9"/>
      <c r="IVS252" s="4"/>
      <c r="IVT252" s="9"/>
      <c r="IVU252" s="4"/>
      <c r="IVV252" s="9"/>
      <c r="IVW252" s="4"/>
      <c r="IVX252" s="9"/>
      <c r="IVY252" s="4"/>
      <c r="IVZ252" s="9"/>
      <c r="IWA252" s="4"/>
      <c r="IWB252" s="9"/>
      <c r="IWC252" s="4"/>
      <c r="IWD252" s="9"/>
      <c r="IWE252" s="4"/>
      <c r="IWF252" s="9"/>
      <c r="IWG252" s="4"/>
      <c r="IWH252" s="9"/>
      <c r="IWI252" s="4"/>
      <c r="IWJ252" s="9"/>
      <c r="IWK252" s="4"/>
      <c r="IWL252" s="9"/>
      <c r="IWM252" s="4"/>
      <c r="IWN252" s="9"/>
      <c r="IWO252" s="4"/>
      <c r="IWP252" s="9"/>
      <c r="IWQ252" s="4"/>
      <c r="IWR252" s="9"/>
      <c r="IWS252" s="4"/>
      <c r="IWT252" s="9"/>
      <c r="IWU252" s="4"/>
      <c r="IWV252" s="9"/>
      <c r="IWW252" s="4"/>
      <c r="IWX252" s="9"/>
      <c r="IWY252" s="4"/>
      <c r="IWZ252" s="9"/>
      <c r="IXA252" s="4"/>
      <c r="IXB252" s="9"/>
      <c r="IXC252" s="4"/>
      <c r="IXD252" s="9"/>
      <c r="IXE252" s="4"/>
      <c r="IXF252" s="9"/>
      <c r="IXG252" s="4"/>
      <c r="IXH252" s="9"/>
      <c r="IXI252" s="4"/>
      <c r="IXJ252" s="9"/>
      <c r="IXK252" s="4"/>
      <c r="IXL252" s="9"/>
      <c r="IXM252" s="4"/>
      <c r="IXN252" s="9"/>
      <c r="IXO252" s="4"/>
      <c r="IXP252" s="9"/>
      <c r="IXQ252" s="4"/>
      <c r="IXR252" s="9"/>
      <c r="IXS252" s="4"/>
      <c r="IXT252" s="9"/>
      <c r="IXU252" s="4"/>
      <c r="IXV252" s="9"/>
      <c r="IXW252" s="4"/>
      <c r="IXX252" s="9"/>
      <c r="IXY252" s="4"/>
      <c r="IXZ252" s="9"/>
      <c r="IYA252" s="4"/>
      <c r="IYB252" s="9"/>
      <c r="IYC252" s="4"/>
      <c r="IYD252" s="9"/>
      <c r="IYE252" s="4"/>
      <c r="IYF252" s="9"/>
      <c r="IYG252" s="4"/>
      <c r="IYH252" s="9"/>
      <c r="IYI252" s="4"/>
      <c r="IYJ252" s="9"/>
      <c r="IYK252" s="4"/>
      <c r="IYL252" s="9"/>
      <c r="IYM252" s="4"/>
      <c r="IYN252" s="9"/>
      <c r="IYO252" s="4"/>
      <c r="IYP252" s="9"/>
      <c r="IYQ252" s="4"/>
      <c r="IYR252" s="9"/>
      <c r="IYS252" s="4"/>
      <c r="IYT252" s="9"/>
      <c r="IYU252" s="4"/>
      <c r="IYV252" s="9"/>
      <c r="IYW252" s="4"/>
      <c r="IYX252" s="9"/>
      <c r="IYY252" s="4"/>
      <c r="IYZ252" s="9"/>
      <c r="IZA252" s="4"/>
      <c r="IZB252" s="9"/>
      <c r="IZC252" s="4"/>
      <c r="IZD252" s="9"/>
      <c r="IZE252" s="4"/>
      <c r="IZF252" s="9"/>
      <c r="IZG252" s="4"/>
      <c r="IZH252" s="9"/>
      <c r="IZI252" s="4"/>
      <c r="IZJ252" s="9"/>
      <c r="IZK252" s="4"/>
      <c r="IZL252" s="9"/>
      <c r="IZM252" s="4"/>
      <c r="IZN252" s="9"/>
      <c r="IZO252" s="4"/>
      <c r="IZP252" s="9"/>
      <c r="IZQ252" s="4"/>
      <c r="IZR252" s="9"/>
      <c r="IZS252" s="4"/>
      <c r="IZT252" s="9"/>
      <c r="IZU252" s="4"/>
      <c r="IZV252" s="9"/>
      <c r="IZW252" s="4"/>
      <c r="IZX252" s="9"/>
      <c r="IZY252" s="4"/>
      <c r="IZZ252" s="9"/>
      <c r="JAA252" s="4"/>
      <c r="JAB252" s="9"/>
      <c r="JAC252" s="4"/>
      <c r="JAD252" s="9"/>
      <c r="JAE252" s="4"/>
      <c r="JAF252" s="9"/>
      <c r="JAG252" s="4"/>
      <c r="JAH252" s="9"/>
      <c r="JAI252" s="4"/>
      <c r="JAJ252" s="9"/>
      <c r="JAK252" s="4"/>
      <c r="JAL252" s="9"/>
      <c r="JAM252" s="4"/>
      <c r="JAN252" s="9"/>
      <c r="JAO252" s="4"/>
      <c r="JAP252" s="9"/>
      <c r="JAQ252" s="4"/>
      <c r="JAR252" s="9"/>
      <c r="JAS252" s="4"/>
      <c r="JAT252" s="9"/>
      <c r="JAU252" s="4"/>
      <c r="JAV252" s="9"/>
      <c r="JAW252" s="4"/>
      <c r="JAX252" s="9"/>
      <c r="JAY252" s="4"/>
      <c r="JAZ252" s="9"/>
      <c r="JBA252" s="4"/>
      <c r="JBB252" s="9"/>
      <c r="JBC252" s="4"/>
      <c r="JBD252" s="9"/>
      <c r="JBE252" s="4"/>
      <c r="JBF252" s="9"/>
      <c r="JBG252" s="4"/>
      <c r="JBH252" s="9"/>
      <c r="JBI252" s="4"/>
      <c r="JBJ252" s="9"/>
      <c r="JBK252" s="4"/>
      <c r="JBL252" s="9"/>
      <c r="JBM252" s="4"/>
      <c r="JBN252" s="9"/>
      <c r="JBO252" s="4"/>
      <c r="JBP252" s="9"/>
      <c r="JBQ252" s="4"/>
      <c r="JBR252" s="9"/>
      <c r="JBS252" s="4"/>
      <c r="JBT252" s="9"/>
      <c r="JBU252" s="4"/>
      <c r="JBV252" s="9"/>
      <c r="JBW252" s="4"/>
      <c r="JBX252" s="9"/>
      <c r="JBY252" s="4"/>
      <c r="JBZ252" s="9"/>
      <c r="JCA252" s="4"/>
      <c r="JCB252" s="9"/>
      <c r="JCC252" s="4"/>
      <c r="JCD252" s="9"/>
      <c r="JCE252" s="4"/>
      <c r="JCF252" s="9"/>
      <c r="JCG252" s="4"/>
      <c r="JCH252" s="9"/>
      <c r="JCI252" s="4"/>
      <c r="JCJ252" s="9"/>
      <c r="JCK252" s="4"/>
      <c r="JCL252" s="9"/>
      <c r="JCM252" s="4"/>
      <c r="JCN252" s="9"/>
      <c r="JCO252" s="4"/>
      <c r="JCP252" s="9"/>
      <c r="JCQ252" s="4"/>
      <c r="JCR252" s="9"/>
      <c r="JCS252" s="4"/>
      <c r="JCT252" s="9"/>
      <c r="JCU252" s="4"/>
      <c r="JCV252" s="9"/>
      <c r="JCW252" s="4"/>
      <c r="JCX252" s="9"/>
      <c r="JCY252" s="4"/>
      <c r="JCZ252" s="9"/>
      <c r="JDA252" s="4"/>
      <c r="JDB252" s="9"/>
      <c r="JDC252" s="4"/>
      <c r="JDD252" s="9"/>
      <c r="JDE252" s="4"/>
      <c r="JDF252" s="9"/>
      <c r="JDG252" s="4"/>
      <c r="JDH252" s="9"/>
      <c r="JDI252" s="4"/>
      <c r="JDJ252" s="9"/>
      <c r="JDK252" s="4"/>
      <c r="JDL252" s="9"/>
      <c r="JDM252" s="4"/>
      <c r="JDN252" s="9"/>
      <c r="JDO252" s="4"/>
      <c r="JDP252" s="9"/>
      <c r="JDQ252" s="4"/>
      <c r="JDR252" s="9"/>
      <c r="JDS252" s="4"/>
      <c r="JDT252" s="9"/>
      <c r="JDU252" s="4"/>
      <c r="JDV252" s="9"/>
      <c r="JDW252" s="4"/>
      <c r="JDX252" s="9"/>
      <c r="JDY252" s="4"/>
      <c r="JDZ252" s="9"/>
      <c r="JEA252" s="4"/>
      <c r="JEB252" s="9"/>
      <c r="JEC252" s="4"/>
      <c r="JED252" s="9"/>
      <c r="JEE252" s="4"/>
      <c r="JEF252" s="9"/>
      <c r="JEG252" s="4"/>
      <c r="JEH252" s="9"/>
      <c r="JEI252" s="4"/>
      <c r="JEJ252" s="9"/>
      <c r="JEK252" s="4"/>
      <c r="JEL252" s="9"/>
      <c r="JEM252" s="4"/>
      <c r="JEN252" s="9"/>
      <c r="JEO252" s="4"/>
      <c r="JEP252" s="9"/>
      <c r="JEQ252" s="4"/>
      <c r="JER252" s="9"/>
      <c r="JES252" s="4"/>
      <c r="JET252" s="9"/>
      <c r="JEU252" s="4"/>
      <c r="JEV252" s="9"/>
      <c r="JEW252" s="4"/>
      <c r="JEX252" s="9"/>
      <c r="JEY252" s="4"/>
      <c r="JEZ252" s="9"/>
      <c r="JFA252" s="4"/>
      <c r="JFB252" s="9"/>
      <c r="JFC252" s="4"/>
      <c r="JFD252" s="9"/>
      <c r="JFE252" s="4"/>
      <c r="JFF252" s="9"/>
      <c r="JFG252" s="4"/>
      <c r="JFH252" s="9"/>
      <c r="JFI252" s="4"/>
      <c r="JFJ252" s="9"/>
      <c r="JFK252" s="4"/>
      <c r="JFL252" s="9"/>
      <c r="JFM252" s="4"/>
      <c r="JFN252" s="9"/>
      <c r="JFO252" s="4"/>
      <c r="JFP252" s="9"/>
      <c r="JFQ252" s="4"/>
      <c r="JFR252" s="9"/>
      <c r="JFS252" s="4"/>
      <c r="JFT252" s="9"/>
      <c r="JFU252" s="4"/>
      <c r="JFV252" s="9"/>
      <c r="JFW252" s="4"/>
      <c r="JFX252" s="9"/>
      <c r="JFY252" s="4"/>
      <c r="JFZ252" s="9"/>
      <c r="JGA252" s="4"/>
      <c r="JGB252" s="9"/>
      <c r="JGC252" s="4"/>
      <c r="JGD252" s="9"/>
      <c r="JGE252" s="4"/>
      <c r="JGF252" s="9"/>
      <c r="JGG252" s="4"/>
      <c r="JGH252" s="9"/>
      <c r="JGI252" s="4"/>
      <c r="JGJ252" s="9"/>
      <c r="JGK252" s="4"/>
      <c r="JGL252" s="9"/>
      <c r="JGM252" s="4"/>
      <c r="JGN252" s="9"/>
      <c r="JGO252" s="4"/>
      <c r="JGP252" s="9"/>
      <c r="JGQ252" s="4"/>
      <c r="JGR252" s="9"/>
      <c r="JGS252" s="4"/>
      <c r="JGT252" s="9"/>
      <c r="JGU252" s="4"/>
      <c r="JGV252" s="9"/>
      <c r="JGW252" s="4"/>
      <c r="JGX252" s="9"/>
      <c r="JGY252" s="4"/>
      <c r="JGZ252" s="9"/>
      <c r="JHA252" s="4"/>
      <c r="JHB252" s="9"/>
      <c r="JHC252" s="4"/>
      <c r="JHD252" s="9"/>
      <c r="JHE252" s="4"/>
      <c r="JHF252" s="9"/>
      <c r="JHG252" s="4"/>
      <c r="JHH252" s="9"/>
      <c r="JHI252" s="4"/>
      <c r="JHJ252" s="9"/>
      <c r="JHK252" s="4"/>
      <c r="JHL252" s="9"/>
      <c r="JHM252" s="4"/>
      <c r="JHN252" s="9"/>
      <c r="JHO252" s="4"/>
      <c r="JHP252" s="9"/>
      <c r="JHQ252" s="4"/>
      <c r="JHR252" s="9"/>
      <c r="JHS252" s="4"/>
      <c r="JHT252" s="9"/>
      <c r="JHU252" s="4"/>
      <c r="JHV252" s="9"/>
      <c r="JHW252" s="4"/>
      <c r="JHX252" s="9"/>
      <c r="JHY252" s="4"/>
      <c r="JHZ252" s="9"/>
      <c r="JIA252" s="4"/>
      <c r="JIB252" s="9"/>
      <c r="JIC252" s="4"/>
      <c r="JID252" s="9"/>
      <c r="JIE252" s="4"/>
      <c r="JIF252" s="9"/>
      <c r="JIG252" s="4"/>
      <c r="JIH252" s="9"/>
      <c r="JII252" s="4"/>
      <c r="JIJ252" s="9"/>
      <c r="JIK252" s="4"/>
      <c r="JIL252" s="9"/>
      <c r="JIM252" s="4"/>
      <c r="JIN252" s="9"/>
      <c r="JIO252" s="4"/>
      <c r="JIP252" s="9"/>
      <c r="JIQ252" s="4"/>
      <c r="JIR252" s="9"/>
      <c r="JIS252" s="4"/>
      <c r="JIT252" s="9"/>
      <c r="JIU252" s="4"/>
      <c r="JIV252" s="9"/>
      <c r="JIW252" s="4"/>
      <c r="JIX252" s="9"/>
      <c r="JIY252" s="4"/>
      <c r="JIZ252" s="9"/>
      <c r="JJA252" s="4"/>
      <c r="JJB252" s="9"/>
      <c r="JJC252" s="4"/>
      <c r="JJD252" s="9"/>
      <c r="JJE252" s="4"/>
      <c r="JJF252" s="9"/>
      <c r="JJG252" s="4"/>
      <c r="JJH252" s="9"/>
      <c r="JJI252" s="4"/>
      <c r="JJJ252" s="9"/>
      <c r="JJK252" s="4"/>
      <c r="JJL252" s="9"/>
      <c r="JJM252" s="4"/>
      <c r="JJN252" s="9"/>
      <c r="JJO252" s="4"/>
      <c r="JJP252" s="9"/>
      <c r="JJQ252" s="4"/>
      <c r="JJR252" s="9"/>
      <c r="JJS252" s="4"/>
      <c r="JJT252" s="9"/>
      <c r="JJU252" s="4"/>
      <c r="JJV252" s="9"/>
      <c r="JJW252" s="4"/>
      <c r="JJX252" s="9"/>
      <c r="JJY252" s="4"/>
      <c r="JJZ252" s="9"/>
      <c r="JKA252" s="4"/>
      <c r="JKB252" s="9"/>
      <c r="JKC252" s="4"/>
      <c r="JKD252" s="9"/>
      <c r="JKE252" s="4"/>
      <c r="JKF252" s="9"/>
      <c r="JKG252" s="4"/>
      <c r="JKH252" s="9"/>
      <c r="JKI252" s="4"/>
      <c r="JKJ252" s="9"/>
      <c r="JKK252" s="4"/>
      <c r="JKL252" s="9"/>
      <c r="JKM252" s="4"/>
      <c r="JKN252" s="9"/>
      <c r="JKO252" s="4"/>
      <c r="JKP252" s="9"/>
      <c r="JKQ252" s="4"/>
      <c r="JKR252" s="9"/>
      <c r="JKS252" s="4"/>
      <c r="JKT252" s="9"/>
      <c r="JKU252" s="4"/>
      <c r="JKV252" s="9"/>
      <c r="JKW252" s="4"/>
      <c r="JKX252" s="9"/>
      <c r="JKY252" s="4"/>
      <c r="JKZ252" s="9"/>
      <c r="JLA252" s="4"/>
      <c r="JLB252" s="9"/>
      <c r="JLC252" s="4"/>
      <c r="JLD252" s="9"/>
      <c r="JLE252" s="4"/>
      <c r="JLF252" s="9"/>
      <c r="JLG252" s="4"/>
      <c r="JLH252" s="9"/>
      <c r="JLI252" s="4"/>
      <c r="JLJ252" s="9"/>
      <c r="JLK252" s="4"/>
      <c r="JLL252" s="9"/>
      <c r="JLM252" s="4"/>
      <c r="JLN252" s="9"/>
      <c r="JLO252" s="4"/>
      <c r="JLP252" s="9"/>
      <c r="JLQ252" s="4"/>
      <c r="JLR252" s="9"/>
      <c r="JLS252" s="4"/>
      <c r="JLT252" s="9"/>
      <c r="JLU252" s="4"/>
      <c r="JLV252" s="9"/>
      <c r="JLW252" s="4"/>
      <c r="JLX252" s="9"/>
      <c r="JLY252" s="4"/>
      <c r="JLZ252" s="9"/>
      <c r="JMA252" s="4"/>
      <c r="JMB252" s="9"/>
      <c r="JMC252" s="4"/>
      <c r="JMD252" s="9"/>
      <c r="JME252" s="4"/>
      <c r="JMF252" s="9"/>
      <c r="JMG252" s="4"/>
      <c r="JMH252" s="9"/>
      <c r="JMI252" s="4"/>
      <c r="JMJ252" s="9"/>
      <c r="JMK252" s="4"/>
      <c r="JML252" s="9"/>
      <c r="JMM252" s="4"/>
      <c r="JMN252" s="9"/>
      <c r="JMO252" s="4"/>
      <c r="JMP252" s="9"/>
      <c r="JMQ252" s="4"/>
      <c r="JMR252" s="9"/>
      <c r="JMS252" s="4"/>
      <c r="JMT252" s="9"/>
      <c r="JMU252" s="4"/>
      <c r="JMV252" s="9"/>
      <c r="JMW252" s="4"/>
      <c r="JMX252" s="9"/>
      <c r="JMY252" s="4"/>
      <c r="JMZ252" s="9"/>
      <c r="JNA252" s="4"/>
      <c r="JNB252" s="9"/>
      <c r="JNC252" s="4"/>
      <c r="JND252" s="9"/>
      <c r="JNE252" s="4"/>
      <c r="JNF252" s="9"/>
      <c r="JNG252" s="4"/>
      <c r="JNH252" s="9"/>
      <c r="JNI252" s="4"/>
      <c r="JNJ252" s="9"/>
      <c r="JNK252" s="4"/>
      <c r="JNL252" s="9"/>
      <c r="JNM252" s="4"/>
      <c r="JNN252" s="9"/>
      <c r="JNO252" s="4"/>
      <c r="JNP252" s="9"/>
      <c r="JNQ252" s="4"/>
      <c r="JNR252" s="9"/>
      <c r="JNS252" s="4"/>
      <c r="JNT252" s="9"/>
      <c r="JNU252" s="4"/>
      <c r="JNV252" s="9"/>
      <c r="JNW252" s="4"/>
      <c r="JNX252" s="9"/>
      <c r="JNY252" s="4"/>
      <c r="JNZ252" s="9"/>
      <c r="JOA252" s="4"/>
      <c r="JOB252" s="9"/>
      <c r="JOC252" s="4"/>
      <c r="JOD252" s="9"/>
      <c r="JOE252" s="4"/>
      <c r="JOF252" s="9"/>
      <c r="JOG252" s="4"/>
      <c r="JOH252" s="9"/>
      <c r="JOI252" s="4"/>
      <c r="JOJ252" s="9"/>
      <c r="JOK252" s="4"/>
      <c r="JOL252" s="9"/>
      <c r="JOM252" s="4"/>
      <c r="JON252" s="9"/>
      <c r="JOO252" s="4"/>
      <c r="JOP252" s="9"/>
      <c r="JOQ252" s="4"/>
      <c r="JOR252" s="9"/>
      <c r="JOS252" s="4"/>
      <c r="JOT252" s="9"/>
      <c r="JOU252" s="4"/>
      <c r="JOV252" s="9"/>
      <c r="JOW252" s="4"/>
      <c r="JOX252" s="9"/>
      <c r="JOY252" s="4"/>
      <c r="JOZ252" s="9"/>
      <c r="JPA252" s="4"/>
      <c r="JPB252" s="9"/>
      <c r="JPC252" s="4"/>
      <c r="JPD252" s="9"/>
      <c r="JPE252" s="4"/>
      <c r="JPF252" s="9"/>
      <c r="JPG252" s="4"/>
      <c r="JPH252" s="9"/>
      <c r="JPI252" s="4"/>
      <c r="JPJ252" s="9"/>
      <c r="JPK252" s="4"/>
      <c r="JPL252" s="9"/>
      <c r="JPM252" s="4"/>
      <c r="JPN252" s="9"/>
      <c r="JPO252" s="4"/>
      <c r="JPP252" s="9"/>
      <c r="JPQ252" s="4"/>
      <c r="JPR252" s="9"/>
      <c r="JPS252" s="4"/>
      <c r="JPT252" s="9"/>
      <c r="JPU252" s="4"/>
      <c r="JPV252" s="9"/>
      <c r="JPW252" s="4"/>
      <c r="JPX252" s="9"/>
      <c r="JPY252" s="4"/>
      <c r="JPZ252" s="9"/>
      <c r="JQA252" s="4"/>
      <c r="JQB252" s="9"/>
      <c r="JQC252" s="4"/>
      <c r="JQD252" s="9"/>
      <c r="JQE252" s="4"/>
      <c r="JQF252" s="9"/>
      <c r="JQG252" s="4"/>
      <c r="JQH252" s="9"/>
      <c r="JQI252" s="4"/>
      <c r="JQJ252" s="9"/>
      <c r="JQK252" s="4"/>
      <c r="JQL252" s="9"/>
      <c r="JQM252" s="4"/>
      <c r="JQN252" s="9"/>
      <c r="JQO252" s="4"/>
      <c r="JQP252" s="9"/>
      <c r="JQQ252" s="4"/>
      <c r="JQR252" s="9"/>
      <c r="JQS252" s="4"/>
      <c r="JQT252" s="9"/>
      <c r="JQU252" s="4"/>
      <c r="JQV252" s="9"/>
      <c r="JQW252" s="4"/>
      <c r="JQX252" s="9"/>
      <c r="JQY252" s="4"/>
      <c r="JQZ252" s="9"/>
      <c r="JRA252" s="4"/>
      <c r="JRB252" s="9"/>
      <c r="JRC252" s="4"/>
      <c r="JRD252" s="9"/>
      <c r="JRE252" s="4"/>
      <c r="JRF252" s="9"/>
      <c r="JRG252" s="4"/>
      <c r="JRH252" s="9"/>
      <c r="JRI252" s="4"/>
      <c r="JRJ252" s="9"/>
      <c r="JRK252" s="4"/>
      <c r="JRL252" s="9"/>
      <c r="JRM252" s="4"/>
      <c r="JRN252" s="9"/>
      <c r="JRO252" s="4"/>
      <c r="JRP252" s="9"/>
      <c r="JRQ252" s="4"/>
      <c r="JRR252" s="9"/>
      <c r="JRS252" s="4"/>
      <c r="JRT252" s="9"/>
      <c r="JRU252" s="4"/>
      <c r="JRV252" s="9"/>
      <c r="JRW252" s="4"/>
      <c r="JRX252" s="9"/>
      <c r="JRY252" s="4"/>
      <c r="JRZ252" s="9"/>
      <c r="JSA252" s="4"/>
      <c r="JSB252" s="9"/>
      <c r="JSC252" s="4"/>
      <c r="JSD252" s="9"/>
      <c r="JSE252" s="4"/>
      <c r="JSF252" s="9"/>
      <c r="JSG252" s="4"/>
      <c r="JSH252" s="9"/>
      <c r="JSI252" s="4"/>
      <c r="JSJ252" s="9"/>
      <c r="JSK252" s="4"/>
      <c r="JSL252" s="9"/>
      <c r="JSM252" s="4"/>
      <c r="JSN252" s="9"/>
      <c r="JSO252" s="4"/>
      <c r="JSP252" s="9"/>
      <c r="JSQ252" s="4"/>
      <c r="JSR252" s="9"/>
      <c r="JSS252" s="4"/>
      <c r="JST252" s="9"/>
      <c r="JSU252" s="4"/>
      <c r="JSV252" s="9"/>
      <c r="JSW252" s="4"/>
      <c r="JSX252" s="9"/>
      <c r="JSY252" s="4"/>
      <c r="JSZ252" s="9"/>
      <c r="JTA252" s="4"/>
      <c r="JTB252" s="9"/>
      <c r="JTC252" s="4"/>
      <c r="JTD252" s="9"/>
      <c r="JTE252" s="4"/>
      <c r="JTF252" s="9"/>
      <c r="JTG252" s="4"/>
      <c r="JTH252" s="9"/>
      <c r="JTI252" s="4"/>
      <c r="JTJ252" s="9"/>
      <c r="JTK252" s="4"/>
      <c r="JTL252" s="9"/>
      <c r="JTM252" s="4"/>
      <c r="JTN252" s="9"/>
      <c r="JTO252" s="4"/>
      <c r="JTP252" s="9"/>
      <c r="JTQ252" s="4"/>
      <c r="JTR252" s="9"/>
      <c r="JTS252" s="4"/>
      <c r="JTT252" s="9"/>
      <c r="JTU252" s="4"/>
      <c r="JTV252" s="9"/>
      <c r="JTW252" s="4"/>
      <c r="JTX252" s="9"/>
      <c r="JTY252" s="4"/>
      <c r="JTZ252" s="9"/>
      <c r="JUA252" s="4"/>
      <c r="JUB252" s="9"/>
      <c r="JUC252" s="4"/>
      <c r="JUD252" s="9"/>
      <c r="JUE252" s="4"/>
      <c r="JUF252" s="9"/>
      <c r="JUG252" s="4"/>
      <c r="JUH252" s="9"/>
      <c r="JUI252" s="4"/>
      <c r="JUJ252" s="9"/>
      <c r="JUK252" s="4"/>
      <c r="JUL252" s="9"/>
      <c r="JUM252" s="4"/>
      <c r="JUN252" s="9"/>
      <c r="JUO252" s="4"/>
      <c r="JUP252" s="9"/>
      <c r="JUQ252" s="4"/>
      <c r="JUR252" s="9"/>
      <c r="JUS252" s="4"/>
      <c r="JUT252" s="9"/>
      <c r="JUU252" s="4"/>
      <c r="JUV252" s="9"/>
      <c r="JUW252" s="4"/>
      <c r="JUX252" s="9"/>
      <c r="JUY252" s="4"/>
      <c r="JUZ252" s="9"/>
      <c r="JVA252" s="4"/>
      <c r="JVB252" s="9"/>
      <c r="JVC252" s="4"/>
      <c r="JVD252" s="9"/>
      <c r="JVE252" s="4"/>
      <c r="JVF252" s="9"/>
      <c r="JVG252" s="4"/>
      <c r="JVH252" s="9"/>
      <c r="JVI252" s="4"/>
      <c r="JVJ252" s="9"/>
      <c r="JVK252" s="4"/>
      <c r="JVL252" s="9"/>
      <c r="JVM252" s="4"/>
      <c r="JVN252" s="9"/>
      <c r="JVO252" s="4"/>
      <c r="JVP252" s="9"/>
      <c r="JVQ252" s="4"/>
      <c r="JVR252" s="9"/>
      <c r="JVS252" s="4"/>
      <c r="JVT252" s="9"/>
      <c r="JVU252" s="4"/>
      <c r="JVV252" s="9"/>
      <c r="JVW252" s="4"/>
      <c r="JVX252" s="9"/>
      <c r="JVY252" s="4"/>
      <c r="JVZ252" s="9"/>
      <c r="JWA252" s="4"/>
      <c r="JWB252" s="9"/>
      <c r="JWC252" s="4"/>
      <c r="JWD252" s="9"/>
      <c r="JWE252" s="4"/>
      <c r="JWF252" s="9"/>
      <c r="JWG252" s="4"/>
      <c r="JWH252" s="9"/>
      <c r="JWI252" s="4"/>
      <c r="JWJ252" s="9"/>
      <c r="JWK252" s="4"/>
      <c r="JWL252" s="9"/>
      <c r="JWM252" s="4"/>
      <c r="JWN252" s="9"/>
      <c r="JWO252" s="4"/>
      <c r="JWP252" s="9"/>
      <c r="JWQ252" s="4"/>
      <c r="JWR252" s="9"/>
      <c r="JWS252" s="4"/>
      <c r="JWT252" s="9"/>
      <c r="JWU252" s="4"/>
      <c r="JWV252" s="9"/>
      <c r="JWW252" s="4"/>
      <c r="JWX252" s="9"/>
      <c r="JWY252" s="4"/>
      <c r="JWZ252" s="9"/>
      <c r="JXA252" s="4"/>
      <c r="JXB252" s="9"/>
      <c r="JXC252" s="4"/>
      <c r="JXD252" s="9"/>
      <c r="JXE252" s="4"/>
      <c r="JXF252" s="9"/>
      <c r="JXG252" s="4"/>
      <c r="JXH252" s="9"/>
      <c r="JXI252" s="4"/>
      <c r="JXJ252" s="9"/>
      <c r="JXK252" s="4"/>
      <c r="JXL252" s="9"/>
      <c r="JXM252" s="4"/>
      <c r="JXN252" s="9"/>
      <c r="JXO252" s="4"/>
      <c r="JXP252" s="9"/>
      <c r="JXQ252" s="4"/>
      <c r="JXR252" s="9"/>
      <c r="JXS252" s="4"/>
      <c r="JXT252" s="9"/>
      <c r="JXU252" s="4"/>
      <c r="JXV252" s="9"/>
      <c r="JXW252" s="4"/>
      <c r="JXX252" s="9"/>
      <c r="JXY252" s="4"/>
      <c r="JXZ252" s="9"/>
      <c r="JYA252" s="4"/>
      <c r="JYB252" s="9"/>
      <c r="JYC252" s="4"/>
      <c r="JYD252" s="9"/>
      <c r="JYE252" s="4"/>
      <c r="JYF252" s="9"/>
      <c r="JYG252" s="4"/>
      <c r="JYH252" s="9"/>
      <c r="JYI252" s="4"/>
      <c r="JYJ252" s="9"/>
      <c r="JYK252" s="4"/>
      <c r="JYL252" s="9"/>
      <c r="JYM252" s="4"/>
      <c r="JYN252" s="9"/>
      <c r="JYO252" s="4"/>
      <c r="JYP252" s="9"/>
      <c r="JYQ252" s="4"/>
      <c r="JYR252" s="9"/>
      <c r="JYS252" s="4"/>
      <c r="JYT252" s="9"/>
      <c r="JYU252" s="4"/>
      <c r="JYV252" s="9"/>
      <c r="JYW252" s="4"/>
      <c r="JYX252" s="9"/>
      <c r="JYY252" s="4"/>
      <c r="JYZ252" s="9"/>
      <c r="JZA252" s="4"/>
      <c r="JZB252" s="9"/>
      <c r="JZC252" s="4"/>
      <c r="JZD252" s="9"/>
      <c r="JZE252" s="4"/>
      <c r="JZF252" s="9"/>
      <c r="JZG252" s="4"/>
      <c r="JZH252" s="9"/>
      <c r="JZI252" s="4"/>
      <c r="JZJ252" s="9"/>
      <c r="JZK252" s="4"/>
      <c r="JZL252" s="9"/>
      <c r="JZM252" s="4"/>
      <c r="JZN252" s="9"/>
      <c r="JZO252" s="4"/>
      <c r="JZP252" s="9"/>
      <c r="JZQ252" s="4"/>
      <c r="JZR252" s="9"/>
      <c r="JZS252" s="4"/>
      <c r="JZT252" s="9"/>
      <c r="JZU252" s="4"/>
      <c r="JZV252" s="9"/>
      <c r="JZW252" s="4"/>
      <c r="JZX252" s="9"/>
      <c r="JZY252" s="4"/>
      <c r="JZZ252" s="9"/>
      <c r="KAA252" s="4"/>
      <c r="KAB252" s="9"/>
      <c r="KAC252" s="4"/>
      <c r="KAD252" s="9"/>
      <c r="KAE252" s="4"/>
      <c r="KAF252" s="9"/>
      <c r="KAG252" s="4"/>
      <c r="KAH252" s="9"/>
      <c r="KAI252" s="4"/>
      <c r="KAJ252" s="9"/>
      <c r="KAK252" s="4"/>
      <c r="KAL252" s="9"/>
      <c r="KAM252" s="4"/>
      <c r="KAN252" s="9"/>
      <c r="KAO252" s="4"/>
      <c r="KAP252" s="9"/>
      <c r="KAQ252" s="4"/>
      <c r="KAR252" s="9"/>
      <c r="KAS252" s="4"/>
      <c r="KAT252" s="9"/>
      <c r="KAU252" s="4"/>
      <c r="KAV252" s="9"/>
      <c r="KAW252" s="4"/>
      <c r="KAX252" s="9"/>
      <c r="KAY252" s="4"/>
      <c r="KAZ252" s="9"/>
      <c r="KBA252" s="4"/>
      <c r="KBB252" s="9"/>
      <c r="KBC252" s="4"/>
      <c r="KBD252" s="9"/>
      <c r="KBE252" s="4"/>
      <c r="KBF252" s="9"/>
      <c r="KBG252" s="4"/>
      <c r="KBH252" s="9"/>
      <c r="KBI252" s="4"/>
      <c r="KBJ252" s="9"/>
      <c r="KBK252" s="4"/>
      <c r="KBL252" s="9"/>
      <c r="KBM252" s="4"/>
      <c r="KBN252" s="9"/>
      <c r="KBO252" s="4"/>
      <c r="KBP252" s="9"/>
      <c r="KBQ252" s="4"/>
      <c r="KBR252" s="9"/>
      <c r="KBS252" s="4"/>
      <c r="KBT252" s="9"/>
      <c r="KBU252" s="4"/>
      <c r="KBV252" s="9"/>
      <c r="KBW252" s="4"/>
      <c r="KBX252" s="9"/>
      <c r="KBY252" s="4"/>
      <c r="KBZ252" s="9"/>
      <c r="KCA252" s="4"/>
      <c r="KCB252" s="9"/>
      <c r="KCC252" s="4"/>
      <c r="KCD252" s="9"/>
      <c r="KCE252" s="4"/>
      <c r="KCF252" s="9"/>
      <c r="KCG252" s="4"/>
      <c r="KCH252" s="9"/>
      <c r="KCI252" s="4"/>
      <c r="KCJ252" s="9"/>
      <c r="KCK252" s="4"/>
      <c r="KCL252" s="9"/>
      <c r="KCM252" s="4"/>
      <c r="KCN252" s="9"/>
      <c r="KCO252" s="4"/>
      <c r="KCP252" s="9"/>
      <c r="KCQ252" s="4"/>
      <c r="KCR252" s="9"/>
      <c r="KCS252" s="4"/>
      <c r="KCT252" s="9"/>
      <c r="KCU252" s="4"/>
      <c r="KCV252" s="9"/>
      <c r="KCW252" s="4"/>
      <c r="KCX252" s="9"/>
      <c r="KCY252" s="4"/>
      <c r="KCZ252" s="9"/>
      <c r="KDA252" s="4"/>
      <c r="KDB252" s="9"/>
      <c r="KDC252" s="4"/>
      <c r="KDD252" s="9"/>
      <c r="KDE252" s="4"/>
      <c r="KDF252" s="9"/>
      <c r="KDG252" s="4"/>
      <c r="KDH252" s="9"/>
      <c r="KDI252" s="4"/>
      <c r="KDJ252" s="9"/>
      <c r="KDK252" s="4"/>
      <c r="KDL252" s="9"/>
      <c r="KDM252" s="4"/>
      <c r="KDN252" s="9"/>
      <c r="KDO252" s="4"/>
      <c r="KDP252" s="9"/>
      <c r="KDQ252" s="4"/>
      <c r="KDR252" s="9"/>
      <c r="KDS252" s="4"/>
      <c r="KDT252" s="9"/>
      <c r="KDU252" s="4"/>
      <c r="KDV252" s="9"/>
      <c r="KDW252" s="4"/>
      <c r="KDX252" s="9"/>
      <c r="KDY252" s="4"/>
      <c r="KDZ252" s="9"/>
      <c r="KEA252" s="4"/>
      <c r="KEB252" s="9"/>
      <c r="KEC252" s="4"/>
      <c r="KED252" s="9"/>
      <c r="KEE252" s="4"/>
      <c r="KEF252" s="9"/>
      <c r="KEG252" s="4"/>
      <c r="KEH252" s="9"/>
      <c r="KEI252" s="4"/>
      <c r="KEJ252" s="9"/>
      <c r="KEK252" s="4"/>
      <c r="KEL252" s="9"/>
      <c r="KEM252" s="4"/>
      <c r="KEN252" s="9"/>
      <c r="KEO252" s="4"/>
      <c r="KEP252" s="9"/>
      <c r="KEQ252" s="4"/>
      <c r="KER252" s="9"/>
      <c r="KES252" s="4"/>
      <c r="KET252" s="9"/>
      <c r="KEU252" s="4"/>
      <c r="KEV252" s="9"/>
      <c r="KEW252" s="4"/>
      <c r="KEX252" s="9"/>
      <c r="KEY252" s="4"/>
      <c r="KEZ252" s="9"/>
      <c r="KFA252" s="4"/>
      <c r="KFB252" s="9"/>
      <c r="KFC252" s="4"/>
      <c r="KFD252" s="9"/>
      <c r="KFE252" s="4"/>
      <c r="KFF252" s="9"/>
      <c r="KFG252" s="4"/>
      <c r="KFH252" s="9"/>
      <c r="KFI252" s="4"/>
      <c r="KFJ252" s="9"/>
      <c r="KFK252" s="4"/>
      <c r="KFL252" s="9"/>
      <c r="KFM252" s="4"/>
      <c r="KFN252" s="9"/>
      <c r="KFO252" s="4"/>
      <c r="KFP252" s="9"/>
      <c r="KFQ252" s="4"/>
      <c r="KFR252" s="9"/>
      <c r="KFS252" s="4"/>
      <c r="KFT252" s="9"/>
      <c r="KFU252" s="4"/>
      <c r="KFV252" s="9"/>
      <c r="KFW252" s="4"/>
      <c r="KFX252" s="9"/>
      <c r="KFY252" s="4"/>
      <c r="KFZ252" s="9"/>
      <c r="KGA252" s="4"/>
      <c r="KGB252" s="9"/>
      <c r="KGC252" s="4"/>
      <c r="KGD252" s="9"/>
      <c r="KGE252" s="4"/>
      <c r="KGF252" s="9"/>
      <c r="KGG252" s="4"/>
      <c r="KGH252" s="9"/>
      <c r="KGI252" s="4"/>
      <c r="KGJ252" s="9"/>
      <c r="KGK252" s="4"/>
      <c r="KGL252" s="9"/>
      <c r="KGM252" s="4"/>
      <c r="KGN252" s="9"/>
      <c r="KGO252" s="4"/>
      <c r="KGP252" s="9"/>
      <c r="KGQ252" s="4"/>
      <c r="KGR252" s="9"/>
      <c r="KGS252" s="4"/>
      <c r="KGT252" s="9"/>
      <c r="KGU252" s="4"/>
      <c r="KGV252" s="9"/>
      <c r="KGW252" s="4"/>
      <c r="KGX252" s="9"/>
      <c r="KGY252" s="4"/>
      <c r="KGZ252" s="9"/>
      <c r="KHA252" s="4"/>
      <c r="KHB252" s="9"/>
      <c r="KHC252" s="4"/>
      <c r="KHD252" s="9"/>
      <c r="KHE252" s="4"/>
      <c r="KHF252" s="9"/>
      <c r="KHG252" s="4"/>
      <c r="KHH252" s="9"/>
      <c r="KHI252" s="4"/>
      <c r="KHJ252" s="9"/>
      <c r="KHK252" s="4"/>
      <c r="KHL252" s="9"/>
      <c r="KHM252" s="4"/>
      <c r="KHN252" s="9"/>
      <c r="KHO252" s="4"/>
      <c r="KHP252" s="9"/>
      <c r="KHQ252" s="4"/>
      <c r="KHR252" s="9"/>
      <c r="KHS252" s="4"/>
      <c r="KHT252" s="9"/>
      <c r="KHU252" s="4"/>
      <c r="KHV252" s="9"/>
      <c r="KHW252" s="4"/>
      <c r="KHX252" s="9"/>
      <c r="KHY252" s="4"/>
      <c r="KHZ252" s="9"/>
      <c r="KIA252" s="4"/>
      <c r="KIB252" s="9"/>
      <c r="KIC252" s="4"/>
      <c r="KID252" s="9"/>
      <c r="KIE252" s="4"/>
      <c r="KIF252" s="9"/>
      <c r="KIG252" s="4"/>
      <c r="KIH252" s="9"/>
      <c r="KII252" s="4"/>
      <c r="KIJ252" s="9"/>
      <c r="KIK252" s="4"/>
      <c r="KIL252" s="9"/>
      <c r="KIM252" s="4"/>
      <c r="KIN252" s="9"/>
      <c r="KIO252" s="4"/>
      <c r="KIP252" s="9"/>
      <c r="KIQ252" s="4"/>
      <c r="KIR252" s="9"/>
      <c r="KIS252" s="4"/>
      <c r="KIT252" s="9"/>
      <c r="KIU252" s="4"/>
      <c r="KIV252" s="9"/>
      <c r="KIW252" s="4"/>
      <c r="KIX252" s="9"/>
      <c r="KIY252" s="4"/>
      <c r="KIZ252" s="9"/>
      <c r="KJA252" s="4"/>
      <c r="KJB252" s="9"/>
      <c r="KJC252" s="4"/>
      <c r="KJD252" s="9"/>
      <c r="KJE252" s="4"/>
      <c r="KJF252" s="9"/>
      <c r="KJG252" s="4"/>
      <c r="KJH252" s="9"/>
      <c r="KJI252" s="4"/>
      <c r="KJJ252" s="9"/>
      <c r="KJK252" s="4"/>
      <c r="KJL252" s="9"/>
      <c r="KJM252" s="4"/>
      <c r="KJN252" s="9"/>
      <c r="KJO252" s="4"/>
      <c r="KJP252" s="9"/>
      <c r="KJQ252" s="4"/>
      <c r="KJR252" s="9"/>
      <c r="KJS252" s="4"/>
      <c r="KJT252" s="9"/>
      <c r="KJU252" s="4"/>
      <c r="KJV252" s="9"/>
      <c r="KJW252" s="4"/>
      <c r="KJX252" s="9"/>
      <c r="KJY252" s="4"/>
      <c r="KJZ252" s="9"/>
      <c r="KKA252" s="4"/>
      <c r="KKB252" s="9"/>
      <c r="KKC252" s="4"/>
      <c r="KKD252" s="9"/>
      <c r="KKE252" s="4"/>
      <c r="KKF252" s="9"/>
      <c r="KKG252" s="4"/>
      <c r="KKH252" s="9"/>
      <c r="KKI252" s="4"/>
      <c r="KKJ252" s="9"/>
      <c r="KKK252" s="4"/>
      <c r="KKL252" s="9"/>
      <c r="KKM252" s="4"/>
      <c r="KKN252" s="9"/>
      <c r="KKO252" s="4"/>
      <c r="KKP252" s="9"/>
      <c r="KKQ252" s="4"/>
      <c r="KKR252" s="9"/>
      <c r="KKS252" s="4"/>
      <c r="KKT252" s="9"/>
      <c r="KKU252" s="4"/>
      <c r="KKV252" s="9"/>
      <c r="KKW252" s="4"/>
      <c r="KKX252" s="9"/>
      <c r="KKY252" s="4"/>
      <c r="KKZ252" s="9"/>
      <c r="KLA252" s="4"/>
      <c r="KLB252" s="9"/>
      <c r="KLC252" s="4"/>
      <c r="KLD252" s="9"/>
      <c r="KLE252" s="4"/>
      <c r="KLF252" s="9"/>
      <c r="KLG252" s="4"/>
      <c r="KLH252" s="9"/>
      <c r="KLI252" s="4"/>
      <c r="KLJ252" s="9"/>
      <c r="KLK252" s="4"/>
      <c r="KLL252" s="9"/>
      <c r="KLM252" s="4"/>
      <c r="KLN252" s="9"/>
      <c r="KLO252" s="4"/>
      <c r="KLP252" s="9"/>
      <c r="KLQ252" s="4"/>
      <c r="KLR252" s="9"/>
      <c r="KLS252" s="4"/>
      <c r="KLT252" s="9"/>
      <c r="KLU252" s="4"/>
      <c r="KLV252" s="9"/>
      <c r="KLW252" s="4"/>
      <c r="KLX252" s="9"/>
      <c r="KLY252" s="4"/>
      <c r="KLZ252" s="9"/>
      <c r="KMA252" s="4"/>
      <c r="KMB252" s="9"/>
      <c r="KMC252" s="4"/>
      <c r="KMD252" s="9"/>
      <c r="KME252" s="4"/>
      <c r="KMF252" s="9"/>
      <c r="KMG252" s="4"/>
      <c r="KMH252" s="9"/>
      <c r="KMI252" s="4"/>
      <c r="KMJ252" s="9"/>
      <c r="KMK252" s="4"/>
      <c r="KML252" s="9"/>
      <c r="KMM252" s="4"/>
      <c r="KMN252" s="9"/>
      <c r="KMO252" s="4"/>
      <c r="KMP252" s="9"/>
      <c r="KMQ252" s="4"/>
      <c r="KMR252" s="9"/>
      <c r="KMS252" s="4"/>
      <c r="KMT252" s="9"/>
      <c r="KMU252" s="4"/>
      <c r="KMV252" s="9"/>
      <c r="KMW252" s="4"/>
      <c r="KMX252" s="9"/>
      <c r="KMY252" s="4"/>
      <c r="KMZ252" s="9"/>
      <c r="KNA252" s="4"/>
      <c r="KNB252" s="9"/>
      <c r="KNC252" s="4"/>
      <c r="KND252" s="9"/>
      <c r="KNE252" s="4"/>
      <c r="KNF252" s="9"/>
      <c r="KNG252" s="4"/>
      <c r="KNH252" s="9"/>
      <c r="KNI252" s="4"/>
      <c r="KNJ252" s="9"/>
      <c r="KNK252" s="4"/>
      <c r="KNL252" s="9"/>
      <c r="KNM252" s="4"/>
      <c r="KNN252" s="9"/>
      <c r="KNO252" s="4"/>
      <c r="KNP252" s="9"/>
      <c r="KNQ252" s="4"/>
      <c r="KNR252" s="9"/>
      <c r="KNS252" s="4"/>
      <c r="KNT252" s="9"/>
      <c r="KNU252" s="4"/>
      <c r="KNV252" s="9"/>
      <c r="KNW252" s="4"/>
      <c r="KNX252" s="9"/>
      <c r="KNY252" s="4"/>
      <c r="KNZ252" s="9"/>
      <c r="KOA252" s="4"/>
      <c r="KOB252" s="9"/>
      <c r="KOC252" s="4"/>
      <c r="KOD252" s="9"/>
      <c r="KOE252" s="4"/>
      <c r="KOF252" s="9"/>
      <c r="KOG252" s="4"/>
      <c r="KOH252" s="9"/>
      <c r="KOI252" s="4"/>
      <c r="KOJ252" s="9"/>
      <c r="KOK252" s="4"/>
      <c r="KOL252" s="9"/>
      <c r="KOM252" s="4"/>
      <c r="KON252" s="9"/>
      <c r="KOO252" s="4"/>
      <c r="KOP252" s="9"/>
      <c r="KOQ252" s="4"/>
      <c r="KOR252" s="9"/>
      <c r="KOS252" s="4"/>
      <c r="KOT252" s="9"/>
      <c r="KOU252" s="4"/>
      <c r="KOV252" s="9"/>
      <c r="KOW252" s="4"/>
      <c r="KOX252" s="9"/>
      <c r="KOY252" s="4"/>
      <c r="KOZ252" s="9"/>
      <c r="KPA252" s="4"/>
      <c r="KPB252" s="9"/>
      <c r="KPC252" s="4"/>
      <c r="KPD252" s="9"/>
      <c r="KPE252" s="4"/>
      <c r="KPF252" s="9"/>
      <c r="KPG252" s="4"/>
      <c r="KPH252" s="9"/>
      <c r="KPI252" s="4"/>
      <c r="KPJ252" s="9"/>
      <c r="KPK252" s="4"/>
      <c r="KPL252" s="9"/>
      <c r="KPM252" s="4"/>
      <c r="KPN252" s="9"/>
      <c r="KPO252" s="4"/>
      <c r="KPP252" s="9"/>
      <c r="KPQ252" s="4"/>
      <c r="KPR252" s="9"/>
      <c r="KPS252" s="4"/>
      <c r="KPT252" s="9"/>
      <c r="KPU252" s="4"/>
      <c r="KPV252" s="9"/>
      <c r="KPW252" s="4"/>
      <c r="KPX252" s="9"/>
      <c r="KPY252" s="4"/>
      <c r="KPZ252" s="9"/>
      <c r="KQA252" s="4"/>
      <c r="KQB252" s="9"/>
      <c r="KQC252" s="4"/>
      <c r="KQD252" s="9"/>
      <c r="KQE252" s="4"/>
      <c r="KQF252" s="9"/>
      <c r="KQG252" s="4"/>
      <c r="KQH252" s="9"/>
      <c r="KQI252" s="4"/>
      <c r="KQJ252" s="9"/>
      <c r="KQK252" s="4"/>
      <c r="KQL252" s="9"/>
      <c r="KQM252" s="4"/>
      <c r="KQN252" s="9"/>
      <c r="KQO252" s="4"/>
      <c r="KQP252" s="9"/>
      <c r="KQQ252" s="4"/>
      <c r="KQR252" s="9"/>
      <c r="KQS252" s="4"/>
      <c r="KQT252" s="9"/>
      <c r="KQU252" s="4"/>
      <c r="KQV252" s="9"/>
      <c r="KQW252" s="4"/>
      <c r="KQX252" s="9"/>
      <c r="KQY252" s="4"/>
      <c r="KQZ252" s="9"/>
      <c r="KRA252" s="4"/>
      <c r="KRB252" s="9"/>
      <c r="KRC252" s="4"/>
      <c r="KRD252" s="9"/>
      <c r="KRE252" s="4"/>
      <c r="KRF252" s="9"/>
      <c r="KRG252" s="4"/>
      <c r="KRH252" s="9"/>
      <c r="KRI252" s="4"/>
      <c r="KRJ252" s="9"/>
      <c r="KRK252" s="4"/>
      <c r="KRL252" s="9"/>
      <c r="KRM252" s="4"/>
      <c r="KRN252" s="9"/>
      <c r="KRO252" s="4"/>
      <c r="KRP252" s="9"/>
      <c r="KRQ252" s="4"/>
      <c r="KRR252" s="9"/>
      <c r="KRS252" s="4"/>
      <c r="KRT252" s="9"/>
      <c r="KRU252" s="4"/>
      <c r="KRV252" s="9"/>
      <c r="KRW252" s="4"/>
      <c r="KRX252" s="9"/>
      <c r="KRY252" s="4"/>
      <c r="KRZ252" s="9"/>
      <c r="KSA252" s="4"/>
      <c r="KSB252" s="9"/>
      <c r="KSC252" s="4"/>
      <c r="KSD252" s="9"/>
      <c r="KSE252" s="4"/>
      <c r="KSF252" s="9"/>
      <c r="KSG252" s="4"/>
      <c r="KSH252" s="9"/>
      <c r="KSI252" s="4"/>
      <c r="KSJ252" s="9"/>
      <c r="KSK252" s="4"/>
      <c r="KSL252" s="9"/>
      <c r="KSM252" s="4"/>
      <c r="KSN252" s="9"/>
      <c r="KSO252" s="4"/>
      <c r="KSP252" s="9"/>
      <c r="KSQ252" s="4"/>
      <c r="KSR252" s="9"/>
      <c r="KSS252" s="4"/>
      <c r="KST252" s="9"/>
      <c r="KSU252" s="4"/>
      <c r="KSV252" s="9"/>
      <c r="KSW252" s="4"/>
      <c r="KSX252" s="9"/>
      <c r="KSY252" s="4"/>
      <c r="KSZ252" s="9"/>
      <c r="KTA252" s="4"/>
      <c r="KTB252" s="9"/>
      <c r="KTC252" s="4"/>
      <c r="KTD252" s="9"/>
      <c r="KTE252" s="4"/>
      <c r="KTF252" s="9"/>
      <c r="KTG252" s="4"/>
      <c r="KTH252" s="9"/>
      <c r="KTI252" s="4"/>
      <c r="KTJ252" s="9"/>
      <c r="KTK252" s="4"/>
      <c r="KTL252" s="9"/>
      <c r="KTM252" s="4"/>
      <c r="KTN252" s="9"/>
      <c r="KTO252" s="4"/>
      <c r="KTP252" s="9"/>
      <c r="KTQ252" s="4"/>
      <c r="KTR252" s="9"/>
      <c r="KTS252" s="4"/>
      <c r="KTT252" s="9"/>
      <c r="KTU252" s="4"/>
      <c r="KTV252" s="9"/>
      <c r="KTW252" s="4"/>
      <c r="KTX252" s="9"/>
      <c r="KTY252" s="4"/>
      <c r="KTZ252" s="9"/>
      <c r="KUA252" s="4"/>
      <c r="KUB252" s="9"/>
      <c r="KUC252" s="4"/>
      <c r="KUD252" s="9"/>
      <c r="KUE252" s="4"/>
      <c r="KUF252" s="9"/>
      <c r="KUG252" s="4"/>
      <c r="KUH252" s="9"/>
      <c r="KUI252" s="4"/>
      <c r="KUJ252" s="9"/>
      <c r="KUK252" s="4"/>
      <c r="KUL252" s="9"/>
      <c r="KUM252" s="4"/>
      <c r="KUN252" s="9"/>
      <c r="KUO252" s="4"/>
      <c r="KUP252" s="9"/>
      <c r="KUQ252" s="4"/>
      <c r="KUR252" s="9"/>
      <c r="KUS252" s="4"/>
      <c r="KUT252" s="9"/>
      <c r="KUU252" s="4"/>
      <c r="KUV252" s="9"/>
      <c r="KUW252" s="4"/>
      <c r="KUX252" s="9"/>
      <c r="KUY252" s="4"/>
      <c r="KUZ252" s="9"/>
      <c r="KVA252" s="4"/>
      <c r="KVB252" s="9"/>
      <c r="KVC252" s="4"/>
      <c r="KVD252" s="9"/>
      <c r="KVE252" s="4"/>
      <c r="KVF252" s="9"/>
      <c r="KVG252" s="4"/>
      <c r="KVH252" s="9"/>
      <c r="KVI252" s="4"/>
      <c r="KVJ252" s="9"/>
      <c r="KVK252" s="4"/>
      <c r="KVL252" s="9"/>
      <c r="KVM252" s="4"/>
      <c r="KVN252" s="9"/>
      <c r="KVO252" s="4"/>
      <c r="KVP252" s="9"/>
      <c r="KVQ252" s="4"/>
      <c r="KVR252" s="9"/>
      <c r="KVS252" s="4"/>
      <c r="KVT252" s="9"/>
      <c r="KVU252" s="4"/>
      <c r="KVV252" s="9"/>
      <c r="KVW252" s="4"/>
      <c r="KVX252" s="9"/>
      <c r="KVY252" s="4"/>
      <c r="KVZ252" s="9"/>
      <c r="KWA252" s="4"/>
      <c r="KWB252" s="9"/>
      <c r="KWC252" s="4"/>
      <c r="KWD252" s="9"/>
      <c r="KWE252" s="4"/>
      <c r="KWF252" s="9"/>
      <c r="KWG252" s="4"/>
      <c r="KWH252" s="9"/>
      <c r="KWI252" s="4"/>
      <c r="KWJ252" s="9"/>
      <c r="KWK252" s="4"/>
      <c r="KWL252" s="9"/>
      <c r="KWM252" s="4"/>
      <c r="KWN252" s="9"/>
      <c r="KWO252" s="4"/>
      <c r="KWP252" s="9"/>
      <c r="KWQ252" s="4"/>
      <c r="KWR252" s="9"/>
      <c r="KWS252" s="4"/>
      <c r="KWT252" s="9"/>
      <c r="KWU252" s="4"/>
      <c r="KWV252" s="9"/>
      <c r="KWW252" s="4"/>
      <c r="KWX252" s="9"/>
      <c r="KWY252" s="4"/>
      <c r="KWZ252" s="9"/>
      <c r="KXA252" s="4"/>
      <c r="KXB252" s="9"/>
      <c r="KXC252" s="4"/>
      <c r="KXD252" s="9"/>
      <c r="KXE252" s="4"/>
      <c r="KXF252" s="9"/>
      <c r="KXG252" s="4"/>
      <c r="KXH252" s="9"/>
      <c r="KXI252" s="4"/>
      <c r="KXJ252" s="9"/>
      <c r="KXK252" s="4"/>
      <c r="KXL252" s="9"/>
      <c r="KXM252" s="4"/>
      <c r="KXN252" s="9"/>
      <c r="KXO252" s="4"/>
      <c r="KXP252" s="9"/>
      <c r="KXQ252" s="4"/>
      <c r="KXR252" s="9"/>
      <c r="KXS252" s="4"/>
      <c r="KXT252" s="9"/>
      <c r="KXU252" s="4"/>
      <c r="KXV252" s="9"/>
      <c r="KXW252" s="4"/>
      <c r="KXX252" s="9"/>
      <c r="KXY252" s="4"/>
      <c r="KXZ252" s="9"/>
      <c r="KYA252" s="4"/>
      <c r="KYB252" s="9"/>
      <c r="KYC252" s="4"/>
      <c r="KYD252" s="9"/>
      <c r="KYE252" s="4"/>
      <c r="KYF252" s="9"/>
      <c r="KYG252" s="4"/>
      <c r="KYH252" s="9"/>
      <c r="KYI252" s="4"/>
      <c r="KYJ252" s="9"/>
      <c r="KYK252" s="4"/>
      <c r="KYL252" s="9"/>
      <c r="KYM252" s="4"/>
      <c r="KYN252" s="9"/>
      <c r="KYO252" s="4"/>
      <c r="KYP252" s="9"/>
      <c r="KYQ252" s="4"/>
      <c r="KYR252" s="9"/>
      <c r="KYS252" s="4"/>
      <c r="KYT252" s="9"/>
      <c r="KYU252" s="4"/>
      <c r="KYV252" s="9"/>
      <c r="KYW252" s="4"/>
      <c r="KYX252" s="9"/>
      <c r="KYY252" s="4"/>
      <c r="KYZ252" s="9"/>
      <c r="KZA252" s="4"/>
      <c r="KZB252" s="9"/>
      <c r="KZC252" s="4"/>
      <c r="KZD252" s="9"/>
      <c r="KZE252" s="4"/>
      <c r="KZF252" s="9"/>
      <c r="KZG252" s="4"/>
      <c r="KZH252" s="9"/>
      <c r="KZI252" s="4"/>
      <c r="KZJ252" s="9"/>
      <c r="KZK252" s="4"/>
      <c r="KZL252" s="9"/>
      <c r="KZM252" s="4"/>
      <c r="KZN252" s="9"/>
      <c r="KZO252" s="4"/>
      <c r="KZP252" s="9"/>
      <c r="KZQ252" s="4"/>
      <c r="KZR252" s="9"/>
      <c r="KZS252" s="4"/>
      <c r="KZT252" s="9"/>
      <c r="KZU252" s="4"/>
      <c r="KZV252" s="9"/>
      <c r="KZW252" s="4"/>
      <c r="KZX252" s="9"/>
      <c r="KZY252" s="4"/>
      <c r="KZZ252" s="9"/>
      <c r="LAA252" s="4"/>
      <c r="LAB252" s="9"/>
      <c r="LAC252" s="4"/>
      <c r="LAD252" s="9"/>
      <c r="LAE252" s="4"/>
      <c r="LAF252" s="9"/>
      <c r="LAG252" s="4"/>
      <c r="LAH252" s="9"/>
      <c r="LAI252" s="4"/>
      <c r="LAJ252" s="9"/>
      <c r="LAK252" s="4"/>
      <c r="LAL252" s="9"/>
      <c r="LAM252" s="4"/>
      <c r="LAN252" s="9"/>
      <c r="LAO252" s="4"/>
      <c r="LAP252" s="9"/>
      <c r="LAQ252" s="4"/>
      <c r="LAR252" s="9"/>
      <c r="LAS252" s="4"/>
      <c r="LAT252" s="9"/>
      <c r="LAU252" s="4"/>
      <c r="LAV252" s="9"/>
      <c r="LAW252" s="4"/>
      <c r="LAX252" s="9"/>
      <c r="LAY252" s="4"/>
      <c r="LAZ252" s="9"/>
      <c r="LBA252" s="4"/>
      <c r="LBB252" s="9"/>
      <c r="LBC252" s="4"/>
      <c r="LBD252" s="9"/>
      <c r="LBE252" s="4"/>
      <c r="LBF252" s="9"/>
      <c r="LBG252" s="4"/>
      <c r="LBH252" s="9"/>
      <c r="LBI252" s="4"/>
      <c r="LBJ252" s="9"/>
      <c r="LBK252" s="4"/>
      <c r="LBL252" s="9"/>
      <c r="LBM252" s="4"/>
      <c r="LBN252" s="9"/>
      <c r="LBO252" s="4"/>
      <c r="LBP252" s="9"/>
      <c r="LBQ252" s="4"/>
      <c r="LBR252" s="9"/>
      <c r="LBS252" s="4"/>
      <c r="LBT252" s="9"/>
      <c r="LBU252" s="4"/>
      <c r="LBV252" s="9"/>
      <c r="LBW252" s="4"/>
      <c r="LBX252" s="9"/>
      <c r="LBY252" s="4"/>
      <c r="LBZ252" s="9"/>
      <c r="LCA252" s="4"/>
      <c r="LCB252" s="9"/>
      <c r="LCC252" s="4"/>
      <c r="LCD252" s="9"/>
      <c r="LCE252" s="4"/>
      <c r="LCF252" s="9"/>
      <c r="LCG252" s="4"/>
      <c r="LCH252" s="9"/>
      <c r="LCI252" s="4"/>
      <c r="LCJ252" s="9"/>
      <c r="LCK252" s="4"/>
      <c r="LCL252" s="9"/>
      <c r="LCM252" s="4"/>
      <c r="LCN252" s="9"/>
      <c r="LCO252" s="4"/>
      <c r="LCP252" s="9"/>
      <c r="LCQ252" s="4"/>
      <c r="LCR252" s="9"/>
      <c r="LCS252" s="4"/>
      <c r="LCT252" s="9"/>
      <c r="LCU252" s="4"/>
      <c r="LCV252" s="9"/>
      <c r="LCW252" s="4"/>
      <c r="LCX252" s="9"/>
      <c r="LCY252" s="4"/>
      <c r="LCZ252" s="9"/>
      <c r="LDA252" s="4"/>
      <c r="LDB252" s="9"/>
      <c r="LDC252" s="4"/>
      <c r="LDD252" s="9"/>
      <c r="LDE252" s="4"/>
      <c r="LDF252" s="9"/>
      <c r="LDG252" s="4"/>
      <c r="LDH252" s="9"/>
      <c r="LDI252" s="4"/>
      <c r="LDJ252" s="9"/>
      <c r="LDK252" s="4"/>
      <c r="LDL252" s="9"/>
      <c r="LDM252" s="4"/>
      <c r="LDN252" s="9"/>
      <c r="LDO252" s="4"/>
      <c r="LDP252" s="9"/>
      <c r="LDQ252" s="4"/>
      <c r="LDR252" s="9"/>
      <c r="LDS252" s="4"/>
      <c r="LDT252" s="9"/>
      <c r="LDU252" s="4"/>
      <c r="LDV252" s="9"/>
      <c r="LDW252" s="4"/>
      <c r="LDX252" s="9"/>
      <c r="LDY252" s="4"/>
      <c r="LDZ252" s="9"/>
      <c r="LEA252" s="4"/>
      <c r="LEB252" s="9"/>
      <c r="LEC252" s="4"/>
      <c r="LED252" s="9"/>
      <c r="LEE252" s="4"/>
      <c r="LEF252" s="9"/>
      <c r="LEG252" s="4"/>
      <c r="LEH252" s="9"/>
      <c r="LEI252" s="4"/>
      <c r="LEJ252" s="9"/>
      <c r="LEK252" s="4"/>
      <c r="LEL252" s="9"/>
      <c r="LEM252" s="4"/>
      <c r="LEN252" s="9"/>
      <c r="LEO252" s="4"/>
      <c r="LEP252" s="9"/>
      <c r="LEQ252" s="4"/>
      <c r="LER252" s="9"/>
      <c r="LES252" s="4"/>
      <c r="LET252" s="9"/>
      <c r="LEU252" s="4"/>
      <c r="LEV252" s="9"/>
      <c r="LEW252" s="4"/>
      <c r="LEX252" s="9"/>
      <c r="LEY252" s="4"/>
      <c r="LEZ252" s="9"/>
      <c r="LFA252" s="4"/>
      <c r="LFB252" s="9"/>
      <c r="LFC252" s="4"/>
      <c r="LFD252" s="9"/>
      <c r="LFE252" s="4"/>
      <c r="LFF252" s="9"/>
      <c r="LFG252" s="4"/>
      <c r="LFH252" s="9"/>
      <c r="LFI252" s="4"/>
      <c r="LFJ252" s="9"/>
      <c r="LFK252" s="4"/>
      <c r="LFL252" s="9"/>
      <c r="LFM252" s="4"/>
      <c r="LFN252" s="9"/>
      <c r="LFO252" s="4"/>
      <c r="LFP252" s="9"/>
      <c r="LFQ252" s="4"/>
      <c r="LFR252" s="9"/>
      <c r="LFS252" s="4"/>
      <c r="LFT252" s="9"/>
      <c r="LFU252" s="4"/>
      <c r="LFV252" s="9"/>
      <c r="LFW252" s="4"/>
      <c r="LFX252" s="9"/>
      <c r="LFY252" s="4"/>
      <c r="LFZ252" s="9"/>
      <c r="LGA252" s="4"/>
      <c r="LGB252" s="9"/>
      <c r="LGC252" s="4"/>
      <c r="LGD252" s="9"/>
      <c r="LGE252" s="4"/>
      <c r="LGF252" s="9"/>
      <c r="LGG252" s="4"/>
      <c r="LGH252" s="9"/>
      <c r="LGI252" s="4"/>
      <c r="LGJ252" s="9"/>
      <c r="LGK252" s="4"/>
      <c r="LGL252" s="9"/>
      <c r="LGM252" s="4"/>
      <c r="LGN252" s="9"/>
      <c r="LGO252" s="4"/>
      <c r="LGP252" s="9"/>
      <c r="LGQ252" s="4"/>
      <c r="LGR252" s="9"/>
      <c r="LGS252" s="4"/>
      <c r="LGT252" s="9"/>
      <c r="LGU252" s="4"/>
      <c r="LGV252" s="9"/>
      <c r="LGW252" s="4"/>
      <c r="LGX252" s="9"/>
      <c r="LGY252" s="4"/>
      <c r="LGZ252" s="9"/>
      <c r="LHA252" s="4"/>
      <c r="LHB252" s="9"/>
      <c r="LHC252" s="4"/>
      <c r="LHD252" s="9"/>
      <c r="LHE252" s="4"/>
      <c r="LHF252" s="9"/>
      <c r="LHG252" s="4"/>
      <c r="LHH252" s="9"/>
      <c r="LHI252" s="4"/>
      <c r="LHJ252" s="9"/>
      <c r="LHK252" s="4"/>
      <c r="LHL252" s="9"/>
      <c r="LHM252" s="4"/>
      <c r="LHN252" s="9"/>
      <c r="LHO252" s="4"/>
      <c r="LHP252" s="9"/>
      <c r="LHQ252" s="4"/>
      <c r="LHR252" s="9"/>
      <c r="LHS252" s="4"/>
      <c r="LHT252" s="9"/>
      <c r="LHU252" s="4"/>
      <c r="LHV252" s="9"/>
      <c r="LHW252" s="4"/>
      <c r="LHX252" s="9"/>
      <c r="LHY252" s="4"/>
      <c r="LHZ252" s="9"/>
      <c r="LIA252" s="4"/>
      <c r="LIB252" s="9"/>
      <c r="LIC252" s="4"/>
      <c r="LID252" s="9"/>
      <c r="LIE252" s="4"/>
      <c r="LIF252" s="9"/>
      <c r="LIG252" s="4"/>
      <c r="LIH252" s="9"/>
      <c r="LII252" s="4"/>
      <c r="LIJ252" s="9"/>
      <c r="LIK252" s="4"/>
      <c r="LIL252" s="9"/>
      <c r="LIM252" s="4"/>
      <c r="LIN252" s="9"/>
      <c r="LIO252" s="4"/>
      <c r="LIP252" s="9"/>
      <c r="LIQ252" s="4"/>
      <c r="LIR252" s="9"/>
      <c r="LIS252" s="4"/>
      <c r="LIT252" s="9"/>
      <c r="LIU252" s="4"/>
      <c r="LIV252" s="9"/>
      <c r="LIW252" s="4"/>
      <c r="LIX252" s="9"/>
      <c r="LIY252" s="4"/>
      <c r="LIZ252" s="9"/>
      <c r="LJA252" s="4"/>
      <c r="LJB252" s="9"/>
      <c r="LJC252" s="4"/>
      <c r="LJD252" s="9"/>
      <c r="LJE252" s="4"/>
      <c r="LJF252" s="9"/>
      <c r="LJG252" s="4"/>
      <c r="LJH252" s="9"/>
      <c r="LJI252" s="4"/>
      <c r="LJJ252" s="9"/>
      <c r="LJK252" s="4"/>
      <c r="LJL252" s="9"/>
      <c r="LJM252" s="4"/>
      <c r="LJN252" s="9"/>
      <c r="LJO252" s="4"/>
      <c r="LJP252" s="9"/>
      <c r="LJQ252" s="4"/>
      <c r="LJR252" s="9"/>
      <c r="LJS252" s="4"/>
      <c r="LJT252" s="9"/>
      <c r="LJU252" s="4"/>
      <c r="LJV252" s="9"/>
      <c r="LJW252" s="4"/>
      <c r="LJX252" s="9"/>
      <c r="LJY252" s="4"/>
      <c r="LJZ252" s="9"/>
      <c r="LKA252" s="4"/>
      <c r="LKB252" s="9"/>
      <c r="LKC252" s="4"/>
      <c r="LKD252" s="9"/>
      <c r="LKE252" s="4"/>
      <c r="LKF252" s="9"/>
      <c r="LKG252" s="4"/>
      <c r="LKH252" s="9"/>
      <c r="LKI252" s="4"/>
      <c r="LKJ252" s="9"/>
      <c r="LKK252" s="4"/>
      <c r="LKL252" s="9"/>
      <c r="LKM252" s="4"/>
      <c r="LKN252" s="9"/>
      <c r="LKO252" s="4"/>
      <c r="LKP252" s="9"/>
      <c r="LKQ252" s="4"/>
      <c r="LKR252" s="9"/>
      <c r="LKS252" s="4"/>
      <c r="LKT252" s="9"/>
      <c r="LKU252" s="4"/>
      <c r="LKV252" s="9"/>
      <c r="LKW252" s="4"/>
      <c r="LKX252" s="9"/>
      <c r="LKY252" s="4"/>
      <c r="LKZ252" s="9"/>
      <c r="LLA252" s="4"/>
      <c r="LLB252" s="9"/>
      <c r="LLC252" s="4"/>
      <c r="LLD252" s="9"/>
      <c r="LLE252" s="4"/>
      <c r="LLF252" s="9"/>
      <c r="LLG252" s="4"/>
      <c r="LLH252" s="9"/>
      <c r="LLI252" s="4"/>
      <c r="LLJ252" s="9"/>
      <c r="LLK252" s="4"/>
      <c r="LLL252" s="9"/>
      <c r="LLM252" s="4"/>
      <c r="LLN252" s="9"/>
      <c r="LLO252" s="4"/>
      <c r="LLP252" s="9"/>
      <c r="LLQ252" s="4"/>
      <c r="LLR252" s="9"/>
      <c r="LLS252" s="4"/>
      <c r="LLT252" s="9"/>
      <c r="LLU252" s="4"/>
      <c r="LLV252" s="9"/>
      <c r="LLW252" s="4"/>
      <c r="LLX252" s="9"/>
      <c r="LLY252" s="4"/>
      <c r="LLZ252" s="9"/>
      <c r="LMA252" s="4"/>
      <c r="LMB252" s="9"/>
      <c r="LMC252" s="4"/>
      <c r="LMD252" s="9"/>
      <c r="LME252" s="4"/>
      <c r="LMF252" s="9"/>
      <c r="LMG252" s="4"/>
      <c r="LMH252" s="9"/>
      <c r="LMI252" s="4"/>
      <c r="LMJ252" s="9"/>
      <c r="LMK252" s="4"/>
      <c r="LML252" s="9"/>
      <c r="LMM252" s="4"/>
      <c r="LMN252" s="9"/>
      <c r="LMO252" s="4"/>
      <c r="LMP252" s="9"/>
      <c r="LMQ252" s="4"/>
      <c r="LMR252" s="9"/>
      <c r="LMS252" s="4"/>
      <c r="LMT252" s="9"/>
      <c r="LMU252" s="4"/>
      <c r="LMV252" s="9"/>
      <c r="LMW252" s="4"/>
      <c r="LMX252" s="9"/>
      <c r="LMY252" s="4"/>
      <c r="LMZ252" s="9"/>
      <c r="LNA252" s="4"/>
      <c r="LNB252" s="9"/>
      <c r="LNC252" s="4"/>
      <c r="LND252" s="9"/>
      <c r="LNE252" s="4"/>
      <c r="LNF252" s="9"/>
      <c r="LNG252" s="4"/>
      <c r="LNH252" s="9"/>
      <c r="LNI252" s="4"/>
      <c r="LNJ252" s="9"/>
      <c r="LNK252" s="4"/>
      <c r="LNL252" s="9"/>
      <c r="LNM252" s="4"/>
      <c r="LNN252" s="9"/>
      <c r="LNO252" s="4"/>
      <c r="LNP252" s="9"/>
      <c r="LNQ252" s="4"/>
      <c r="LNR252" s="9"/>
      <c r="LNS252" s="4"/>
      <c r="LNT252" s="9"/>
      <c r="LNU252" s="4"/>
      <c r="LNV252" s="9"/>
      <c r="LNW252" s="4"/>
      <c r="LNX252" s="9"/>
      <c r="LNY252" s="4"/>
      <c r="LNZ252" s="9"/>
      <c r="LOA252" s="4"/>
      <c r="LOB252" s="9"/>
      <c r="LOC252" s="4"/>
      <c r="LOD252" s="9"/>
      <c r="LOE252" s="4"/>
      <c r="LOF252" s="9"/>
      <c r="LOG252" s="4"/>
      <c r="LOH252" s="9"/>
      <c r="LOI252" s="4"/>
      <c r="LOJ252" s="9"/>
      <c r="LOK252" s="4"/>
      <c r="LOL252" s="9"/>
      <c r="LOM252" s="4"/>
      <c r="LON252" s="9"/>
      <c r="LOO252" s="4"/>
      <c r="LOP252" s="9"/>
      <c r="LOQ252" s="4"/>
      <c r="LOR252" s="9"/>
      <c r="LOS252" s="4"/>
      <c r="LOT252" s="9"/>
      <c r="LOU252" s="4"/>
      <c r="LOV252" s="9"/>
      <c r="LOW252" s="4"/>
      <c r="LOX252" s="9"/>
      <c r="LOY252" s="4"/>
      <c r="LOZ252" s="9"/>
      <c r="LPA252" s="4"/>
      <c r="LPB252" s="9"/>
      <c r="LPC252" s="4"/>
      <c r="LPD252" s="9"/>
      <c r="LPE252" s="4"/>
      <c r="LPF252" s="9"/>
      <c r="LPG252" s="4"/>
      <c r="LPH252" s="9"/>
      <c r="LPI252" s="4"/>
      <c r="LPJ252" s="9"/>
      <c r="LPK252" s="4"/>
      <c r="LPL252" s="9"/>
      <c r="LPM252" s="4"/>
      <c r="LPN252" s="9"/>
      <c r="LPO252" s="4"/>
      <c r="LPP252" s="9"/>
      <c r="LPQ252" s="4"/>
      <c r="LPR252" s="9"/>
      <c r="LPS252" s="4"/>
      <c r="LPT252" s="9"/>
      <c r="LPU252" s="4"/>
      <c r="LPV252" s="9"/>
      <c r="LPW252" s="4"/>
      <c r="LPX252" s="9"/>
      <c r="LPY252" s="4"/>
      <c r="LPZ252" s="9"/>
      <c r="LQA252" s="4"/>
      <c r="LQB252" s="9"/>
      <c r="LQC252" s="4"/>
      <c r="LQD252" s="9"/>
      <c r="LQE252" s="4"/>
      <c r="LQF252" s="9"/>
      <c r="LQG252" s="4"/>
      <c r="LQH252" s="9"/>
      <c r="LQI252" s="4"/>
      <c r="LQJ252" s="9"/>
      <c r="LQK252" s="4"/>
      <c r="LQL252" s="9"/>
      <c r="LQM252" s="4"/>
      <c r="LQN252" s="9"/>
      <c r="LQO252" s="4"/>
      <c r="LQP252" s="9"/>
      <c r="LQQ252" s="4"/>
      <c r="LQR252" s="9"/>
      <c r="LQS252" s="4"/>
      <c r="LQT252" s="9"/>
      <c r="LQU252" s="4"/>
      <c r="LQV252" s="9"/>
      <c r="LQW252" s="4"/>
      <c r="LQX252" s="9"/>
      <c r="LQY252" s="4"/>
      <c r="LQZ252" s="9"/>
      <c r="LRA252" s="4"/>
      <c r="LRB252" s="9"/>
      <c r="LRC252" s="4"/>
      <c r="LRD252" s="9"/>
      <c r="LRE252" s="4"/>
      <c r="LRF252" s="9"/>
      <c r="LRG252" s="4"/>
      <c r="LRH252" s="9"/>
      <c r="LRI252" s="4"/>
      <c r="LRJ252" s="9"/>
      <c r="LRK252" s="4"/>
      <c r="LRL252" s="9"/>
      <c r="LRM252" s="4"/>
      <c r="LRN252" s="9"/>
      <c r="LRO252" s="4"/>
      <c r="LRP252" s="9"/>
      <c r="LRQ252" s="4"/>
      <c r="LRR252" s="9"/>
      <c r="LRS252" s="4"/>
      <c r="LRT252" s="9"/>
      <c r="LRU252" s="4"/>
      <c r="LRV252" s="9"/>
      <c r="LRW252" s="4"/>
      <c r="LRX252" s="9"/>
      <c r="LRY252" s="4"/>
      <c r="LRZ252" s="9"/>
      <c r="LSA252" s="4"/>
      <c r="LSB252" s="9"/>
      <c r="LSC252" s="4"/>
      <c r="LSD252" s="9"/>
      <c r="LSE252" s="4"/>
      <c r="LSF252" s="9"/>
      <c r="LSG252" s="4"/>
      <c r="LSH252" s="9"/>
      <c r="LSI252" s="4"/>
      <c r="LSJ252" s="9"/>
      <c r="LSK252" s="4"/>
      <c r="LSL252" s="9"/>
      <c r="LSM252" s="4"/>
      <c r="LSN252" s="9"/>
      <c r="LSO252" s="4"/>
      <c r="LSP252" s="9"/>
      <c r="LSQ252" s="4"/>
      <c r="LSR252" s="9"/>
      <c r="LSS252" s="4"/>
      <c r="LST252" s="9"/>
      <c r="LSU252" s="4"/>
      <c r="LSV252" s="9"/>
      <c r="LSW252" s="4"/>
      <c r="LSX252" s="9"/>
      <c r="LSY252" s="4"/>
      <c r="LSZ252" s="9"/>
      <c r="LTA252" s="4"/>
      <c r="LTB252" s="9"/>
      <c r="LTC252" s="4"/>
      <c r="LTD252" s="9"/>
      <c r="LTE252" s="4"/>
      <c r="LTF252" s="9"/>
      <c r="LTG252" s="4"/>
      <c r="LTH252" s="9"/>
      <c r="LTI252" s="4"/>
      <c r="LTJ252" s="9"/>
      <c r="LTK252" s="4"/>
      <c r="LTL252" s="9"/>
      <c r="LTM252" s="4"/>
      <c r="LTN252" s="9"/>
      <c r="LTO252" s="4"/>
      <c r="LTP252" s="9"/>
      <c r="LTQ252" s="4"/>
      <c r="LTR252" s="9"/>
      <c r="LTS252" s="4"/>
      <c r="LTT252" s="9"/>
      <c r="LTU252" s="4"/>
      <c r="LTV252" s="9"/>
      <c r="LTW252" s="4"/>
      <c r="LTX252" s="9"/>
      <c r="LTY252" s="4"/>
      <c r="LTZ252" s="9"/>
      <c r="LUA252" s="4"/>
      <c r="LUB252" s="9"/>
      <c r="LUC252" s="4"/>
      <c r="LUD252" s="9"/>
      <c r="LUE252" s="4"/>
      <c r="LUF252" s="9"/>
      <c r="LUG252" s="4"/>
      <c r="LUH252" s="9"/>
      <c r="LUI252" s="4"/>
      <c r="LUJ252" s="9"/>
      <c r="LUK252" s="4"/>
      <c r="LUL252" s="9"/>
      <c r="LUM252" s="4"/>
      <c r="LUN252" s="9"/>
      <c r="LUO252" s="4"/>
      <c r="LUP252" s="9"/>
      <c r="LUQ252" s="4"/>
      <c r="LUR252" s="9"/>
      <c r="LUS252" s="4"/>
      <c r="LUT252" s="9"/>
      <c r="LUU252" s="4"/>
      <c r="LUV252" s="9"/>
      <c r="LUW252" s="4"/>
      <c r="LUX252" s="9"/>
      <c r="LUY252" s="4"/>
      <c r="LUZ252" s="9"/>
      <c r="LVA252" s="4"/>
      <c r="LVB252" s="9"/>
      <c r="LVC252" s="4"/>
      <c r="LVD252" s="9"/>
      <c r="LVE252" s="4"/>
      <c r="LVF252" s="9"/>
      <c r="LVG252" s="4"/>
      <c r="LVH252" s="9"/>
      <c r="LVI252" s="4"/>
      <c r="LVJ252" s="9"/>
      <c r="LVK252" s="4"/>
      <c r="LVL252" s="9"/>
      <c r="LVM252" s="4"/>
      <c r="LVN252" s="9"/>
      <c r="LVO252" s="4"/>
      <c r="LVP252" s="9"/>
      <c r="LVQ252" s="4"/>
      <c r="LVR252" s="9"/>
      <c r="LVS252" s="4"/>
      <c r="LVT252" s="9"/>
      <c r="LVU252" s="4"/>
      <c r="LVV252" s="9"/>
      <c r="LVW252" s="4"/>
      <c r="LVX252" s="9"/>
      <c r="LVY252" s="4"/>
      <c r="LVZ252" s="9"/>
      <c r="LWA252" s="4"/>
      <c r="LWB252" s="9"/>
      <c r="LWC252" s="4"/>
      <c r="LWD252" s="9"/>
      <c r="LWE252" s="4"/>
      <c r="LWF252" s="9"/>
      <c r="LWG252" s="4"/>
      <c r="LWH252" s="9"/>
      <c r="LWI252" s="4"/>
      <c r="LWJ252" s="9"/>
      <c r="LWK252" s="4"/>
      <c r="LWL252" s="9"/>
      <c r="LWM252" s="4"/>
      <c r="LWN252" s="9"/>
      <c r="LWO252" s="4"/>
      <c r="LWP252" s="9"/>
      <c r="LWQ252" s="4"/>
      <c r="LWR252" s="9"/>
      <c r="LWS252" s="4"/>
      <c r="LWT252" s="9"/>
      <c r="LWU252" s="4"/>
      <c r="LWV252" s="9"/>
      <c r="LWW252" s="4"/>
      <c r="LWX252" s="9"/>
      <c r="LWY252" s="4"/>
      <c r="LWZ252" s="9"/>
      <c r="LXA252" s="4"/>
      <c r="LXB252" s="9"/>
      <c r="LXC252" s="4"/>
      <c r="LXD252" s="9"/>
      <c r="LXE252" s="4"/>
      <c r="LXF252" s="9"/>
      <c r="LXG252" s="4"/>
      <c r="LXH252" s="9"/>
      <c r="LXI252" s="4"/>
      <c r="LXJ252" s="9"/>
      <c r="LXK252" s="4"/>
      <c r="LXL252" s="9"/>
      <c r="LXM252" s="4"/>
      <c r="LXN252" s="9"/>
      <c r="LXO252" s="4"/>
      <c r="LXP252" s="9"/>
      <c r="LXQ252" s="4"/>
      <c r="LXR252" s="9"/>
      <c r="LXS252" s="4"/>
      <c r="LXT252" s="9"/>
      <c r="LXU252" s="4"/>
      <c r="LXV252" s="9"/>
      <c r="LXW252" s="4"/>
      <c r="LXX252" s="9"/>
      <c r="LXY252" s="4"/>
      <c r="LXZ252" s="9"/>
      <c r="LYA252" s="4"/>
      <c r="LYB252" s="9"/>
      <c r="LYC252" s="4"/>
      <c r="LYD252" s="9"/>
      <c r="LYE252" s="4"/>
      <c r="LYF252" s="9"/>
      <c r="LYG252" s="4"/>
      <c r="LYH252" s="9"/>
      <c r="LYI252" s="4"/>
      <c r="LYJ252" s="9"/>
      <c r="LYK252" s="4"/>
      <c r="LYL252" s="9"/>
      <c r="LYM252" s="4"/>
      <c r="LYN252" s="9"/>
      <c r="LYO252" s="4"/>
      <c r="LYP252" s="9"/>
      <c r="LYQ252" s="4"/>
      <c r="LYR252" s="9"/>
      <c r="LYS252" s="4"/>
      <c r="LYT252" s="9"/>
      <c r="LYU252" s="4"/>
      <c r="LYV252" s="9"/>
      <c r="LYW252" s="4"/>
      <c r="LYX252" s="9"/>
      <c r="LYY252" s="4"/>
      <c r="LYZ252" s="9"/>
      <c r="LZA252" s="4"/>
      <c r="LZB252" s="9"/>
      <c r="LZC252" s="4"/>
      <c r="LZD252" s="9"/>
      <c r="LZE252" s="4"/>
      <c r="LZF252" s="9"/>
      <c r="LZG252" s="4"/>
      <c r="LZH252" s="9"/>
      <c r="LZI252" s="4"/>
      <c r="LZJ252" s="9"/>
      <c r="LZK252" s="4"/>
      <c r="LZL252" s="9"/>
      <c r="LZM252" s="4"/>
      <c r="LZN252" s="9"/>
      <c r="LZO252" s="4"/>
      <c r="LZP252" s="9"/>
      <c r="LZQ252" s="4"/>
      <c r="LZR252" s="9"/>
      <c r="LZS252" s="4"/>
      <c r="LZT252" s="9"/>
      <c r="LZU252" s="4"/>
      <c r="LZV252" s="9"/>
      <c r="LZW252" s="4"/>
      <c r="LZX252" s="9"/>
      <c r="LZY252" s="4"/>
      <c r="LZZ252" s="9"/>
      <c r="MAA252" s="4"/>
      <c r="MAB252" s="9"/>
      <c r="MAC252" s="4"/>
      <c r="MAD252" s="9"/>
      <c r="MAE252" s="4"/>
      <c r="MAF252" s="9"/>
      <c r="MAG252" s="4"/>
      <c r="MAH252" s="9"/>
      <c r="MAI252" s="4"/>
      <c r="MAJ252" s="9"/>
      <c r="MAK252" s="4"/>
      <c r="MAL252" s="9"/>
      <c r="MAM252" s="4"/>
      <c r="MAN252" s="9"/>
      <c r="MAO252" s="4"/>
      <c r="MAP252" s="9"/>
      <c r="MAQ252" s="4"/>
      <c r="MAR252" s="9"/>
      <c r="MAS252" s="4"/>
      <c r="MAT252" s="9"/>
      <c r="MAU252" s="4"/>
      <c r="MAV252" s="9"/>
      <c r="MAW252" s="4"/>
      <c r="MAX252" s="9"/>
      <c r="MAY252" s="4"/>
      <c r="MAZ252" s="9"/>
      <c r="MBA252" s="4"/>
      <c r="MBB252" s="9"/>
      <c r="MBC252" s="4"/>
      <c r="MBD252" s="9"/>
      <c r="MBE252" s="4"/>
      <c r="MBF252" s="9"/>
      <c r="MBG252" s="4"/>
      <c r="MBH252" s="9"/>
      <c r="MBI252" s="4"/>
      <c r="MBJ252" s="9"/>
      <c r="MBK252" s="4"/>
      <c r="MBL252" s="9"/>
      <c r="MBM252" s="4"/>
      <c r="MBN252" s="9"/>
      <c r="MBO252" s="4"/>
      <c r="MBP252" s="9"/>
      <c r="MBQ252" s="4"/>
      <c r="MBR252" s="9"/>
      <c r="MBS252" s="4"/>
      <c r="MBT252" s="9"/>
      <c r="MBU252" s="4"/>
      <c r="MBV252" s="9"/>
      <c r="MBW252" s="4"/>
      <c r="MBX252" s="9"/>
      <c r="MBY252" s="4"/>
      <c r="MBZ252" s="9"/>
      <c r="MCA252" s="4"/>
      <c r="MCB252" s="9"/>
      <c r="MCC252" s="4"/>
      <c r="MCD252" s="9"/>
      <c r="MCE252" s="4"/>
      <c r="MCF252" s="9"/>
      <c r="MCG252" s="4"/>
      <c r="MCH252" s="9"/>
      <c r="MCI252" s="4"/>
      <c r="MCJ252" s="9"/>
      <c r="MCK252" s="4"/>
      <c r="MCL252" s="9"/>
      <c r="MCM252" s="4"/>
      <c r="MCN252" s="9"/>
      <c r="MCO252" s="4"/>
      <c r="MCP252" s="9"/>
      <c r="MCQ252" s="4"/>
      <c r="MCR252" s="9"/>
      <c r="MCS252" s="4"/>
      <c r="MCT252" s="9"/>
      <c r="MCU252" s="4"/>
      <c r="MCV252" s="9"/>
      <c r="MCW252" s="4"/>
      <c r="MCX252" s="9"/>
      <c r="MCY252" s="4"/>
      <c r="MCZ252" s="9"/>
      <c r="MDA252" s="4"/>
      <c r="MDB252" s="9"/>
      <c r="MDC252" s="4"/>
      <c r="MDD252" s="9"/>
      <c r="MDE252" s="4"/>
      <c r="MDF252" s="9"/>
      <c r="MDG252" s="4"/>
      <c r="MDH252" s="9"/>
      <c r="MDI252" s="4"/>
      <c r="MDJ252" s="9"/>
      <c r="MDK252" s="4"/>
      <c r="MDL252" s="9"/>
      <c r="MDM252" s="4"/>
      <c r="MDN252" s="9"/>
      <c r="MDO252" s="4"/>
      <c r="MDP252" s="9"/>
      <c r="MDQ252" s="4"/>
      <c r="MDR252" s="9"/>
      <c r="MDS252" s="4"/>
      <c r="MDT252" s="9"/>
      <c r="MDU252" s="4"/>
      <c r="MDV252" s="9"/>
      <c r="MDW252" s="4"/>
      <c r="MDX252" s="9"/>
      <c r="MDY252" s="4"/>
      <c r="MDZ252" s="9"/>
      <c r="MEA252" s="4"/>
      <c r="MEB252" s="9"/>
      <c r="MEC252" s="4"/>
      <c r="MED252" s="9"/>
      <c r="MEE252" s="4"/>
      <c r="MEF252" s="9"/>
      <c r="MEG252" s="4"/>
      <c r="MEH252" s="9"/>
      <c r="MEI252" s="4"/>
      <c r="MEJ252" s="9"/>
      <c r="MEK252" s="4"/>
      <c r="MEL252" s="9"/>
      <c r="MEM252" s="4"/>
      <c r="MEN252" s="9"/>
      <c r="MEO252" s="4"/>
      <c r="MEP252" s="9"/>
      <c r="MEQ252" s="4"/>
      <c r="MER252" s="9"/>
      <c r="MES252" s="4"/>
      <c r="MET252" s="9"/>
      <c r="MEU252" s="4"/>
      <c r="MEV252" s="9"/>
      <c r="MEW252" s="4"/>
      <c r="MEX252" s="9"/>
      <c r="MEY252" s="4"/>
      <c r="MEZ252" s="9"/>
      <c r="MFA252" s="4"/>
      <c r="MFB252" s="9"/>
      <c r="MFC252" s="4"/>
      <c r="MFD252" s="9"/>
      <c r="MFE252" s="4"/>
      <c r="MFF252" s="9"/>
      <c r="MFG252" s="4"/>
      <c r="MFH252" s="9"/>
      <c r="MFI252" s="4"/>
      <c r="MFJ252" s="9"/>
      <c r="MFK252" s="4"/>
      <c r="MFL252" s="9"/>
      <c r="MFM252" s="4"/>
      <c r="MFN252" s="9"/>
      <c r="MFO252" s="4"/>
      <c r="MFP252" s="9"/>
      <c r="MFQ252" s="4"/>
      <c r="MFR252" s="9"/>
      <c r="MFS252" s="4"/>
      <c r="MFT252" s="9"/>
      <c r="MFU252" s="4"/>
      <c r="MFV252" s="9"/>
      <c r="MFW252" s="4"/>
      <c r="MFX252" s="9"/>
      <c r="MFY252" s="4"/>
      <c r="MFZ252" s="9"/>
      <c r="MGA252" s="4"/>
      <c r="MGB252" s="9"/>
      <c r="MGC252" s="4"/>
      <c r="MGD252" s="9"/>
      <c r="MGE252" s="4"/>
      <c r="MGF252" s="9"/>
      <c r="MGG252" s="4"/>
      <c r="MGH252" s="9"/>
      <c r="MGI252" s="4"/>
      <c r="MGJ252" s="9"/>
      <c r="MGK252" s="4"/>
      <c r="MGL252" s="9"/>
      <c r="MGM252" s="4"/>
      <c r="MGN252" s="9"/>
      <c r="MGO252" s="4"/>
      <c r="MGP252" s="9"/>
      <c r="MGQ252" s="4"/>
      <c r="MGR252" s="9"/>
      <c r="MGS252" s="4"/>
      <c r="MGT252" s="9"/>
      <c r="MGU252" s="4"/>
      <c r="MGV252" s="9"/>
      <c r="MGW252" s="4"/>
      <c r="MGX252" s="9"/>
      <c r="MGY252" s="4"/>
      <c r="MGZ252" s="9"/>
      <c r="MHA252" s="4"/>
      <c r="MHB252" s="9"/>
      <c r="MHC252" s="4"/>
      <c r="MHD252" s="9"/>
      <c r="MHE252" s="4"/>
      <c r="MHF252" s="9"/>
      <c r="MHG252" s="4"/>
      <c r="MHH252" s="9"/>
      <c r="MHI252" s="4"/>
      <c r="MHJ252" s="9"/>
      <c r="MHK252" s="4"/>
      <c r="MHL252" s="9"/>
      <c r="MHM252" s="4"/>
      <c r="MHN252" s="9"/>
      <c r="MHO252" s="4"/>
      <c r="MHP252" s="9"/>
      <c r="MHQ252" s="4"/>
      <c r="MHR252" s="9"/>
      <c r="MHS252" s="4"/>
      <c r="MHT252" s="9"/>
      <c r="MHU252" s="4"/>
      <c r="MHV252" s="9"/>
      <c r="MHW252" s="4"/>
      <c r="MHX252" s="9"/>
      <c r="MHY252" s="4"/>
      <c r="MHZ252" s="9"/>
      <c r="MIA252" s="4"/>
      <c r="MIB252" s="9"/>
      <c r="MIC252" s="4"/>
      <c r="MID252" s="9"/>
      <c r="MIE252" s="4"/>
      <c r="MIF252" s="9"/>
      <c r="MIG252" s="4"/>
      <c r="MIH252" s="9"/>
      <c r="MII252" s="4"/>
      <c r="MIJ252" s="9"/>
      <c r="MIK252" s="4"/>
      <c r="MIL252" s="9"/>
      <c r="MIM252" s="4"/>
      <c r="MIN252" s="9"/>
      <c r="MIO252" s="4"/>
      <c r="MIP252" s="9"/>
      <c r="MIQ252" s="4"/>
      <c r="MIR252" s="9"/>
      <c r="MIS252" s="4"/>
      <c r="MIT252" s="9"/>
      <c r="MIU252" s="4"/>
      <c r="MIV252" s="9"/>
      <c r="MIW252" s="4"/>
      <c r="MIX252" s="9"/>
      <c r="MIY252" s="4"/>
      <c r="MIZ252" s="9"/>
      <c r="MJA252" s="4"/>
      <c r="MJB252" s="9"/>
      <c r="MJC252" s="4"/>
      <c r="MJD252" s="9"/>
      <c r="MJE252" s="4"/>
      <c r="MJF252" s="9"/>
      <c r="MJG252" s="4"/>
      <c r="MJH252" s="9"/>
      <c r="MJI252" s="4"/>
      <c r="MJJ252" s="9"/>
      <c r="MJK252" s="4"/>
      <c r="MJL252" s="9"/>
      <c r="MJM252" s="4"/>
      <c r="MJN252" s="9"/>
      <c r="MJO252" s="4"/>
      <c r="MJP252" s="9"/>
      <c r="MJQ252" s="4"/>
      <c r="MJR252" s="9"/>
      <c r="MJS252" s="4"/>
      <c r="MJT252" s="9"/>
      <c r="MJU252" s="4"/>
      <c r="MJV252" s="9"/>
      <c r="MJW252" s="4"/>
      <c r="MJX252" s="9"/>
      <c r="MJY252" s="4"/>
      <c r="MJZ252" s="9"/>
      <c r="MKA252" s="4"/>
      <c r="MKB252" s="9"/>
      <c r="MKC252" s="4"/>
      <c r="MKD252" s="9"/>
      <c r="MKE252" s="4"/>
      <c r="MKF252" s="9"/>
      <c r="MKG252" s="4"/>
      <c r="MKH252" s="9"/>
      <c r="MKI252" s="4"/>
      <c r="MKJ252" s="9"/>
      <c r="MKK252" s="4"/>
      <c r="MKL252" s="9"/>
      <c r="MKM252" s="4"/>
      <c r="MKN252" s="9"/>
      <c r="MKO252" s="4"/>
      <c r="MKP252" s="9"/>
      <c r="MKQ252" s="4"/>
      <c r="MKR252" s="9"/>
      <c r="MKS252" s="4"/>
      <c r="MKT252" s="9"/>
      <c r="MKU252" s="4"/>
      <c r="MKV252" s="9"/>
      <c r="MKW252" s="4"/>
      <c r="MKX252" s="9"/>
      <c r="MKY252" s="4"/>
      <c r="MKZ252" s="9"/>
      <c r="MLA252" s="4"/>
      <c r="MLB252" s="9"/>
      <c r="MLC252" s="4"/>
      <c r="MLD252" s="9"/>
      <c r="MLE252" s="4"/>
      <c r="MLF252" s="9"/>
      <c r="MLG252" s="4"/>
      <c r="MLH252" s="9"/>
      <c r="MLI252" s="4"/>
      <c r="MLJ252" s="9"/>
      <c r="MLK252" s="4"/>
      <c r="MLL252" s="9"/>
      <c r="MLM252" s="4"/>
      <c r="MLN252" s="9"/>
      <c r="MLO252" s="4"/>
      <c r="MLP252" s="9"/>
      <c r="MLQ252" s="4"/>
      <c r="MLR252" s="9"/>
      <c r="MLS252" s="4"/>
      <c r="MLT252" s="9"/>
      <c r="MLU252" s="4"/>
      <c r="MLV252" s="9"/>
      <c r="MLW252" s="4"/>
      <c r="MLX252" s="9"/>
      <c r="MLY252" s="4"/>
      <c r="MLZ252" s="9"/>
      <c r="MMA252" s="4"/>
      <c r="MMB252" s="9"/>
      <c r="MMC252" s="4"/>
      <c r="MMD252" s="9"/>
      <c r="MME252" s="4"/>
      <c r="MMF252" s="9"/>
      <c r="MMG252" s="4"/>
      <c r="MMH252" s="9"/>
      <c r="MMI252" s="4"/>
      <c r="MMJ252" s="9"/>
      <c r="MMK252" s="4"/>
      <c r="MML252" s="9"/>
      <c r="MMM252" s="4"/>
      <c r="MMN252" s="9"/>
      <c r="MMO252" s="4"/>
      <c r="MMP252" s="9"/>
      <c r="MMQ252" s="4"/>
      <c r="MMR252" s="9"/>
      <c r="MMS252" s="4"/>
      <c r="MMT252" s="9"/>
      <c r="MMU252" s="4"/>
      <c r="MMV252" s="9"/>
      <c r="MMW252" s="4"/>
      <c r="MMX252" s="9"/>
      <c r="MMY252" s="4"/>
      <c r="MMZ252" s="9"/>
      <c r="MNA252" s="4"/>
      <c r="MNB252" s="9"/>
      <c r="MNC252" s="4"/>
      <c r="MND252" s="9"/>
      <c r="MNE252" s="4"/>
      <c r="MNF252" s="9"/>
      <c r="MNG252" s="4"/>
      <c r="MNH252" s="9"/>
      <c r="MNI252" s="4"/>
      <c r="MNJ252" s="9"/>
      <c r="MNK252" s="4"/>
      <c r="MNL252" s="9"/>
      <c r="MNM252" s="4"/>
      <c r="MNN252" s="9"/>
      <c r="MNO252" s="4"/>
      <c r="MNP252" s="9"/>
      <c r="MNQ252" s="4"/>
      <c r="MNR252" s="9"/>
      <c r="MNS252" s="4"/>
      <c r="MNT252" s="9"/>
      <c r="MNU252" s="4"/>
      <c r="MNV252" s="9"/>
      <c r="MNW252" s="4"/>
      <c r="MNX252" s="9"/>
      <c r="MNY252" s="4"/>
      <c r="MNZ252" s="9"/>
      <c r="MOA252" s="4"/>
      <c r="MOB252" s="9"/>
      <c r="MOC252" s="4"/>
      <c r="MOD252" s="9"/>
      <c r="MOE252" s="4"/>
      <c r="MOF252" s="9"/>
      <c r="MOG252" s="4"/>
      <c r="MOH252" s="9"/>
      <c r="MOI252" s="4"/>
      <c r="MOJ252" s="9"/>
      <c r="MOK252" s="4"/>
      <c r="MOL252" s="9"/>
      <c r="MOM252" s="4"/>
      <c r="MON252" s="9"/>
      <c r="MOO252" s="4"/>
      <c r="MOP252" s="9"/>
      <c r="MOQ252" s="4"/>
      <c r="MOR252" s="9"/>
      <c r="MOS252" s="4"/>
      <c r="MOT252" s="9"/>
      <c r="MOU252" s="4"/>
      <c r="MOV252" s="9"/>
      <c r="MOW252" s="4"/>
      <c r="MOX252" s="9"/>
      <c r="MOY252" s="4"/>
      <c r="MOZ252" s="9"/>
      <c r="MPA252" s="4"/>
      <c r="MPB252" s="9"/>
      <c r="MPC252" s="4"/>
      <c r="MPD252" s="9"/>
      <c r="MPE252" s="4"/>
      <c r="MPF252" s="9"/>
      <c r="MPG252" s="4"/>
      <c r="MPH252" s="9"/>
      <c r="MPI252" s="4"/>
      <c r="MPJ252" s="9"/>
      <c r="MPK252" s="4"/>
      <c r="MPL252" s="9"/>
      <c r="MPM252" s="4"/>
      <c r="MPN252" s="9"/>
      <c r="MPO252" s="4"/>
      <c r="MPP252" s="9"/>
      <c r="MPQ252" s="4"/>
      <c r="MPR252" s="9"/>
      <c r="MPS252" s="4"/>
      <c r="MPT252" s="9"/>
      <c r="MPU252" s="4"/>
      <c r="MPV252" s="9"/>
      <c r="MPW252" s="4"/>
      <c r="MPX252" s="9"/>
      <c r="MPY252" s="4"/>
      <c r="MPZ252" s="9"/>
      <c r="MQA252" s="4"/>
      <c r="MQB252" s="9"/>
      <c r="MQC252" s="4"/>
      <c r="MQD252" s="9"/>
      <c r="MQE252" s="4"/>
      <c r="MQF252" s="9"/>
      <c r="MQG252" s="4"/>
      <c r="MQH252" s="9"/>
      <c r="MQI252" s="4"/>
      <c r="MQJ252" s="9"/>
      <c r="MQK252" s="4"/>
      <c r="MQL252" s="9"/>
      <c r="MQM252" s="4"/>
      <c r="MQN252" s="9"/>
      <c r="MQO252" s="4"/>
      <c r="MQP252" s="9"/>
      <c r="MQQ252" s="4"/>
      <c r="MQR252" s="9"/>
      <c r="MQS252" s="4"/>
      <c r="MQT252" s="9"/>
      <c r="MQU252" s="4"/>
      <c r="MQV252" s="9"/>
      <c r="MQW252" s="4"/>
      <c r="MQX252" s="9"/>
      <c r="MQY252" s="4"/>
      <c r="MQZ252" s="9"/>
      <c r="MRA252" s="4"/>
      <c r="MRB252" s="9"/>
      <c r="MRC252" s="4"/>
      <c r="MRD252" s="9"/>
      <c r="MRE252" s="4"/>
      <c r="MRF252" s="9"/>
      <c r="MRG252" s="4"/>
      <c r="MRH252" s="9"/>
      <c r="MRI252" s="4"/>
      <c r="MRJ252" s="9"/>
      <c r="MRK252" s="4"/>
      <c r="MRL252" s="9"/>
      <c r="MRM252" s="4"/>
      <c r="MRN252" s="9"/>
      <c r="MRO252" s="4"/>
      <c r="MRP252" s="9"/>
      <c r="MRQ252" s="4"/>
      <c r="MRR252" s="9"/>
      <c r="MRS252" s="4"/>
      <c r="MRT252" s="9"/>
      <c r="MRU252" s="4"/>
      <c r="MRV252" s="9"/>
      <c r="MRW252" s="4"/>
      <c r="MRX252" s="9"/>
      <c r="MRY252" s="4"/>
      <c r="MRZ252" s="9"/>
      <c r="MSA252" s="4"/>
      <c r="MSB252" s="9"/>
      <c r="MSC252" s="4"/>
      <c r="MSD252" s="9"/>
      <c r="MSE252" s="4"/>
      <c r="MSF252" s="9"/>
      <c r="MSG252" s="4"/>
      <c r="MSH252" s="9"/>
      <c r="MSI252" s="4"/>
      <c r="MSJ252" s="9"/>
      <c r="MSK252" s="4"/>
      <c r="MSL252" s="9"/>
      <c r="MSM252" s="4"/>
      <c r="MSN252" s="9"/>
      <c r="MSO252" s="4"/>
      <c r="MSP252" s="9"/>
      <c r="MSQ252" s="4"/>
      <c r="MSR252" s="9"/>
      <c r="MSS252" s="4"/>
      <c r="MST252" s="9"/>
      <c r="MSU252" s="4"/>
      <c r="MSV252" s="9"/>
      <c r="MSW252" s="4"/>
      <c r="MSX252" s="9"/>
      <c r="MSY252" s="4"/>
      <c r="MSZ252" s="9"/>
      <c r="MTA252" s="4"/>
      <c r="MTB252" s="9"/>
      <c r="MTC252" s="4"/>
      <c r="MTD252" s="9"/>
      <c r="MTE252" s="4"/>
      <c r="MTF252" s="9"/>
      <c r="MTG252" s="4"/>
      <c r="MTH252" s="9"/>
      <c r="MTI252" s="4"/>
      <c r="MTJ252" s="9"/>
      <c r="MTK252" s="4"/>
      <c r="MTL252" s="9"/>
      <c r="MTM252" s="4"/>
      <c r="MTN252" s="9"/>
      <c r="MTO252" s="4"/>
      <c r="MTP252" s="9"/>
      <c r="MTQ252" s="4"/>
      <c r="MTR252" s="9"/>
      <c r="MTS252" s="4"/>
      <c r="MTT252" s="9"/>
      <c r="MTU252" s="4"/>
      <c r="MTV252" s="9"/>
      <c r="MTW252" s="4"/>
      <c r="MTX252" s="9"/>
      <c r="MTY252" s="4"/>
      <c r="MTZ252" s="9"/>
      <c r="MUA252" s="4"/>
      <c r="MUB252" s="9"/>
      <c r="MUC252" s="4"/>
      <c r="MUD252" s="9"/>
      <c r="MUE252" s="4"/>
      <c r="MUF252" s="9"/>
      <c r="MUG252" s="4"/>
      <c r="MUH252" s="9"/>
      <c r="MUI252" s="4"/>
      <c r="MUJ252" s="9"/>
      <c r="MUK252" s="4"/>
      <c r="MUL252" s="9"/>
      <c r="MUM252" s="4"/>
      <c r="MUN252" s="9"/>
      <c r="MUO252" s="4"/>
      <c r="MUP252" s="9"/>
      <c r="MUQ252" s="4"/>
      <c r="MUR252" s="9"/>
      <c r="MUS252" s="4"/>
      <c r="MUT252" s="9"/>
      <c r="MUU252" s="4"/>
      <c r="MUV252" s="9"/>
      <c r="MUW252" s="4"/>
      <c r="MUX252" s="9"/>
      <c r="MUY252" s="4"/>
      <c r="MUZ252" s="9"/>
      <c r="MVA252" s="4"/>
      <c r="MVB252" s="9"/>
      <c r="MVC252" s="4"/>
      <c r="MVD252" s="9"/>
      <c r="MVE252" s="4"/>
      <c r="MVF252" s="9"/>
      <c r="MVG252" s="4"/>
      <c r="MVH252" s="9"/>
      <c r="MVI252" s="4"/>
      <c r="MVJ252" s="9"/>
      <c r="MVK252" s="4"/>
      <c r="MVL252" s="9"/>
      <c r="MVM252" s="4"/>
      <c r="MVN252" s="9"/>
      <c r="MVO252" s="4"/>
      <c r="MVP252" s="9"/>
      <c r="MVQ252" s="4"/>
      <c r="MVR252" s="9"/>
      <c r="MVS252" s="4"/>
      <c r="MVT252" s="9"/>
      <c r="MVU252" s="4"/>
      <c r="MVV252" s="9"/>
      <c r="MVW252" s="4"/>
      <c r="MVX252" s="9"/>
      <c r="MVY252" s="4"/>
      <c r="MVZ252" s="9"/>
      <c r="MWA252" s="4"/>
      <c r="MWB252" s="9"/>
      <c r="MWC252" s="4"/>
      <c r="MWD252" s="9"/>
      <c r="MWE252" s="4"/>
      <c r="MWF252" s="9"/>
      <c r="MWG252" s="4"/>
      <c r="MWH252" s="9"/>
      <c r="MWI252" s="4"/>
      <c r="MWJ252" s="9"/>
      <c r="MWK252" s="4"/>
      <c r="MWL252" s="9"/>
      <c r="MWM252" s="4"/>
      <c r="MWN252" s="9"/>
      <c r="MWO252" s="4"/>
      <c r="MWP252" s="9"/>
      <c r="MWQ252" s="4"/>
      <c r="MWR252" s="9"/>
      <c r="MWS252" s="4"/>
      <c r="MWT252" s="9"/>
      <c r="MWU252" s="4"/>
      <c r="MWV252" s="9"/>
      <c r="MWW252" s="4"/>
      <c r="MWX252" s="9"/>
      <c r="MWY252" s="4"/>
      <c r="MWZ252" s="9"/>
      <c r="MXA252" s="4"/>
      <c r="MXB252" s="9"/>
      <c r="MXC252" s="4"/>
      <c r="MXD252" s="9"/>
      <c r="MXE252" s="4"/>
      <c r="MXF252" s="9"/>
      <c r="MXG252" s="4"/>
      <c r="MXH252" s="9"/>
      <c r="MXI252" s="4"/>
      <c r="MXJ252" s="9"/>
      <c r="MXK252" s="4"/>
      <c r="MXL252" s="9"/>
      <c r="MXM252" s="4"/>
      <c r="MXN252" s="9"/>
      <c r="MXO252" s="4"/>
      <c r="MXP252" s="9"/>
      <c r="MXQ252" s="4"/>
      <c r="MXR252" s="9"/>
      <c r="MXS252" s="4"/>
      <c r="MXT252" s="9"/>
      <c r="MXU252" s="4"/>
      <c r="MXV252" s="9"/>
      <c r="MXW252" s="4"/>
      <c r="MXX252" s="9"/>
      <c r="MXY252" s="4"/>
      <c r="MXZ252" s="9"/>
      <c r="MYA252" s="4"/>
      <c r="MYB252" s="9"/>
      <c r="MYC252" s="4"/>
      <c r="MYD252" s="9"/>
      <c r="MYE252" s="4"/>
      <c r="MYF252" s="9"/>
      <c r="MYG252" s="4"/>
      <c r="MYH252" s="9"/>
      <c r="MYI252" s="4"/>
      <c r="MYJ252" s="9"/>
      <c r="MYK252" s="4"/>
      <c r="MYL252" s="9"/>
      <c r="MYM252" s="4"/>
      <c r="MYN252" s="9"/>
      <c r="MYO252" s="4"/>
      <c r="MYP252" s="9"/>
      <c r="MYQ252" s="4"/>
      <c r="MYR252" s="9"/>
      <c r="MYS252" s="4"/>
      <c r="MYT252" s="9"/>
      <c r="MYU252" s="4"/>
      <c r="MYV252" s="9"/>
      <c r="MYW252" s="4"/>
      <c r="MYX252" s="9"/>
      <c r="MYY252" s="4"/>
      <c r="MYZ252" s="9"/>
      <c r="MZA252" s="4"/>
      <c r="MZB252" s="9"/>
      <c r="MZC252" s="4"/>
      <c r="MZD252" s="9"/>
      <c r="MZE252" s="4"/>
      <c r="MZF252" s="9"/>
      <c r="MZG252" s="4"/>
      <c r="MZH252" s="9"/>
      <c r="MZI252" s="4"/>
      <c r="MZJ252" s="9"/>
      <c r="MZK252" s="4"/>
      <c r="MZL252" s="9"/>
      <c r="MZM252" s="4"/>
      <c r="MZN252" s="9"/>
      <c r="MZO252" s="4"/>
      <c r="MZP252" s="9"/>
      <c r="MZQ252" s="4"/>
      <c r="MZR252" s="9"/>
      <c r="MZS252" s="4"/>
      <c r="MZT252" s="9"/>
      <c r="MZU252" s="4"/>
      <c r="MZV252" s="9"/>
      <c r="MZW252" s="4"/>
      <c r="MZX252" s="9"/>
      <c r="MZY252" s="4"/>
      <c r="MZZ252" s="9"/>
      <c r="NAA252" s="4"/>
      <c r="NAB252" s="9"/>
      <c r="NAC252" s="4"/>
      <c r="NAD252" s="9"/>
      <c r="NAE252" s="4"/>
      <c r="NAF252" s="9"/>
      <c r="NAG252" s="4"/>
      <c r="NAH252" s="9"/>
      <c r="NAI252" s="4"/>
      <c r="NAJ252" s="9"/>
      <c r="NAK252" s="4"/>
      <c r="NAL252" s="9"/>
      <c r="NAM252" s="4"/>
      <c r="NAN252" s="9"/>
      <c r="NAO252" s="4"/>
      <c r="NAP252" s="9"/>
      <c r="NAQ252" s="4"/>
      <c r="NAR252" s="9"/>
      <c r="NAS252" s="4"/>
      <c r="NAT252" s="9"/>
      <c r="NAU252" s="4"/>
      <c r="NAV252" s="9"/>
      <c r="NAW252" s="4"/>
      <c r="NAX252" s="9"/>
      <c r="NAY252" s="4"/>
      <c r="NAZ252" s="9"/>
      <c r="NBA252" s="4"/>
      <c r="NBB252" s="9"/>
      <c r="NBC252" s="4"/>
      <c r="NBD252" s="9"/>
      <c r="NBE252" s="4"/>
      <c r="NBF252" s="9"/>
      <c r="NBG252" s="4"/>
      <c r="NBH252" s="9"/>
      <c r="NBI252" s="4"/>
      <c r="NBJ252" s="9"/>
      <c r="NBK252" s="4"/>
      <c r="NBL252" s="9"/>
      <c r="NBM252" s="4"/>
      <c r="NBN252" s="9"/>
      <c r="NBO252" s="4"/>
      <c r="NBP252" s="9"/>
      <c r="NBQ252" s="4"/>
      <c r="NBR252" s="9"/>
      <c r="NBS252" s="4"/>
      <c r="NBT252" s="9"/>
      <c r="NBU252" s="4"/>
      <c r="NBV252" s="9"/>
      <c r="NBW252" s="4"/>
      <c r="NBX252" s="9"/>
      <c r="NBY252" s="4"/>
      <c r="NBZ252" s="9"/>
      <c r="NCA252" s="4"/>
      <c r="NCB252" s="9"/>
      <c r="NCC252" s="4"/>
      <c r="NCD252" s="9"/>
      <c r="NCE252" s="4"/>
      <c r="NCF252" s="9"/>
      <c r="NCG252" s="4"/>
      <c r="NCH252" s="9"/>
      <c r="NCI252" s="4"/>
      <c r="NCJ252" s="9"/>
      <c r="NCK252" s="4"/>
      <c r="NCL252" s="9"/>
      <c r="NCM252" s="4"/>
      <c r="NCN252" s="9"/>
      <c r="NCO252" s="4"/>
      <c r="NCP252" s="9"/>
      <c r="NCQ252" s="4"/>
      <c r="NCR252" s="9"/>
      <c r="NCS252" s="4"/>
      <c r="NCT252" s="9"/>
      <c r="NCU252" s="4"/>
      <c r="NCV252" s="9"/>
      <c r="NCW252" s="4"/>
      <c r="NCX252" s="9"/>
      <c r="NCY252" s="4"/>
      <c r="NCZ252" s="9"/>
      <c r="NDA252" s="4"/>
      <c r="NDB252" s="9"/>
      <c r="NDC252" s="4"/>
      <c r="NDD252" s="9"/>
      <c r="NDE252" s="4"/>
      <c r="NDF252" s="9"/>
      <c r="NDG252" s="4"/>
      <c r="NDH252" s="9"/>
      <c r="NDI252" s="4"/>
      <c r="NDJ252" s="9"/>
      <c r="NDK252" s="4"/>
      <c r="NDL252" s="9"/>
      <c r="NDM252" s="4"/>
      <c r="NDN252" s="9"/>
      <c r="NDO252" s="4"/>
      <c r="NDP252" s="9"/>
      <c r="NDQ252" s="4"/>
      <c r="NDR252" s="9"/>
      <c r="NDS252" s="4"/>
      <c r="NDT252" s="9"/>
      <c r="NDU252" s="4"/>
      <c r="NDV252" s="9"/>
      <c r="NDW252" s="4"/>
      <c r="NDX252" s="9"/>
      <c r="NDY252" s="4"/>
      <c r="NDZ252" s="9"/>
      <c r="NEA252" s="4"/>
      <c r="NEB252" s="9"/>
      <c r="NEC252" s="4"/>
      <c r="NED252" s="9"/>
      <c r="NEE252" s="4"/>
      <c r="NEF252" s="9"/>
      <c r="NEG252" s="4"/>
      <c r="NEH252" s="9"/>
      <c r="NEI252" s="4"/>
      <c r="NEJ252" s="9"/>
      <c r="NEK252" s="4"/>
      <c r="NEL252" s="9"/>
      <c r="NEM252" s="4"/>
      <c r="NEN252" s="9"/>
      <c r="NEO252" s="4"/>
      <c r="NEP252" s="9"/>
      <c r="NEQ252" s="4"/>
      <c r="NER252" s="9"/>
      <c r="NES252" s="4"/>
      <c r="NET252" s="9"/>
      <c r="NEU252" s="4"/>
      <c r="NEV252" s="9"/>
      <c r="NEW252" s="4"/>
      <c r="NEX252" s="9"/>
      <c r="NEY252" s="4"/>
      <c r="NEZ252" s="9"/>
      <c r="NFA252" s="4"/>
      <c r="NFB252" s="9"/>
      <c r="NFC252" s="4"/>
      <c r="NFD252" s="9"/>
      <c r="NFE252" s="4"/>
      <c r="NFF252" s="9"/>
      <c r="NFG252" s="4"/>
      <c r="NFH252" s="9"/>
      <c r="NFI252" s="4"/>
      <c r="NFJ252" s="9"/>
      <c r="NFK252" s="4"/>
      <c r="NFL252" s="9"/>
      <c r="NFM252" s="4"/>
      <c r="NFN252" s="9"/>
      <c r="NFO252" s="4"/>
      <c r="NFP252" s="9"/>
      <c r="NFQ252" s="4"/>
      <c r="NFR252" s="9"/>
      <c r="NFS252" s="4"/>
      <c r="NFT252" s="9"/>
      <c r="NFU252" s="4"/>
      <c r="NFV252" s="9"/>
      <c r="NFW252" s="4"/>
      <c r="NFX252" s="9"/>
      <c r="NFY252" s="4"/>
      <c r="NFZ252" s="9"/>
      <c r="NGA252" s="4"/>
      <c r="NGB252" s="9"/>
      <c r="NGC252" s="4"/>
      <c r="NGD252" s="9"/>
      <c r="NGE252" s="4"/>
      <c r="NGF252" s="9"/>
      <c r="NGG252" s="4"/>
      <c r="NGH252" s="9"/>
      <c r="NGI252" s="4"/>
      <c r="NGJ252" s="9"/>
      <c r="NGK252" s="4"/>
      <c r="NGL252" s="9"/>
      <c r="NGM252" s="4"/>
      <c r="NGN252" s="9"/>
      <c r="NGO252" s="4"/>
      <c r="NGP252" s="9"/>
      <c r="NGQ252" s="4"/>
      <c r="NGR252" s="9"/>
      <c r="NGS252" s="4"/>
      <c r="NGT252" s="9"/>
      <c r="NGU252" s="4"/>
      <c r="NGV252" s="9"/>
      <c r="NGW252" s="4"/>
      <c r="NGX252" s="9"/>
      <c r="NGY252" s="4"/>
      <c r="NGZ252" s="9"/>
      <c r="NHA252" s="4"/>
      <c r="NHB252" s="9"/>
      <c r="NHC252" s="4"/>
      <c r="NHD252" s="9"/>
      <c r="NHE252" s="4"/>
      <c r="NHF252" s="9"/>
      <c r="NHG252" s="4"/>
      <c r="NHH252" s="9"/>
      <c r="NHI252" s="4"/>
      <c r="NHJ252" s="9"/>
      <c r="NHK252" s="4"/>
      <c r="NHL252" s="9"/>
      <c r="NHM252" s="4"/>
      <c r="NHN252" s="9"/>
      <c r="NHO252" s="4"/>
      <c r="NHP252" s="9"/>
      <c r="NHQ252" s="4"/>
      <c r="NHR252" s="9"/>
      <c r="NHS252" s="4"/>
      <c r="NHT252" s="9"/>
      <c r="NHU252" s="4"/>
      <c r="NHV252" s="9"/>
      <c r="NHW252" s="4"/>
      <c r="NHX252" s="9"/>
      <c r="NHY252" s="4"/>
      <c r="NHZ252" s="9"/>
      <c r="NIA252" s="4"/>
      <c r="NIB252" s="9"/>
      <c r="NIC252" s="4"/>
      <c r="NID252" s="9"/>
      <c r="NIE252" s="4"/>
      <c r="NIF252" s="9"/>
      <c r="NIG252" s="4"/>
      <c r="NIH252" s="9"/>
      <c r="NII252" s="4"/>
      <c r="NIJ252" s="9"/>
      <c r="NIK252" s="4"/>
      <c r="NIL252" s="9"/>
      <c r="NIM252" s="4"/>
      <c r="NIN252" s="9"/>
      <c r="NIO252" s="4"/>
      <c r="NIP252" s="9"/>
      <c r="NIQ252" s="4"/>
      <c r="NIR252" s="9"/>
      <c r="NIS252" s="4"/>
      <c r="NIT252" s="9"/>
      <c r="NIU252" s="4"/>
      <c r="NIV252" s="9"/>
      <c r="NIW252" s="4"/>
      <c r="NIX252" s="9"/>
      <c r="NIY252" s="4"/>
      <c r="NIZ252" s="9"/>
      <c r="NJA252" s="4"/>
      <c r="NJB252" s="9"/>
      <c r="NJC252" s="4"/>
      <c r="NJD252" s="9"/>
      <c r="NJE252" s="4"/>
      <c r="NJF252" s="9"/>
      <c r="NJG252" s="4"/>
      <c r="NJH252" s="9"/>
      <c r="NJI252" s="4"/>
      <c r="NJJ252" s="9"/>
      <c r="NJK252" s="4"/>
      <c r="NJL252" s="9"/>
      <c r="NJM252" s="4"/>
      <c r="NJN252" s="9"/>
      <c r="NJO252" s="4"/>
      <c r="NJP252" s="9"/>
      <c r="NJQ252" s="4"/>
      <c r="NJR252" s="9"/>
      <c r="NJS252" s="4"/>
      <c r="NJT252" s="9"/>
      <c r="NJU252" s="4"/>
      <c r="NJV252" s="9"/>
      <c r="NJW252" s="4"/>
      <c r="NJX252" s="9"/>
      <c r="NJY252" s="4"/>
      <c r="NJZ252" s="9"/>
      <c r="NKA252" s="4"/>
      <c r="NKB252" s="9"/>
      <c r="NKC252" s="4"/>
      <c r="NKD252" s="9"/>
      <c r="NKE252" s="4"/>
      <c r="NKF252" s="9"/>
      <c r="NKG252" s="4"/>
      <c r="NKH252" s="9"/>
      <c r="NKI252" s="4"/>
      <c r="NKJ252" s="9"/>
      <c r="NKK252" s="4"/>
      <c r="NKL252" s="9"/>
      <c r="NKM252" s="4"/>
      <c r="NKN252" s="9"/>
      <c r="NKO252" s="4"/>
      <c r="NKP252" s="9"/>
      <c r="NKQ252" s="4"/>
      <c r="NKR252" s="9"/>
      <c r="NKS252" s="4"/>
      <c r="NKT252" s="9"/>
      <c r="NKU252" s="4"/>
      <c r="NKV252" s="9"/>
      <c r="NKW252" s="4"/>
      <c r="NKX252" s="9"/>
      <c r="NKY252" s="4"/>
      <c r="NKZ252" s="9"/>
      <c r="NLA252" s="4"/>
      <c r="NLB252" s="9"/>
      <c r="NLC252" s="4"/>
      <c r="NLD252" s="9"/>
      <c r="NLE252" s="4"/>
      <c r="NLF252" s="9"/>
      <c r="NLG252" s="4"/>
      <c r="NLH252" s="9"/>
      <c r="NLI252" s="4"/>
      <c r="NLJ252" s="9"/>
      <c r="NLK252" s="4"/>
      <c r="NLL252" s="9"/>
      <c r="NLM252" s="4"/>
      <c r="NLN252" s="9"/>
      <c r="NLO252" s="4"/>
      <c r="NLP252" s="9"/>
      <c r="NLQ252" s="4"/>
      <c r="NLR252" s="9"/>
      <c r="NLS252" s="4"/>
      <c r="NLT252" s="9"/>
      <c r="NLU252" s="4"/>
      <c r="NLV252" s="9"/>
      <c r="NLW252" s="4"/>
      <c r="NLX252" s="9"/>
      <c r="NLY252" s="4"/>
      <c r="NLZ252" s="9"/>
      <c r="NMA252" s="4"/>
      <c r="NMB252" s="9"/>
      <c r="NMC252" s="4"/>
      <c r="NMD252" s="9"/>
      <c r="NME252" s="4"/>
      <c r="NMF252" s="9"/>
      <c r="NMG252" s="4"/>
      <c r="NMH252" s="9"/>
      <c r="NMI252" s="4"/>
      <c r="NMJ252" s="9"/>
      <c r="NMK252" s="4"/>
      <c r="NML252" s="9"/>
      <c r="NMM252" s="4"/>
      <c r="NMN252" s="9"/>
      <c r="NMO252" s="4"/>
      <c r="NMP252" s="9"/>
      <c r="NMQ252" s="4"/>
      <c r="NMR252" s="9"/>
      <c r="NMS252" s="4"/>
      <c r="NMT252" s="9"/>
      <c r="NMU252" s="4"/>
      <c r="NMV252" s="9"/>
      <c r="NMW252" s="4"/>
      <c r="NMX252" s="9"/>
      <c r="NMY252" s="4"/>
      <c r="NMZ252" s="9"/>
      <c r="NNA252" s="4"/>
      <c r="NNB252" s="9"/>
      <c r="NNC252" s="4"/>
      <c r="NND252" s="9"/>
      <c r="NNE252" s="4"/>
      <c r="NNF252" s="9"/>
      <c r="NNG252" s="4"/>
      <c r="NNH252" s="9"/>
      <c r="NNI252" s="4"/>
      <c r="NNJ252" s="9"/>
      <c r="NNK252" s="4"/>
      <c r="NNL252" s="9"/>
      <c r="NNM252" s="4"/>
      <c r="NNN252" s="9"/>
      <c r="NNO252" s="4"/>
      <c r="NNP252" s="9"/>
      <c r="NNQ252" s="4"/>
      <c r="NNR252" s="9"/>
      <c r="NNS252" s="4"/>
      <c r="NNT252" s="9"/>
      <c r="NNU252" s="4"/>
      <c r="NNV252" s="9"/>
      <c r="NNW252" s="4"/>
      <c r="NNX252" s="9"/>
      <c r="NNY252" s="4"/>
      <c r="NNZ252" s="9"/>
      <c r="NOA252" s="4"/>
      <c r="NOB252" s="9"/>
      <c r="NOC252" s="4"/>
      <c r="NOD252" s="9"/>
      <c r="NOE252" s="4"/>
      <c r="NOF252" s="9"/>
      <c r="NOG252" s="4"/>
      <c r="NOH252" s="9"/>
      <c r="NOI252" s="4"/>
      <c r="NOJ252" s="9"/>
      <c r="NOK252" s="4"/>
      <c r="NOL252" s="9"/>
      <c r="NOM252" s="4"/>
      <c r="NON252" s="9"/>
      <c r="NOO252" s="4"/>
      <c r="NOP252" s="9"/>
      <c r="NOQ252" s="4"/>
      <c r="NOR252" s="9"/>
      <c r="NOS252" s="4"/>
      <c r="NOT252" s="9"/>
      <c r="NOU252" s="4"/>
      <c r="NOV252" s="9"/>
      <c r="NOW252" s="4"/>
      <c r="NOX252" s="9"/>
      <c r="NOY252" s="4"/>
      <c r="NOZ252" s="9"/>
      <c r="NPA252" s="4"/>
      <c r="NPB252" s="9"/>
      <c r="NPC252" s="4"/>
      <c r="NPD252" s="9"/>
      <c r="NPE252" s="4"/>
      <c r="NPF252" s="9"/>
      <c r="NPG252" s="4"/>
      <c r="NPH252" s="9"/>
      <c r="NPI252" s="4"/>
      <c r="NPJ252" s="9"/>
      <c r="NPK252" s="4"/>
      <c r="NPL252" s="9"/>
      <c r="NPM252" s="4"/>
      <c r="NPN252" s="9"/>
      <c r="NPO252" s="4"/>
      <c r="NPP252" s="9"/>
      <c r="NPQ252" s="4"/>
      <c r="NPR252" s="9"/>
      <c r="NPS252" s="4"/>
      <c r="NPT252" s="9"/>
      <c r="NPU252" s="4"/>
      <c r="NPV252" s="9"/>
      <c r="NPW252" s="4"/>
      <c r="NPX252" s="9"/>
      <c r="NPY252" s="4"/>
      <c r="NPZ252" s="9"/>
      <c r="NQA252" s="4"/>
      <c r="NQB252" s="9"/>
      <c r="NQC252" s="4"/>
      <c r="NQD252" s="9"/>
      <c r="NQE252" s="4"/>
      <c r="NQF252" s="9"/>
      <c r="NQG252" s="4"/>
      <c r="NQH252" s="9"/>
      <c r="NQI252" s="4"/>
      <c r="NQJ252" s="9"/>
      <c r="NQK252" s="4"/>
      <c r="NQL252" s="9"/>
      <c r="NQM252" s="4"/>
      <c r="NQN252" s="9"/>
      <c r="NQO252" s="4"/>
      <c r="NQP252" s="9"/>
      <c r="NQQ252" s="4"/>
      <c r="NQR252" s="9"/>
      <c r="NQS252" s="4"/>
      <c r="NQT252" s="9"/>
      <c r="NQU252" s="4"/>
      <c r="NQV252" s="9"/>
      <c r="NQW252" s="4"/>
      <c r="NQX252" s="9"/>
      <c r="NQY252" s="4"/>
      <c r="NQZ252" s="9"/>
      <c r="NRA252" s="4"/>
      <c r="NRB252" s="9"/>
      <c r="NRC252" s="4"/>
      <c r="NRD252" s="9"/>
      <c r="NRE252" s="4"/>
      <c r="NRF252" s="9"/>
      <c r="NRG252" s="4"/>
      <c r="NRH252" s="9"/>
      <c r="NRI252" s="4"/>
      <c r="NRJ252" s="9"/>
      <c r="NRK252" s="4"/>
      <c r="NRL252" s="9"/>
      <c r="NRM252" s="4"/>
      <c r="NRN252" s="9"/>
      <c r="NRO252" s="4"/>
      <c r="NRP252" s="9"/>
      <c r="NRQ252" s="4"/>
      <c r="NRR252" s="9"/>
      <c r="NRS252" s="4"/>
      <c r="NRT252" s="9"/>
      <c r="NRU252" s="4"/>
      <c r="NRV252" s="9"/>
      <c r="NRW252" s="4"/>
      <c r="NRX252" s="9"/>
      <c r="NRY252" s="4"/>
      <c r="NRZ252" s="9"/>
      <c r="NSA252" s="4"/>
      <c r="NSB252" s="9"/>
      <c r="NSC252" s="4"/>
      <c r="NSD252" s="9"/>
      <c r="NSE252" s="4"/>
      <c r="NSF252" s="9"/>
      <c r="NSG252" s="4"/>
      <c r="NSH252" s="9"/>
      <c r="NSI252" s="4"/>
      <c r="NSJ252" s="9"/>
      <c r="NSK252" s="4"/>
      <c r="NSL252" s="9"/>
      <c r="NSM252" s="4"/>
      <c r="NSN252" s="9"/>
      <c r="NSO252" s="4"/>
      <c r="NSP252" s="9"/>
      <c r="NSQ252" s="4"/>
      <c r="NSR252" s="9"/>
      <c r="NSS252" s="4"/>
      <c r="NST252" s="9"/>
      <c r="NSU252" s="4"/>
      <c r="NSV252" s="9"/>
      <c r="NSW252" s="4"/>
      <c r="NSX252" s="9"/>
      <c r="NSY252" s="4"/>
      <c r="NSZ252" s="9"/>
      <c r="NTA252" s="4"/>
      <c r="NTB252" s="9"/>
      <c r="NTC252" s="4"/>
      <c r="NTD252" s="9"/>
      <c r="NTE252" s="4"/>
      <c r="NTF252" s="9"/>
      <c r="NTG252" s="4"/>
      <c r="NTH252" s="9"/>
      <c r="NTI252" s="4"/>
      <c r="NTJ252" s="9"/>
      <c r="NTK252" s="4"/>
      <c r="NTL252" s="9"/>
      <c r="NTM252" s="4"/>
      <c r="NTN252" s="9"/>
      <c r="NTO252" s="4"/>
      <c r="NTP252" s="9"/>
      <c r="NTQ252" s="4"/>
      <c r="NTR252" s="9"/>
      <c r="NTS252" s="4"/>
      <c r="NTT252" s="9"/>
      <c r="NTU252" s="4"/>
      <c r="NTV252" s="9"/>
      <c r="NTW252" s="4"/>
      <c r="NTX252" s="9"/>
      <c r="NTY252" s="4"/>
      <c r="NTZ252" s="9"/>
      <c r="NUA252" s="4"/>
      <c r="NUB252" s="9"/>
      <c r="NUC252" s="4"/>
      <c r="NUD252" s="9"/>
      <c r="NUE252" s="4"/>
      <c r="NUF252" s="9"/>
      <c r="NUG252" s="4"/>
      <c r="NUH252" s="9"/>
      <c r="NUI252" s="4"/>
      <c r="NUJ252" s="9"/>
      <c r="NUK252" s="4"/>
      <c r="NUL252" s="9"/>
      <c r="NUM252" s="4"/>
      <c r="NUN252" s="9"/>
      <c r="NUO252" s="4"/>
      <c r="NUP252" s="9"/>
      <c r="NUQ252" s="4"/>
      <c r="NUR252" s="9"/>
      <c r="NUS252" s="4"/>
      <c r="NUT252" s="9"/>
      <c r="NUU252" s="4"/>
      <c r="NUV252" s="9"/>
      <c r="NUW252" s="4"/>
      <c r="NUX252" s="9"/>
      <c r="NUY252" s="4"/>
      <c r="NUZ252" s="9"/>
      <c r="NVA252" s="4"/>
      <c r="NVB252" s="9"/>
      <c r="NVC252" s="4"/>
      <c r="NVD252" s="9"/>
      <c r="NVE252" s="4"/>
      <c r="NVF252" s="9"/>
      <c r="NVG252" s="4"/>
      <c r="NVH252" s="9"/>
      <c r="NVI252" s="4"/>
      <c r="NVJ252" s="9"/>
      <c r="NVK252" s="4"/>
      <c r="NVL252" s="9"/>
      <c r="NVM252" s="4"/>
      <c r="NVN252" s="9"/>
      <c r="NVO252" s="4"/>
      <c r="NVP252" s="9"/>
      <c r="NVQ252" s="4"/>
      <c r="NVR252" s="9"/>
      <c r="NVS252" s="4"/>
      <c r="NVT252" s="9"/>
      <c r="NVU252" s="4"/>
      <c r="NVV252" s="9"/>
      <c r="NVW252" s="4"/>
      <c r="NVX252" s="9"/>
      <c r="NVY252" s="4"/>
      <c r="NVZ252" s="9"/>
      <c r="NWA252" s="4"/>
      <c r="NWB252" s="9"/>
      <c r="NWC252" s="4"/>
      <c r="NWD252" s="9"/>
      <c r="NWE252" s="4"/>
      <c r="NWF252" s="9"/>
      <c r="NWG252" s="4"/>
      <c r="NWH252" s="9"/>
      <c r="NWI252" s="4"/>
      <c r="NWJ252" s="9"/>
      <c r="NWK252" s="4"/>
      <c r="NWL252" s="9"/>
      <c r="NWM252" s="4"/>
      <c r="NWN252" s="9"/>
      <c r="NWO252" s="4"/>
      <c r="NWP252" s="9"/>
      <c r="NWQ252" s="4"/>
      <c r="NWR252" s="9"/>
      <c r="NWS252" s="4"/>
      <c r="NWT252" s="9"/>
      <c r="NWU252" s="4"/>
      <c r="NWV252" s="9"/>
      <c r="NWW252" s="4"/>
      <c r="NWX252" s="9"/>
      <c r="NWY252" s="4"/>
      <c r="NWZ252" s="9"/>
      <c r="NXA252" s="4"/>
      <c r="NXB252" s="9"/>
      <c r="NXC252" s="4"/>
      <c r="NXD252" s="9"/>
      <c r="NXE252" s="4"/>
      <c r="NXF252" s="9"/>
      <c r="NXG252" s="4"/>
      <c r="NXH252" s="9"/>
      <c r="NXI252" s="4"/>
      <c r="NXJ252" s="9"/>
      <c r="NXK252" s="4"/>
      <c r="NXL252" s="9"/>
      <c r="NXM252" s="4"/>
      <c r="NXN252" s="9"/>
      <c r="NXO252" s="4"/>
      <c r="NXP252" s="9"/>
      <c r="NXQ252" s="4"/>
      <c r="NXR252" s="9"/>
      <c r="NXS252" s="4"/>
      <c r="NXT252" s="9"/>
      <c r="NXU252" s="4"/>
      <c r="NXV252" s="9"/>
      <c r="NXW252" s="4"/>
      <c r="NXX252" s="9"/>
      <c r="NXY252" s="4"/>
      <c r="NXZ252" s="9"/>
      <c r="NYA252" s="4"/>
      <c r="NYB252" s="9"/>
      <c r="NYC252" s="4"/>
      <c r="NYD252" s="9"/>
      <c r="NYE252" s="4"/>
      <c r="NYF252" s="9"/>
      <c r="NYG252" s="4"/>
      <c r="NYH252" s="9"/>
      <c r="NYI252" s="4"/>
      <c r="NYJ252" s="9"/>
      <c r="NYK252" s="4"/>
      <c r="NYL252" s="9"/>
      <c r="NYM252" s="4"/>
      <c r="NYN252" s="9"/>
      <c r="NYO252" s="4"/>
      <c r="NYP252" s="9"/>
      <c r="NYQ252" s="4"/>
      <c r="NYR252" s="9"/>
      <c r="NYS252" s="4"/>
      <c r="NYT252" s="9"/>
      <c r="NYU252" s="4"/>
      <c r="NYV252" s="9"/>
      <c r="NYW252" s="4"/>
      <c r="NYX252" s="9"/>
      <c r="NYY252" s="4"/>
      <c r="NYZ252" s="9"/>
      <c r="NZA252" s="4"/>
      <c r="NZB252" s="9"/>
      <c r="NZC252" s="4"/>
      <c r="NZD252" s="9"/>
      <c r="NZE252" s="4"/>
      <c r="NZF252" s="9"/>
      <c r="NZG252" s="4"/>
      <c r="NZH252" s="9"/>
      <c r="NZI252" s="4"/>
      <c r="NZJ252" s="9"/>
      <c r="NZK252" s="4"/>
      <c r="NZL252" s="9"/>
      <c r="NZM252" s="4"/>
      <c r="NZN252" s="9"/>
      <c r="NZO252" s="4"/>
      <c r="NZP252" s="9"/>
      <c r="NZQ252" s="4"/>
      <c r="NZR252" s="9"/>
      <c r="NZS252" s="4"/>
      <c r="NZT252" s="9"/>
      <c r="NZU252" s="4"/>
      <c r="NZV252" s="9"/>
      <c r="NZW252" s="4"/>
      <c r="NZX252" s="9"/>
      <c r="NZY252" s="4"/>
      <c r="NZZ252" s="9"/>
      <c r="OAA252" s="4"/>
      <c r="OAB252" s="9"/>
      <c r="OAC252" s="4"/>
      <c r="OAD252" s="9"/>
      <c r="OAE252" s="4"/>
      <c r="OAF252" s="9"/>
      <c r="OAG252" s="4"/>
      <c r="OAH252" s="9"/>
      <c r="OAI252" s="4"/>
      <c r="OAJ252" s="9"/>
      <c r="OAK252" s="4"/>
      <c r="OAL252" s="9"/>
      <c r="OAM252" s="4"/>
      <c r="OAN252" s="9"/>
      <c r="OAO252" s="4"/>
      <c r="OAP252" s="9"/>
      <c r="OAQ252" s="4"/>
      <c r="OAR252" s="9"/>
      <c r="OAS252" s="4"/>
      <c r="OAT252" s="9"/>
      <c r="OAU252" s="4"/>
      <c r="OAV252" s="9"/>
      <c r="OAW252" s="4"/>
      <c r="OAX252" s="9"/>
      <c r="OAY252" s="4"/>
      <c r="OAZ252" s="9"/>
      <c r="OBA252" s="4"/>
      <c r="OBB252" s="9"/>
      <c r="OBC252" s="4"/>
      <c r="OBD252" s="9"/>
      <c r="OBE252" s="4"/>
      <c r="OBF252" s="9"/>
      <c r="OBG252" s="4"/>
      <c r="OBH252" s="9"/>
      <c r="OBI252" s="4"/>
      <c r="OBJ252" s="9"/>
      <c r="OBK252" s="4"/>
      <c r="OBL252" s="9"/>
      <c r="OBM252" s="4"/>
      <c r="OBN252" s="9"/>
      <c r="OBO252" s="4"/>
      <c r="OBP252" s="9"/>
      <c r="OBQ252" s="4"/>
      <c r="OBR252" s="9"/>
      <c r="OBS252" s="4"/>
      <c r="OBT252" s="9"/>
      <c r="OBU252" s="4"/>
      <c r="OBV252" s="9"/>
      <c r="OBW252" s="4"/>
      <c r="OBX252" s="9"/>
      <c r="OBY252" s="4"/>
      <c r="OBZ252" s="9"/>
      <c r="OCA252" s="4"/>
      <c r="OCB252" s="9"/>
      <c r="OCC252" s="4"/>
      <c r="OCD252" s="9"/>
      <c r="OCE252" s="4"/>
      <c r="OCF252" s="9"/>
      <c r="OCG252" s="4"/>
      <c r="OCH252" s="9"/>
      <c r="OCI252" s="4"/>
      <c r="OCJ252" s="9"/>
      <c r="OCK252" s="4"/>
      <c r="OCL252" s="9"/>
      <c r="OCM252" s="4"/>
      <c r="OCN252" s="9"/>
      <c r="OCO252" s="4"/>
      <c r="OCP252" s="9"/>
      <c r="OCQ252" s="4"/>
      <c r="OCR252" s="9"/>
      <c r="OCS252" s="4"/>
      <c r="OCT252" s="9"/>
      <c r="OCU252" s="4"/>
      <c r="OCV252" s="9"/>
      <c r="OCW252" s="4"/>
      <c r="OCX252" s="9"/>
      <c r="OCY252" s="4"/>
      <c r="OCZ252" s="9"/>
      <c r="ODA252" s="4"/>
      <c r="ODB252" s="9"/>
      <c r="ODC252" s="4"/>
      <c r="ODD252" s="9"/>
      <c r="ODE252" s="4"/>
      <c r="ODF252" s="9"/>
      <c r="ODG252" s="4"/>
      <c r="ODH252" s="9"/>
      <c r="ODI252" s="4"/>
      <c r="ODJ252" s="9"/>
      <c r="ODK252" s="4"/>
      <c r="ODL252" s="9"/>
      <c r="ODM252" s="4"/>
      <c r="ODN252" s="9"/>
      <c r="ODO252" s="4"/>
      <c r="ODP252" s="9"/>
      <c r="ODQ252" s="4"/>
      <c r="ODR252" s="9"/>
      <c r="ODS252" s="4"/>
      <c r="ODT252" s="9"/>
      <c r="ODU252" s="4"/>
      <c r="ODV252" s="9"/>
      <c r="ODW252" s="4"/>
      <c r="ODX252" s="9"/>
      <c r="ODY252" s="4"/>
      <c r="ODZ252" s="9"/>
      <c r="OEA252" s="4"/>
      <c r="OEB252" s="9"/>
      <c r="OEC252" s="4"/>
      <c r="OED252" s="9"/>
      <c r="OEE252" s="4"/>
      <c r="OEF252" s="9"/>
      <c r="OEG252" s="4"/>
      <c r="OEH252" s="9"/>
      <c r="OEI252" s="4"/>
      <c r="OEJ252" s="9"/>
      <c r="OEK252" s="4"/>
      <c r="OEL252" s="9"/>
      <c r="OEM252" s="4"/>
      <c r="OEN252" s="9"/>
      <c r="OEO252" s="4"/>
      <c r="OEP252" s="9"/>
      <c r="OEQ252" s="4"/>
      <c r="OER252" s="9"/>
      <c r="OES252" s="4"/>
      <c r="OET252" s="9"/>
      <c r="OEU252" s="4"/>
      <c r="OEV252" s="9"/>
      <c r="OEW252" s="4"/>
      <c r="OEX252" s="9"/>
      <c r="OEY252" s="4"/>
      <c r="OEZ252" s="9"/>
      <c r="OFA252" s="4"/>
      <c r="OFB252" s="9"/>
      <c r="OFC252" s="4"/>
      <c r="OFD252" s="9"/>
      <c r="OFE252" s="4"/>
      <c r="OFF252" s="9"/>
      <c r="OFG252" s="4"/>
      <c r="OFH252" s="9"/>
      <c r="OFI252" s="4"/>
      <c r="OFJ252" s="9"/>
      <c r="OFK252" s="4"/>
      <c r="OFL252" s="9"/>
      <c r="OFM252" s="4"/>
      <c r="OFN252" s="9"/>
      <c r="OFO252" s="4"/>
      <c r="OFP252" s="9"/>
      <c r="OFQ252" s="4"/>
      <c r="OFR252" s="9"/>
      <c r="OFS252" s="4"/>
      <c r="OFT252" s="9"/>
      <c r="OFU252" s="4"/>
      <c r="OFV252" s="9"/>
      <c r="OFW252" s="4"/>
      <c r="OFX252" s="9"/>
      <c r="OFY252" s="4"/>
      <c r="OFZ252" s="9"/>
      <c r="OGA252" s="4"/>
      <c r="OGB252" s="9"/>
      <c r="OGC252" s="4"/>
      <c r="OGD252" s="9"/>
      <c r="OGE252" s="4"/>
      <c r="OGF252" s="9"/>
      <c r="OGG252" s="4"/>
      <c r="OGH252" s="9"/>
      <c r="OGI252" s="4"/>
      <c r="OGJ252" s="9"/>
      <c r="OGK252" s="4"/>
      <c r="OGL252" s="9"/>
      <c r="OGM252" s="4"/>
      <c r="OGN252" s="9"/>
      <c r="OGO252" s="4"/>
      <c r="OGP252" s="9"/>
      <c r="OGQ252" s="4"/>
      <c r="OGR252" s="9"/>
      <c r="OGS252" s="4"/>
      <c r="OGT252" s="9"/>
      <c r="OGU252" s="4"/>
      <c r="OGV252" s="9"/>
      <c r="OGW252" s="4"/>
      <c r="OGX252" s="9"/>
      <c r="OGY252" s="4"/>
      <c r="OGZ252" s="9"/>
      <c r="OHA252" s="4"/>
      <c r="OHB252" s="9"/>
      <c r="OHC252" s="4"/>
      <c r="OHD252" s="9"/>
      <c r="OHE252" s="4"/>
      <c r="OHF252" s="9"/>
      <c r="OHG252" s="4"/>
      <c r="OHH252" s="9"/>
      <c r="OHI252" s="4"/>
      <c r="OHJ252" s="9"/>
      <c r="OHK252" s="4"/>
      <c r="OHL252" s="9"/>
      <c r="OHM252" s="4"/>
      <c r="OHN252" s="9"/>
      <c r="OHO252" s="4"/>
      <c r="OHP252" s="9"/>
      <c r="OHQ252" s="4"/>
      <c r="OHR252" s="9"/>
      <c r="OHS252" s="4"/>
      <c r="OHT252" s="9"/>
      <c r="OHU252" s="4"/>
      <c r="OHV252" s="9"/>
      <c r="OHW252" s="4"/>
      <c r="OHX252" s="9"/>
      <c r="OHY252" s="4"/>
      <c r="OHZ252" s="9"/>
      <c r="OIA252" s="4"/>
      <c r="OIB252" s="9"/>
      <c r="OIC252" s="4"/>
      <c r="OID252" s="9"/>
      <c r="OIE252" s="4"/>
      <c r="OIF252" s="9"/>
      <c r="OIG252" s="4"/>
      <c r="OIH252" s="9"/>
      <c r="OII252" s="4"/>
      <c r="OIJ252" s="9"/>
      <c r="OIK252" s="4"/>
      <c r="OIL252" s="9"/>
      <c r="OIM252" s="4"/>
      <c r="OIN252" s="9"/>
      <c r="OIO252" s="4"/>
      <c r="OIP252" s="9"/>
      <c r="OIQ252" s="4"/>
      <c r="OIR252" s="9"/>
      <c r="OIS252" s="4"/>
      <c r="OIT252" s="9"/>
      <c r="OIU252" s="4"/>
      <c r="OIV252" s="9"/>
      <c r="OIW252" s="4"/>
      <c r="OIX252" s="9"/>
      <c r="OIY252" s="4"/>
      <c r="OIZ252" s="9"/>
      <c r="OJA252" s="4"/>
      <c r="OJB252" s="9"/>
      <c r="OJC252" s="4"/>
      <c r="OJD252" s="9"/>
      <c r="OJE252" s="4"/>
      <c r="OJF252" s="9"/>
      <c r="OJG252" s="4"/>
      <c r="OJH252" s="9"/>
      <c r="OJI252" s="4"/>
      <c r="OJJ252" s="9"/>
      <c r="OJK252" s="4"/>
      <c r="OJL252" s="9"/>
      <c r="OJM252" s="4"/>
      <c r="OJN252" s="9"/>
      <c r="OJO252" s="4"/>
      <c r="OJP252" s="9"/>
      <c r="OJQ252" s="4"/>
      <c r="OJR252" s="9"/>
      <c r="OJS252" s="4"/>
      <c r="OJT252" s="9"/>
      <c r="OJU252" s="4"/>
      <c r="OJV252" s="9"/>
      <c r="OJW252" s="4"/>
      <c r="OJX252" s="9"/>
      <c r="OJY252" s="4"/>
      <c r="OJZ252" s="9"/>
      <c r="OKA252" s="4"/>
      <c r="OKB252" s="9"/>
      <c r="OKC252" s="4"/>
      <c r="OKD252" s="9"/>
      <c r="OKE252" s="4"/>
      <c r="OKF252" s="9"/>
      <c r="OKG252" s="4"/>
      <c r="OKH252" s="9"/>
      <c r="OKI252" s="4"/>
      <c r="OKJ252" s="9"/>
      <c r="OKK252" s="4"/>
      <c r="OKL252" s="9"/>
      <c r="OKM252" s="4"/>
      <c r="OKN252" s="9"/>
      <c r="OKO252" s="4"/>
      <c r="OKP252" s="9"/>
      <c r="OKQ252" s="4"/>
      <c r="OKR252" s="9"/>
      <c r="OKS252" s="4"/>
      <c r="OKT252" s="9"/>
      <c r="OKU252" s="4"/>
      <c r="OKV252" s="9"/>
      <c r="OKW252" s="4"/>
      <c r="OKX252" s="9"/>
      <c r="OKY252" s="4"/>
      <c r="OKZ252" s="9"/>
      <c r="OLA252" s="4"/>
      <c r="OLB252" s="9"/>
      <c r="OLC252" s="4"/>
      <c r="OLD252" s="9"/>
      <c r="OLE252" s="4"/>
      <c r="OLF252" s="9"/>
      <c r="OLG252" s="4"/>
      <c r="OLH252" s="9"/>
      <c r="OLI252" s="4"/>
      <c r="OLJ252" s="9"/>
      <c r="OLK252" s="4"/>
      <c r="OLL252" s="9"/>
      <c r="OLM252" s="4"/>
      <c r="OLN252" s="9"/>
      <c r="OLO252" s="4"/>
      <c r="OLP252" s="9"/>
      <c r="OLQ252" s="4"/>
      <c r="OLR252" s="9"/>
      <c r="OLS252" s="4"/>
      <c r="OLT252" s="9"/>
      <c r="OLU252" s="4"/>
      <c r="OLV252" s="9"/>
      <c r="OLW252" s="4"/>
      <c r="OLX252" s="9"/>
      <c r="OLY252" s="4"/>
      <c r="OLZ252" s="9"/>
      <c r="OMA252" s="4"/>
      <c r="OMB252" s="9"/>
      <c r="OMC252" s="4"/>
      <c r="OMD252" s="9"/>
      <c r="OME252" s="4"/>
      <c r="OMF252" s="9"/>
      <c r="OMG252" s="4"/>
      <c r="OMH252" s="9"/>
      <c r="OMI252" s="4"/>
      <c r="OMJ252" s="9"/>
      <c r="OMK252" s="4"/>
      <c r="OML252" s="9"/>
      <c r="OMM252" s="4"/>
      <c r="OMN252" s="9"/>
      <c r="OMO252" s="4"/>
      <c r="OMP252" s="9"/>
      <c r="OMQ252" s="4"/>
      <c r="OMR252" s="9"/>
      <c r="OMS252" s="4"/>
      <c r="OMT252" s="9"/>
      <c r="OMU252" s="4"/>
      <c r="OMV252" s="9"/>
      <c r="OMW252" s="4"/>
      <c r="OMX252" s="9"/>
      <c r="OMY252" s="4"/>
      <c r="OMZ252" s="9"/>
      <c r="ONA252" s="4"/>
      <c r="ONB252" s="9"/>
      <c r="ONC252" s="4"/>
      <c r="OND252" s="9"/>
      <c r="ONE252" s="4"/>
      <c r="ONF252" s="9"/>
      <c r="ONG252" s="4"/>
      <c r="ONH252" s="9"/>
      <c r="ONI252" s="4"/>
      <c r="ONJ252" s="9"/>
      <c r="ONK252" s="4"/>
      <c r="ONL252" s="9"/>
      <c r="ONM252" s="4"/>
      <c r="ONN252" s="9"/>
      <c r="ONO252" s="4"/>
      <c r="ONP252" s="9"/>
      <c r="ONQ252" s="4"/>
      <c r="ONR252" s="9"/>
      <c r="ONS252" s="4"/>
      <c r="ONT252" s="9"/>
      <c r="ONU252" s="4"/>
      <c r="ONV252" s="9"/>
      <c r="ONW252" s="4"/>
      <c r="ONX252" s="9"/>
      <c r="ONY252" s="4"/>
      <c r="ONZ252" s="9"/>
      <c r="OOA252" s="4"/>
      <c r="OOB252" s="9"/>
      <c r="OOC252" s="4"/>
      <c r="OOD252" s="9"/>
      <c r="OOE252" s="4"/>
      <c r="OOF252" s="9"/>
      <c r="OOG252" s="4"/>
      <c r="OOH252" s="9"/>
      <c r="OOI252" s="4"/>
      <c r="OOJ252" s="9"/>
      <c r="OOK252" s="4"/>
      <c r="OOL252" s="9"/>
      <c r="OOM252" s="4"/>
      <c r="OON252" s="9"/>
      <c r="OOO252" s="4"/>
      <c r="OOP252" s="9"/>
      <c r="OOQ252" s="4"/>
      <c r="OOR252" s="9"/>
      <c r="OOS252" s="4"/>
      <c r="OOT252" s="9"/>
      <c r="OOU252" s="4"/>
      <c r="OOV252" s="9"/>
      <c r="OOW252" s="4"/>
      <c r="OOX252" s="9"/>
      <c r="OOY252" s="4"/>
      <c r="OOZ252" s="9"/>
      <c r="OPA252" s="4"/>
      <c r="OPB252" s="9"/>
      <c r="OPC252" s="4"/>
      <c r="OPD252" s="9"/>
      <c r="OPE252" s="4"/>
      <c r="OPF252" s="9"/>
      <c r="OPG252" s="4"/>
      <c r="OPH252" s="9"/>
      <c r="OPI252" s="4"/>
      <c r="OPJ252" s="9"/>
      <c r="OPK252" s="4"/>
      <c r="OPL252" s="9"/>
      <c r="OPM252" s="4"/>
      <c r="OPN252" s="9"/>
      <c r="OPO252" s="4"/>
      <c r="OPP252" s="9"/>
      <c r="OPQ252" s="4"/>
      <c r="OPR252" s="9"/>
      <c r="OPS252" s="4"/>
      <c r="OPT252" s="9"/>
      <c r="OPU252" s="4"/>
      <c r="OPV252" s="9"/>
      <c r="OPW252" s="4"/>
      <c r="OPX252" s="9"/>
      <c r="OPY252" s="4"/>
      <c r="OPZ252" s="9"/>
      <c r="OQA252" s="4"/>
      <c r="OQB252" s="9"/>
      <c r="OQC252" s="4"/>
      <c r="OQD252" s="9"/>
      <c r="OQE252" s="4"/>
      <c r="OQF252" s="9"/>
      <c r="OQG252" s="4"/>
      <c r="OQH252" s="9"/>
      <c r="OQI252" s="4"/>
      <c r="OQJ252" s="9"/>
      <c r="OQK252" s="4"/>
      <c r="OQL252" s="9"/>
      <c r="OQM252" s="4"/>
      <c r="OQN252" s="9"/>
      <c r="OQO252" s="4"/>
      <c r="OQP252" s="9"/>
      <c r="OQQ252" s="4"/>
      <c r="OQR252" s="9"/>
      <c r="OQS252" s="4"/>
      <c r="OQT252" s="9"/>
      <c r="OQU252" s="4"/>
      <c r="OQV252" s="9"/>
      <c r="OQW252" s="4"/>
      <c r="OQX252" s="9"/>
      <c r="OQY252" s="4"/>
      <c r="OQZ252" s="9"/>
      <c r="ORA252" s="4"/>
      <c r="ORB252" s="9"/>
      <c r="ORC252" s="4"/>
      <c r="ORD252" s="9"/>
      <c r="ORE252" s="4"/>
      <c r="ORF252" s="9"/>
      <c r="ORG252" s="4"/>
      <c r="ORH252" s="9"/>
      <c r="ORI252" s="4"/>
      <c r="ORJ252" s="9"/>
      <c r="ORK252" s="4"/>
      <c r="ORL252" s="9"/>
      <c r="ORM252" s="4"/>
      <c r="ORN252" s="9"/>
      <c r="ORO252" s="4"/>
      <c r="ORP252" s="9"/>
      <c r="ORQ252" s="4"/>
      <c r="ORR252" s="9"/>
      <c r="ORS252" s="4"/>
      <c r="ORT252" s="9"/>
      <c r="ORU252" s="4"/>
      <c r="ORV252" s="9"/>
      <c r="ORW252" s="4"/>
      <c r="ORX252" s="9"/>
      <c r="ORY252" s="4"/>
      <c r="ORZ252" s="9"/>
      <c r="OSA252" s="4"/>
      <c r="OSB252" s="9"/>
      <c r="OSC252" s="4"/>
      <c r="OSD252" s="9"/>
      <c r="OSE252" s="4"/>
      <c r="OSF252" s="9"/>
      <c r="OSG252" s="4"/>
      <c r="OSH252" s="9"/>
      <c r="OSI252" s="4"/>
      <c r="OSJ252" s="9"/>
      <c r="OSK252" s="4"/>
      <c r="OSL252" s="9"/>
      <c r="OSM252" s="4"/>
      <c r="OSN252" s="9"/>
      <c r="OSO252" s="4"/>
      <c r="OSP252" s="9"/>
      <c r="OSQ252" s="4"/>
      <c r="OSR252" s="9"/>
      <c r="OSS252" s="4"/>
      <c r="OST252" s="9"/>
      <c r="OSU252" s="4"/>
      <c r="OSV252" s="9"/>
      <c r="OSW252" s="4"/>
      <c r="OSX252" s="9"/>
      <c r="OSY252" s="4"/>
      <c r="OSZ252" s="9"/>
      <c r="OTA252" s="4"/>
      <c r="OTB252" s="9"/>
      <c r="OTC252" s="4"/>
      <c r="OTD252" s="9"/>
      <c r="OTE252" s="4"/>
      <c r="OTF252" s="9"/>
      <c r="OTG252" s="4"/>
      <c r="OTH252" s="9"/>
      <c r="OTI252" s="4"/>
      <c r="OTJ252" s="9"/>
      <c r="OTK252" s="4"/>
      <c r="OTL252" s="9"/>
      <c r="OTM252" s="4"/>
      <c r="OTN252" s="9"/>
      <c r="OTO252" s="4"/>
      <c r="OTP252" s="9"/>
      <c r="OTQ252" s="4"/>
      <c r="OTR252" s="9"/>
      <c r="OTS252" s="4"/>
      <c r="OTT252" s="9"/>
      <c r="OTU252" s="4"/>
      <c r="OTV252" s="9"/>
      <c r="OTW252" s="4"/>
      <c r="OTX252" s="9"/>
      <c r="OTY252" s="4"/>
      <c r="OTZ252" s="9"/>
      <c r="OUA252" s="4"/>
      <c r="OUB252" s="9"/>
      <c r="OUC252" s="4"/>
      <c r="OUD252" s="9"/>
      <c r="OUE252" s="4"/>
      <c r="OUF252" s="9"/>
      <c r="OUG252" s="4"/>
      <c r="OUH252" s="9"/>
      <c r="OUI252" s="4"/>
      <c r="OUJ252" s="9"/>
      <c r="OUK252" s="4"/>
      <c r="OUL252" s="9"/>
      <c r="OUM252" s="4"/>
      <c r="OUN252" s="9"/>
      <c r="OUO252" s="4"/>
      <c r="OUP252" s="9"/>
      <c r="OUQ252" s="4"/>
      <c r="OUR252" s="9"/>
      <c r="OUS252" s="4"/>
      <c r="OUT252" s="9"/>
      <c r="OUU252" s="4"/>
      <c r="OUV252" s="9"/>
      <c r="OUW252" s="4"/>
      <c r="OUX252" s="9"/>
      <c r="OUY252" s="4"/>
      <c r="OUZ252" s="9"/>
      <c r="OVA252" s="4"/>
      <c r="OVB252" s="9"/>
      <c r="OVC252" s="4"/>
      <c r="OVD252" s="9"/>
      <c r="OVE252" s="4"/>
      <c r="OVF252" s="9"/>
      <c r="OVG252" s="4"/>
      <c r="OVH252" s="9"/>
      <c r="OVI252" s="4"/>
      <c r="OVJ252" s="9"/>
      <c r="OVK252" s="4"/>
      <c r="OVL252" s="9"/>
      <c r="OVM252" s="4"/>
      <c r="OVN252" s="9"/>
      <c r="OVO252" s="4"/>
      <c r="OVP252" s="9"/>
      <c r="OVQ252" s="4"/>
      <c r="OVR252" s="9"/>
      <c r="OVS252" s="4"/>
      <c r="OVT252" s="9"/>
      <c r="OVU252" s="4"/>
      <c r="OVV252" s="9"/>
      <c r="OVW252" s="4"/>
      <c r="OVX252" s="9"/>
      <c r="OVY252" s="4"/>
      <c r="OVZ252" s="9"/>
      <c r="OWA252" s="4"/>
      <c r="OWB252" s="9"/>
      <c r="OWC252" s="4"/>
      <c r="OWD252" s="9"/>
      <c r="OWE252" s="4"/>
      <c r="OWF252" s="9"/>
      <c r="OWG252" s="4"/>
      <c r="OWH252" s="9"/>
      <c r="OWI252" s="4"/>
      <c r="OWJ252" s="9"/>
      <c r="OWK252" s="4"/>
      <c r="OWL252" s="9"/>
      <c r="OWM252" s="4"/>
      <c r="OWN252" s="9"/>
      <c r="OWO252" s="4"/>
      <c r="OWP252" s="9"/>
      <c r="OWQ252" s="4"/>
      <c r="OWR252" s="9"/>
      <c r="OWS252" s="4"/>
      <c r="OWT252" s="9"/>
      <c r="OWU252" s="4"/>
      <c r="OWV252" s="9"/>
      <c r="OWW252" s="4"/>
      <c r="OWX252" s="9"/>
      <c r="OWY252" s="4"/>
      <c r="OWZ252" s="9"/>
      <c r="OXA252" s="4"/>
      <c r="OXB252" s="9"/>
      <c r="OXC252" s="4"/>
      <c r="OXD252" s="9"/>
      <c r="OXE252" s="4"/>
      <c r="OXF252" s="9"/>
      <c r="OXG252" s="4"/>
      <c r="OXH252" s="9"/>
      <c r="OXI252" s="4"/>
      <c r="OXJ252" s="9"/>
      <c r="OXK252" s="4"/>
      <c r="OXL252" s="9"/>
      <c r="OXM252" s="4"/>
      <c r="OXN252" s="9"/>
      <c r="OXO252" s="4"/>
      <c r="OXP252" s="9"/>
      <c r="OXQ252" s="4"/>
      <c r="OXR252" s="9"/>
      <c r="OXS252" s="4"/>
      <c r="OXT252" s="9"/>
      <c r="OXU252" s="4"/>
      <c r="OXV252" s="9"/>
      <c r="OXW252" s="4"/>
      <c r="OXX252" s="9"/>
      <c r="OXY252" s="4"/>
      <c r="OXZ252" s="9"/>
      <c r="OYA252" s="4"/>
      <c r="OYB252" s="9"/>
      <c r="OYC252" s="4"/>
      <c r="OYD252" s="9"/>
      <c r="OYE252" s="4"/>
      <c r="OYF252" s="9"/>
      <c r="OYG252" s="4"/>
      <c r="OYH252" s="9"/>
      <c r="OYI252" s="4"/>
      <c r="OYJ252" s="9"/>
      <c r="OYK252" s="4"/>
      <c r="OYL252" s="9"/>
      <c r="OYM252" s="4"/>
      <c r="OYN252" s="9"/>
      <c r="OYO252" s="4"/>
      <c r="OYP252" s="9"/>
      <c r="OYQ252" s="4"/>
      <c r="OYR252" s="9"/>
      <c r="OYS252" s="4"/>
      <c r="OYT252" s="9"/>
      <c r="OYU252" s="4"/>
      <c r="OYV252" s="9"/>
      <c r="OYW252" s="4"/>
      <c r="OYX252" s="9"/>
      <c r="OYY252" s="4"/>
      <c r="OYZ252" s="9"/>
      <c r="OZA252" s="4"/>
      <c r="OZB252" s="9"/>
      <c r="OZC252" s="4"/>
      <c r="OZD252" s="9"/>
      <c r="OZE252" s="4"/>
      <c r="OZF252" s="9"/>
      <c r="OZG252" s="4"/>
      <c r="OZH252" s="9"/>
      <c r="OZI252" s="4"/>
      <c r="OZJ252" s="9"/>
      <c r="OZK252" s="4"/>
      <c r="OZL252" s="9"/>
      <c r="OZM252" s="4"/>
      <c r="OZN252" s="9"/>
      <c r="OZO252" s="4"/>
      <c r="OZP252" s="9"/>
      <c r="OZQ252" s="4"/>
      <c r="OZR252" s="9"/>
      <c r="OZS252" s="4"/>
      <c r="OZT252" s="9"/>
      <c r="OZU252" s="4"/>
      <c r="OZV252" s="9"/>
      <c r="OZW252" s="4"/>
      <c r="OZX252" s="9"/>
      <c r="OZY252" s="4"/>
      <c r="OZZ252" s="9"/>
      <c r="PAA252" s="4"/>
      <c r="PAB252" s="9"/>
      <c r="PAC252" s="4"/>
      <c r="PAD252" s="9"/>
      <c r="PAE252" s="4"/>
      <c r="PAF252" s="9"/>
      <c r="PAG252" s="4"/>
      <c r="PAH252" s="9"/>
      <c r="PAI252" s="4"/>
      <c r="PAJ252" s="9"/>
      <c r="PAK252" s="4"/>
      <c r="PAL252" s="9"/>
      <c r="PAM252" s="4"/>
      <c r="PAN252" s="9"/>
      <c r="PAO252" s="4"/>
      <c r="PAP252" s="9"/>
      <c r="PAQ252" s="4"/>
      <c r="PAR252" s="9"/>
      <c r="PAS252" s="4"/>
      <c r="PAT252" s="9"/>
      <c r="PAU252" s="4"/>
      <c r="PAV252" s="9"/>
      <c r="PAW252" s="4"/>
      <c r="PAX252" s="9"/>
      <c r="PAY252" s="4"/>
      <c r="PAZ252" s="9"/>
      <c r="PBA252" s="4"/>
      <c r="PBB252" s="9"/>
      <c r="PBC252" s="4"/>
      <c r="PBD252" s="9"/>
      <c r="PBE252" s="4"/>
      <c r="PBF252" s="9"/>
      <c r="PBG252" s="4"/>
      <c r="PBH252" s="9"/>
      <c r="PBI252" s="4"/>
      <c r="PBJ252" s="9"/>
      <c r="PBK252" s="4"/>
      <c r="PBL252" s="9"/>
      <c r="PBM252" s="4"/>
      <c r="PBN252" s="9"/>
      <c r="PBO252" s="4"/>
      <c r="PBP252" s="9"/>
      <c r="PBQ252" s="4"/>
      <c r="PBR252" s="9"/>
      <c r="PBS252" s="4"/>
      <c r="PBT252" s="9"/>
      <c r="PBU252" s="4"/>
      <c r="PBV252" s="9"/>
      <c r="PBW252" s="4"/>
      <c r="PBX252" s="9"/>
      <c r="PBY252" s="4"/>
      <c r="PBZ252" s="9"/>
      <c r="PCA252" s="4"/>
      <c r="PCB252" s="9"/>
      <c r="PCC252" s="4"/>
      <c r="PCD252" s="9"/>
      <c r="PCE252" s="4"/>
      <c r="PCF252" s="9"/>
      <c r="PCG252" s="4"/>
      <c r="PCH252" s="9"/>
      <c r="PCI252" s="4"/>
      <c r="PCJ252" s="9"/>
      <c r="PCK252" s="4"/>
      <c r="PCL252" s="9"/>
      <c r="PCM252" s="4"/>
      <c r="PCN252" s="9"/>
      <c r="PCO252" s="4"/>
      <c r="PCP252" s="9"/>
      <c r="PCQ252" s="4"/>
      <c r="PCR252" s="9"/>
      <c r="PCS252" s="4"/>
      <c r="PCT252" s="9"/>
      <c r="PCU252" s="4"/>
      <c r="PCV252" s="9"/>
      <c r="PCW252" s="4"/>
      <c r="PCX252" s="9"/>
      <c r="PCY252" s="4"/>
      <c r="PCZ252" s="9"/>
      <c r="PDA252" s="4"/>
      <c r="PDB252" s="9"/>
      <c r="PDC252" s="4"/>
      <c r="PDD252" s="9"/>
      <c r="PDE252" s="4"/>
      <c r="PDF252" s="9"/>
      <c r="PDG252" s="4"/>
      <c r="PDH252" s="9"/>
      <c r="PDI252" s="4"/>
      <c r="PDJ252" s="9"/>
      <c r="PDK252" s="4"/>
      <c r="PDL252" s="9"/>
      <c r="PDM252" s="4"/>
      <c r="PDN252" s="9"/>
      <c r="PDO252" s="4"/>
      <c r="PDP252" s="9"/>
      <c r="PDQ252" s="4"/>
      <c r="PDR252" s="9"/>
      <c r="PDS252" s="4"/>
      <c r="PDT252" s="9"/>
      <c r="PDU252" s="4"/>
      <c r="PDV252" s="9"/>
      <c r="PDW252" s="4"/>
      <c r="PDX252" s="9"/>
      <c r="PDY252" s="4"/>
      <c r="PDZ252" s="9"/>
      <c r="PEA252" s="4"/>
      <c r="PEB252" s="9"/>
      <c r="PEC252" s="4"/>
      <c r="PED252" s="9"/>
      <c r="PEE252" s="4"/>
      <c r="PEF252" s="9"/>
      <c r="PEG252" s="4"/>
      <c r="PEH252" s="9"/>
      <c r="PEI252" s="4"/>
      <c r="PEJ252" s="9"/>
      <c r="PEK252" s="4"/>
      <c r="PEL252" s="9"/>
      <c r="PEM252" s="4"/>
      <c r="PEN252" s="9"/>
      <c r="PEO252" s="4"/>
      <c r="PEP252" s="9"/>
      <c r="PEQ252" s="4"/>
      <c r="PER252" s="9"/>
      <c r="PES252" s="4"/>
      <c r="PET252" s="9"/>
      <c r="PEU252" s="4"/>
      <c r="PEV252" s="9"/>
      <c r="PEW252" s="4"/>
      <c r="PEX252" s="9"/>
      <c r="PEY252" s="4"/>
      <c r="PEZ252" s="9"/>
      <c r="PFA252" s="4"/>
      <c r="PFB252" s="9"/>
      <c r="PFC252" s="4"/>
      <c r="PFD252" s="9"/>
      <c r="PFE252" s="4"/>
      <c r="PFF252" s="9"/>
      <c r="PFG252" s="4"/>
      <c r="PFH252" s="9"/>
      <c r="PFI252" s="4"/>
      <c r="PFJ252" s="9"/>
      <c r="PFK252" s="4"/>
      <c r="PFL252" s="9"/>
      <c r="PFM252" s="4"/>
      <c r="PFN252" s="9"/>
      <c r="PFO252" s="4"/>
      <c r="PFP252" s="9"/>
      <c r="PFQ252" s="4"/>
      <c r="PFR252" s="9"/>
      <c r="PFS252" s="4"/>
      <c r="PFT252" s="9"/>
      <c r="PFU252" s="4"/>
      <c r="PFV252" s="9"/>
      <c r="PFW252" s="4"/>
      <c r="PFX252" s="9"/>
      <c r="PFY252" s="4"/>
      <c r="PFZ252" s="9"/>
      <c r="PGA252" s="4"/>
      <c r="PGB252" s="9"/>
      <c r="PGC252" s="4"/>
      <c r="PGD252" s="9"/>
      <c r="PGE252" s="4"/>
      <c r="PGF252" s="9"/>
      <c r="PGG252" s="4"/>
      <c r="PGH252" s="9"/>
      <c r="PGI252" s="4"/>
      <c r="PGJ252" s="9"/>
      <c r="PGK252" s="4"/>
      <c r="PGL252" s="9"/>
      <c r="PGM252" s="4"/>
      <c r="PGN252" s="9"/>
      <c r="PGO252" s="4"/>
      <c r="PGP252" s="9"/>
      <c r="PGQ252" s="4"/>
      <c r="PGR252" s="9"/>
      <c r="PGS252" s="4"/>
      <c r="PGT252" s="9"/>
      <c r="PGU252" s="4"/>
      <c r="PGV252" s="9"/>
      <c r="PGW252" s="4"/>
      <c r="PGX252" s="9"/>
      <c r="PGY252" s="4"/>
      <c r="PGZ252" s="9"/>
      <c r="PHA252" s="4"/>
      <c r="PHB252" s="9"/>
      <c r="PHC252" s="4"/>
      <c r="PHD252" s="9"/>
      <c r="PHE252" s="4"/>
      <c r="PHF252" s="9"/>
      <c r="PHG252" s="4"/>
      <c r="PHH252" s="9"/>
      <c r="PHI252" s="4"/>
      <c r="PHJ252" s="9"/>
      <c r="PHK252" s="4"/>
      <c r="PHL252" s="9"/>
      <c r="PHM252" s="4"/>
      <c r="PHN252" s="9"/>
      <c r="PHO252" s="4"/>
      <c r="PHP252" s="9"/>
      <c r="PHQ252" s="4"/>
      <c r="PHR252" s="9"/>
      <c r="PHS252" s="4"/>
      <c r="PHT252" s="9"/>
      <c r="PHU252" s="4"/>
      <c r="PHV252" s="9"/>
      <c r="PHW252" s="4"/>
      <c r="PHX252" s="9"/>
      <c r="PHY252" s="4"/>
      <c r="PHZ252" s="9"/>
      <c r="PIA252" s="4"/>
      <c r="PIB252" s="9"/>
      <c r="PIC252" s="4"/>
      <c r="PID252" s="9"/>
      <c r="PIE252" s="4"/>
      <c r="PIF252" s="9"/>
      <c r="PIG252" s="4"/>
      <c r="PIH252" s="9"/>
      <c r="PII252" s="4"/>
      <c r="PIJ252" s="9"/>
      <c r="PIK252" s="4"/>
      <c r="PIL252" s="9"/>
      <c r="PIM252" s="4"/>
      <c r="PIN252" s="9"/>
      <c r="PIO252" s="4"/>
      <c r="PIP252" s="9"/>
      <c r="PIQ252" s="4"/>
      <c r="PIR252" s="9"/>
      <c r="PIS252" s="4"/>
      <c r="PIT252" s="9"/>
      <c r="PIU252" s="4"/>
      <c r="PIV252" s="9"/>
      <c r="PIW252" s="4"/>
      <c r="PIX252" s="9"/>
      <c r="PIY252" s="4"/>
      <c r="PIZ252" s="9"/>
      <c r="PJA252" s="4"/>
      <c r="PJB252" s="9"/>
      <c r="PJC252" s="4"/>
      <c r="PJD252" s="9"/>
      <c r="PJE252" s="4"/>
      <c r="PJF252" s="9"/>
      <c r="PJG252" s="4"/>
      <c r="PJH252" s="9"/>
      <c r="PJI252" s="4"/>
      <c r="PJJ252" s="9"/>
      <c r="PJK252" s="4"/>
      <c r="PJL252" s="9"/>
      <c r="PJM252" s="4"/>
      <c r="PJN252" s="9"/>
      <c r="PJO252" s="4"/>
      <c r="PJP252" s="9"/>
      <c r="PJQ252" s="4"/>
      <c r="PJR252" s="9"/>
      <c r="PJS252" s="4"/>
      <c r="PJT252" s="9"/>
      <c r="PJU252" s="4"/>
      <c r="PJV252" s="9"/>
      <c r="PJW252" s="4"/>
      <c r="PJX252" s="9"/>
      <c r="PJY252" s="4"/>
      <c r="PJZ252" s="9"/>
      <c r="PKA252" s="4"/>
      <c r="PKB252" s="9"/>
      <c r="PKC252" s="4"/>
      <c r="PKD252" s="9"/>
      <c r="PKE252" s="4"/>
      <c r="PKF252" s="9"/>
      <c r="PKG252" s="4"/>
      <c r="PKH252" s="9"/>
      <c r="PKI252" s="4"/>
      <c r="PKJ252" s="9"/>
      <c r="PKK252" s="4"/>
      <c r="PKL252" s="9"/>
      <c r="PKM252" s="4"/>
      <c r="PKN252" s="9"/>
      <c r="PKO252" s="4"/>
      <c r="PKP252" s="9"/>
      <c r="PKQ252" s="4"/>
      <c r="PKR252" s="9"/>
      <c r="PKS252" s="4"/>
      <c r="PKT252" s="9"/>
      <c r="PKU252" s="4"/>
      <c r="PKV252" s="9"/>
      <c r="PKW252" s="4"/>
      <c r="PKX252" s="9"/>
      <c r="PKY252" s="4"/>
      <c r="PKZ252" s="9"/>
      <c r="PLA252" s="4"/>
      <c r="PLB252" s="9"/>
      <c r="PLC252" s="4"/>
      <c r="PLD252" s="9"/>
      <c r="PLE252" s="4"/>
      <c r="PLF252" s="9"/>
      <c r="PLG252" s="4"/>
      <c r="PLH252" s="9"/>
      <c r="PLI252" s="4"/>
      <c r="PLJ252" s="9"/>
      <c r="PLK252" s="4"/>
      <c r="PLL252" s="9"/>
      <c r="PLM252" s="4"/>
      <c r="PLN252" s="9"/>
      <c r="PLO252" s="4"/>
      <c r="PLP252" s="9"/>
      <c r="PLQ252" s="4"/>
      <c r="PLR252" s="9"/>
      <c r="PLS252" s="4"/>
      <c r="PLT252" s="9"/>
      <c r="PLU252" s="4"/>
      <c r="PLV252" s="9"/>
      <c r="PLW252" s="4"/>
      <c r="PLX252" s="9"/>
      <c r="PLY252" s="4"/>
      <c r="PLZ252" s="9"/>
      <c r="PMA252" s="4"/>
      <c r="PMB252" s="9"/>
      <c r="PMC252" s="4"/>
      <c r="PMD252" s="9"/>
      <c r="PME252" s="4"/>
      <c r="PMF252" s="9"/>
      <c r="PMG252" s="4"/>
      <c r="PMH252" s="9"/>
      <c r="PMI252" s="4"/>
      <c r="PMJ252" s="9"/>
      <c r="PMK252" s="4"/>
      <c r="PML252" s="9"/>
      <c r="PMM252" s="4"/>
      <c r="PMN252" s="9"/>
      <c r="PMO252" s="4"/>
      <c r="PMP252" s="9"/>
      <c r="PMQ252" s="4"/>
      <c r="PMR252" s="9"/>
      <c r="PMS252" s="4"/>
      <c r="PMT252" s="9"/>
      <c r="PMU252" s="4"/>
      <c r="PMV252" s="9"/>
      <c r="PMW252" s="4"/>
      <c r="PMX252" s="9"/>
      <c r="PMY252" s="4"/>
      <c r="PMZ252" s="9"/>
      <c r="PNA252" s="4"/>
      <c r="PNB252" s="9"/>
      <c r="PNC252" s="4"/>
      <c r="PND252" s="9"/>
      <c r="PNE252" s="4"/>
      <c r="PNF252" s="9"/>
      <c r="PNG252" s="4"/>
      <c r="PNH252" s="9"/>
      <c r="PNI252" s="4"/>
      <c r="PNJ252" s="9"/>
      <c r="PNK252" s="4"/>
      <c r="PNL252" s="9"/>
      <c r="PNM252" s="4"/>
      <c r="PNN252" s="9"/>
      <c r="PNO252" s="4"/>
      <c r="PNP252" s="9"/>
      <c r="PNQ252" s="4"/>
      <c r="PNR252" s="9"/>
      <c r="PNS252" s="4"/>
      <c r="PNT252" s="9"/>
      <c r="PNU252" s="4"/>
      <c r="PNV252" s="9"/>
      <c r="PNW252" s="4"/>
      <c r="PNX252" s="9"/>
      <c r="PNY252" s="4"/>
      <c r="PNZ252" s="9"/>
      <c r="POA252" s="4"/>
      <c r="POB252" s="9"/>
      <c r="POC252" s="4"/>
      <c r="POD252" s="9"/>
      <c r="POE252" s="4"/>
      <c r="POF252" s="9"/>
      <c r="POG252" s="4"/>
      <c r="POH252" s="9"/>
      <c r="POI252" s="4"/>
      <c r="POJ252" s="9"/>
      <c r="POK252" s="4"/>
      <c r="POL252" s="9"/>
      <c r="POM252" s="4"/>
      <c r="PON252" s="9"/>
      <c r="POO252" s="4"/>
      <c r="POP252" s="9"/>
      <c r="POQ252" s="4"/>
      <c r="POR252" s="9"/>
      <c r="POS252" s="4"/>
      <c r="POT252" s="9"/>
      <c r="POU252" s="4"/>
      <c r="POV252" s="9"/>
      <c r="POW252" s="4"/>
      <c r="POX252" s="9"/>
      <c r="POY252" s="4"/>
      <c r="POZ252" s="9"/>
      <c r="PPA252" s="4"/>
      <c r="PPB252" s="9"/>
      <c r="PPC252" s="4"/>
      <c r="PPD252" s="9"/>
      <c r="PPE252" s="4"/>
      <c r="PPF252" s="9"/>
      <c r="PPG252" s="4"/>
      <c r="PPH252" s="9"/>
      <c r="PPI252" s="4"/>
      <c r="PPJ252" s="9"/>
      <c r="PPK252" s="4"/>
      <c r="PPL252" s="9"/>
      <c r="PPM252" s="4"/>
      <c r="PPN252" s="9"/>
      <c r="PPO252" s="4"/>
      <c r="PPP252" s="9"/>
      <c r="PPQ252" s="4"/>
      <c r="PPR252" s="9"/>
      <c r="PPS252" s="4"/>
      <c r="PPT252" s="9"/>
      <c r="PPU252" s="4"/>
      <c r="PPV252" s="9"/>
      <c r="PPW252" s="4"/>
      <c r="PPX252" s="9"/>
      <c r="PPY252" s="4"/>
      <c r="PPZ252" s="9"/>
      <c r="PQA252" s="4"/>
      <c r="PQB252" s="9"/>
      <c r="PQC252" s="4"/>
      <c r="PQD252" s="9"/>
      <c r="PQE252" s="4"/>
      <c r="PQF252" s="9"/>
      <c r="PQG252" s="4"/>
      <c r="PQH252" s="9"/>
      <c r="PQI252" s="4"/>
      <c r="PQJ252" s="9"/>
      <c r="PQK252" s="4"/>
      <c r="PQL252" s="9"/>
      <c r="PQM252" s="4"/>
      <c r="PQN252" s="9"/>
      <c r="PQO252" s="4"/>
      <c r="PQP252" s="9"/>
      <c r="PQQ252" s="4"/>
      <c r="PQR252" s="9"/>
      <c r="PQS252" s="4"/>
      <c r="PQT252" s="9"/>
      <c r="PQU252" s="4"/>
      <c r="PQV252" s="9"/>
      <c r="PQW252" s="4"/>
      <c r="PQX252" s="9"/>
      <c r="PQY252" s="4"/>
      <c r="PQZ252" s="9"/>
      <c r="PRA252" s="4"/>
      <c r="PRB252" s="9"/>
      <c r="PRC252" s="4"/>
      <c r="PRD252" s="9"/>
      <c r="PRE252" s="4"/>
      <c r="PRF252" s="9"/>
      <c r="PRG252" s="4"/>
      <c r="PRH252" s="9"/>
      <c r="PRI252" s="4"/>
      <c r="PRJ252" s="9"/>
      <c r="PRK252" s="4"/>
      <c r="PRL252" s="9"/>
      <c r="PRM252" s="4"/>
      <c r="PRN252" s="9"/>
      <c r="PRO252" s="4"/>
      <c r="PRP252" s="9"/>
      <c r="PRQ252" s="4"/>
      <c r="PRR252" s="9"/>
      <c r="PRS252" s="4"/>
      <c r="PRT252" s="9"/>
      <c r="PRU252" s="4"/>
      <c r="PRV252" s="9"/>
      <c r="PRW252" s="4"/>
      <c r="PRX252" s="9"/>
      <c r="PRY252" s="4"/>
      <c r="PRZ252" s="9"/>
      <c r="PSA252" s="4"/>
      <c r="PSB252" s="9"/>
      <c r="PSC252" s="4"/>
      <c r="PSD252" s="9"/>
      <c r="PSE252" s="4"/>
      <c r="PSF252" s="9"/>
      <c r="PSG252" s="4"/>
      <c r="PSH252" s="9"/>
      <c r="PSI252" s="4"/>
      <c r="PSJ252" s="9"/>
      <c r="PSK252" s="4"/>
      <c r="PSL252" s="9"/>
      <c r="PSM252" s="4"/>
      <c r="PSN252" s="9"/>
      <c r="PSO252" s="4"/>
      <c r="PSP252" s="9"/>
      <c r="PSQ252" s="4"/>
      <c r="PSR252" s="9"/>
      <c r="PSS252" s="4"/>
      <c r="PST252" s="9"/>
      <c r="PSU252" s="4"/>
      <c r="PSV252" s="9"/>
      <c r="PSW252" s="4"/>
      <c r="PSX252" s="9"/>
      <c r="PSY252" s="4"/>
      <c r="PSZ252" s="9"/>
      <c r="PTA252" s="4"/>
      <c r="PTB252" s="9"/>
      <c r="PTC252" s="4"/>
      <c r="PTD252" s="9"/>
      <c r="PTE252" s="4"/>
      <c r="PTF252" s="9"/>
      <c r="PTG252" s="4"/>
      <c r="PTH252" s="9"/>
      <c r="PTI252" s="4"/>
      <c r="PTJ252" s="9"/>
      <c r="PTK252" s="4"/>
      <c r="PTL252" s="9"/>
      <c r="PTM252" s="4"/>
      <c r="PTN252" s="9"/>
      <c r="PTO252" s="4"/>
      <c r="PTP252" s="9"/>
      <c r="PTQ252" s="4"/>
      <c r="PTR252" s="9"/>
      <c r="PTS252" s="4"/>
      <c r="PTT252" s="9"/>
      <c r="PTU252" s="4"/>
      <c r="PTV252" s="9"/>
      <c r="PTW252" s="4"/>
      <c r="PTX252" s="9"/>
      <c r="PTY252" s="4"/>
      <c r="PTZ252" s="9"/>
      <c r="PUA252" s="4"/>
      <c r="PUB252" s="9"/>
      <c r="PUC252" s="4"/>
      <c r="PUD252" s="9"/>
      <c r="PUE252" s="4"/>
      <c r="PUF252" s="9"/>
      <c r="PUG252" s="4"/>
      <c r="PUH252" s="9"/>
      <c r="PUI252" s="4"/>
      <c r="PUJ252" s="9"/>
      <c r="PUK252" s="4"/>
      <c r="PUL252" s="9"/>
      <c r="PUM252" s="4"/>
      <c r="PUN252" s="9"/>
      <c r="PUO252" s="4"/>
      <c r="PUP252" s="9"/>
      <c r="PUQ252" s="4"/>
      <c r="PUR252" s="9"/>
      <c r="PUS252" s="4"/>
      <c r="PUT252" s="9"/>
      <c r="PUU252" s="4"/>
      <c r="PUV252" s="9"/>
      <c r="PUW252" s="4"/>
      <c r="PUX252" s="9"/>
      <c r="PUY252" s="4"/>
      <c r="PUZ252" s="9"/>
      <c r="PVA252" s="4"/>
      <c r="PVB252" s="9"/>
      <c r="PVC252" s="4"/>
      <c r="PVD252" s="9"/>
      <c r="PVE252" s="4"/>
      <c r="PVF252" s="9"/>
      <c r="PVG252" s="4"/>
      <c r="PVH252" s="9"/>
      <c r="PVI252" s="4"/>
      <c r="PVJ252" s="9"/>
      <c r="PVK252" s="4"/>
      <c r="PVL252" s="9"/>
      <c r="PVM252" s="4"/>
      <c r="PVN252" s="9"/>
      <c r="PVO252" s="4"/>
      <c r="PVP252" s="9"/>
      <c r="PVQ252" s="4"/>
      <c r="PVR252" s="9"/>
      <c r="PVS252" s="4"/>
      <c r="PVT252" s="9"/>
      <c r="PVU252" s="4"/>
      <c r="PVV252" s="9"/>
      <c r="PVW252" s="4"/>
      <c r="PVX252" s="9"/>
      <c r="PVY252" s="4"/>
      <c r="PVZ252" s="9"/>
      <c r="PWA252" s="4"/>
      <c r="PWB252" s="9"/>
      <c r="PWC252" s="4"/>
      <c r="PWD252" s="9"/>
      <c r="PWE252" s="4"/>
      <c r="PWF252" s="9"/>
      <c r="PWG252" s="4"/>
      <c r="PWH252" s="9"/>
      <c r="PWI252" s="4"/>
      <c r="PWJ252" s="9"/>
      <c r="PWK252" s="4"/>
      <c r="PWL252" s="9"/>
      <c r="PWM252" s="4"/>
      <c r="PWN252" s="9"/>
      <c r="PWO252" s="4"/>
      <c r="PWP252" s="9"/>
      <c r="PWQ252" s="4"/>
      <c r="PWR252" s="9"/>
      <c r="PWS252" s="4"/>
      <c r="PWT252" s="9"/>
      <c r="PWU252" s="4"/>
      <c r="PWV252" s="9"/>
      <c r="PWW252" s="4"/>
      <c r="PWX252" s="9"/>
      <c r="PWY252" s="4"/>
      <c r="PWZ252" s="9"/>
      <c r="PXA252" s="4"/>
      <c r="PXB252" s="9"/>
      <c r="PXC252" s="4"/>
      <c r="PXD252" s="9"/>
      <c r="PXE252" s="4"/>
      <c r="PXF252" s="9"/>
      <c r="PXG252" s="4"/>
      <c r="PXH252" s="9"/>
      <c r="PXI252" s="4"/>
      <c r="PXJ252" s="9"/>
      <c r="PXK252" s="4"/>
      <c r="PXL252" s="9"/>
      <c r="PXM252" s="4"/>
      <c r="PXN252" s="9"/>
      <c r="PXO252" s="4"/>
      <c r="PXP252" s="9"/>
      <c r="PXQ252" s="4"/>
      <c r="PXR252" s="9"/>
      <c r="PXS252" s="4"/>
      <c r="PXT252" s="9"/>
      <c r="PXU252" s="4"/>
      <c r="PXV252" s="9"/>
      <c r="PXW252" s="4"/>
      <c r="PXX252" s="9"/>
      <c r="PXY252" s="4"/>
      <c r="PXZ252" s="9"/>
      <c r="PYA252" s="4"/>
      <c r="PYB252" s="9"/>
      <c r="PYC252" s="4"/>
      <c r="PYD252" s="9"/>
      <c r="PYE252" s="4"/>
      <c r="PYF252" s="9"/>
      <c r="PYG252" s="4"/>
      <c r="PYH252" s="9"/>
      <c r="PYI252" s="4"/>
      <c r="PYJ252" s="9"/>
      <c r="PYK252" s="4"/>
      <c r="PYL252" s="9"/>
      <c r="PYM252" s="4"/>
      <c r="PYN252" s="9"/>
      <c r="PYO252" s="4"/>
      <c r="PYP252" s="9"/>
      <c r="PYQ252" s="4"/>
      <c r="PYR252" s="9"/>
      <c r="PYS252" s="4"/>
      <c r="PYT252" s="9"/>
      <c r="PYU252" s="4"/>
      <c r="PYV252" s="9"/>
      <c r="PYW252" s="4"/>
      <c r="PYX252" s="9"/>
      <c r="PYY252" s="4"/>
      <c r="PYZ252" s="9"/>
      <c r="PZA252" s="4"/>
      <c r="PZB252" s="9"/>
      <c r="PZC252" s="4"/>
      <c r="PZD252" s="9"/>
      <c r="PZE252" s="4"/>
      <c r="PZF252" s="9"/>
      <c r="PZG252" s="4"/>
      <c r="PZH252" s="9"/>
      <c r="PZI252" s="4"/>
      <c r="PZJ252" s="9"/>
      <c r="PZK252" s="4"/>
      <c r="PZL252" s="9"/>
      <c r="PZM252" s="4"/>
      <c r="PZN252" s="9"/>
      <c r="PZO252" s="4"/>
      <c r="PZP252" s="9"/>
      <c r="PZQ252" s="4"/>
      <c r="PZR252" s="9"/>
      <c r="PZS252" s="4"/>
      <c r="PZT252" s="9"/>
      <c r="PZU252" s="4"/>
      <c r="PZV252" s="9"/>
      <c r="PZW252" s="4"/>
      <c r="PZX252" s="9"/>
      <c r="PZY252" s="4"/>
      <c r="PZZ252" s="9"/>
      <c r="QAA252" s="4"/>
      <c r="QAB252" s="9"/>
      <c r="QAC252" s="4"/>
      <c r="QAD252" s="9"/>
      <c r="QAE252" s="4"/>
      <c r="QAF252" s="9"/>
      <c r="QAG252" s="4"/>
      <c r="QAH252" s="9"/>
      <c r="QAI252" s="4"/>
      <c r="QAJ252" s="9"/>
      <c r="QAK252" s="4"/>
      <c r="QAL252" s="9"/>
      <c r="QAM252" s="4"/>
      <c r="QAN252" s="9"/>
      <c r="QAO252" s="4"/>
      <c r="QAP252" s="9"/>
      <c r="QAQ252" s="4"/>
      <c r="QAR252" s="9"/>
      <c r="QAS252" s="4"/>
      <c r="QAT252" s="9"/>
      <c r="QAU252" s="4"/>
      <c r="QAV252" s="9"/>
      <c r="QAW252" s="4"/>
      <c r="QAX252" s="9"/>
      <c r="QAY252" s="4"/>
      <c r="QAZ252" s="9"/>
      <c r="QBA252" s="4"/>
      <c r="QBB252" s="9"/>
      <c r="QBC252" s="4"/>
      <c r="QBD252" s="9"/>
      <c r="QBE252" s="4"/>
      <c r="QBF252" s="9"/>
      <c r="QBG252" s="4"/>
      <c r="QBH252" s="9"/>
      <c r="QBI252" s="4"/>
      <c r="QBJ252" s="9"/>
      <c r="QBK252" s="4"/>
      <c r="QBL252" s="9"/>
      <c r="QBM252" s="4"/>
      <c r="QBN252" s="9"/>
      <c r="QBO252" s="4"/>
      <c r="QBP252" s="9"/>
      <c r="QBQ252" s="4"/>
      <c r="QBR252" s="9"/>
      <c r="QBS252" s="4"/>
      <c r="QBT252" s="9"/>
      <c r="QBU252" s="4"/>
      <c r="QBV252" s="9"/>
      <c r="QBW252" s="4"/>
      <c r="QBX252" s="9"/>
      <c r="QBY252" s="4"/>
      <c r="QBZ252" s="9"/>
      <c r="QCA252" s="4"/>
      <c r="QCB252" s="9"/>
      <c r="QCC252" s="4"/>
      <c r="QCD252" s="9"/>
      <c r="QCE252" s="4"/>
      <c r="QCF252" s="9"/>
      <c r="QCG252" s="4"/>
      <c r="QCH252" s="9"/>
      <c r="QCI252" s="4"/>
      <c r="QCJ252" s="9"/>
      <c r="QCK252" s="4"/>
      <c r="QCL252" s="9"/>
      <c r="QCM252" s="4"/>
      <c r="QCN252" s="9"/>
      <c r="QCO252" s="4"/>
      <c r="QCP252" s="9"/>
      <c r="QCQ252" s="4"/>
      <c r="QCR252" s="9"/>
      <c r="QCS252" s="4"/>
      <c r="QCT252" s="9"/>
      <c r="QCU252" s="4"/>
      <c r="QCV252" s="9"/>
      <c r="QCW252" s="4"/>
      <c r="QCX252" s="9"/>
      <c r="QCY252" s="4"/>
      <c r="QCZ252" s="9"/>
      <c r="QDA252" s="4"/>
      <c r="QDB252" s="9"/>
      <c r="QDC252" s="4"/>
      <c r="QDD252" s="9"/>
      <c r="QDE252" s="4"/>
      <c r="QDF252" s="9"/>
      <c r="QDG252" s="4"/>
      <c r="QDH252" s="9"/>
      <c r="QDI252" s="4"/>
      <c r="QDJ252" s="9"/>
      <c r="QDK252" s="4"/>
      <c r="QDL252" s="9"/>
      <c r="QDM252" s="4"/>
      <c r="QDN252" s="9"/>
      <c r="QDO252" s="4"/>
      <c r="QDP252" s="9"/>
      <c r="QDQ252" s="4"/>
      <c r="QDR252" s="9"/>
      <c r="QDS252" s="4"/>
      <c r="QDT252" s="9"/>
      <c r="QDU252" s="4"/>
      <c r="QDV252" s="9"/>
      <c r="QDW252" s="4"/>
      <c r="QDX252" s="9"/>
      <c r="QDY252" s="4"/>
      <c r="QDZ252" s="9"/>
      <c r="QEA252" s="4"/>
      <c r="QEB252" s="9"/>
      <c r="QEC252" s="4"/>
      <c r="QED252" s="9"/>
      <c r="QEE252" s="4"/>
      <c r="QEF252" s="9"/>
      <c r="QEG252" s="4"/>
      <c r="QEH252" s="9"/>
      <c r="QEI252" s="4"/>
      <c r="QEJ252" s="9"/>
      <c r="QEK252" s="4"/>
      <c r="QEL252" s="9"/>
      <c r="QEM252" s="4"/>
      <c r="QEN252" s="9"/>
      <c r="QEO252" s="4"/>
      <c r="QEP252" s="9"/>
      <c r="QEQ252" s="4"/>
      <c r="QER252" s="9"/>
      <c r="QES252" s="4"/>
      <c r="QET252" s="9"/>
      <c r="QEU252" s="4"/>
      <c r="QEV252" s="9"/>
      <c r="QEW252" s="4"/>
      <c r="QEX252" s="9"/>
      <c r="QEY252" s="4"/>
      <c r="QEZ252" s="9"/>
      <c r="QFA252" s="4"/>
      <c r="QFB252" s="9"/>
      <c r="QFC252" s="4"/>
      <c r="QFD252" s="9"/>
      <c r="QFE252" s="4"/>
      <c r="QFF252" s="9"/>
      <c r="QFG252" s="4"/>
      <c r="QFH252" s="9"/>
      <c r="QFI252" s="4"/>
      <c r="QFJ252" s="9"/>
      <c r="QFK252" s="4"/>
      <c r="QFL252" s="9"/>
      <c r="QFM252" s="4"/>
      <c r="QFN252" s="9"/>
      <c r="QFO252" s="4"/>
      <c r="QFP252" s="9"/>
      <c r="QFQ252" s="4"/>
      <c r="QFR252" s="9"/>
      <c r="QFS252" s="4"/>
      <c r="QFT252" s="9"/>
      <c r="QFU252" s="4"/>
      <c r="QFV252" s="9"/>
      <c r="QFW252" s="4"/>
      <c r="QFX252" s="9"/>
      <c r="QFY252" s="4"/>
      <c r="QFZ252" s="9"/>
      <c r="QGA252" s="4"/>
      <c r="QGB252" s="9"/>
      <c r="QGC252" s="4"/>
      <c r="QGD252" s="9"/>
      <c r="QGE252" s="4"/>
      <c r="QGF252" s="9"/>
      <c r="QGG252" s="4"/>
      <c r="QGH252" s="9"/>
      <c r="QGI252" s="4"/>
      <c r="QGJ252" s="9"/>
      <c r="QGK252" s="4"/>
      <c r="QGL252" s="9"/>
      <c r="QGM252" s="4"/>
      <c r="QGN252" s="9"/>
      <c r="QGO252" s="4"/>
      <c r="QGP252" s="9"/>
      <c r="QGQ252" s="4"/>
      <c r="QGR252" s="9"/>
      <c r="QGS252" s="4"/>
      <c r="QGT252" s="9"/>
      <c r="QGU252" s="4"/>
      <c r="QGV252" s="9"/>
      <c r="QGW252" s="4"/>
      <c r="QGX252" s="9"/>
      <c r="QGY252" s="4"/>
      <c r="QGZ252" s="9"/>
      <c r="QHA252" s="4"/>
      <c r="QHB252" s="9"/>
      <c r="QHC252" s="4"/>
      <c r="QHD252" s="9"/>
      <c r="QHE252" s="4"/>
      <c r="QHF252" s="9"/>
      <c r="QHG252" s="4"/>
      <c r="QHH252" s="9"/>
      <c r="QHI252" s="4"/>
      <c r="QHJ252" s="9"/>
      <c r="QHK252" s="4"/>
      <c r="QHL252" s="9"/>
      <c r="QHM252" s="4"/>
      <c r="QHN252" s="9"/>
      <c r="QHO252" s="4"/>
      <c r="QHP252" s="9"/>
      <c r="QHQ252" s="4"/>
      <c r="QHR252" s="9"/>
      <c r="QHS252" s="4"/>
      <c r="QHT252" s="9"/>
      <c r="QHU252" s="4"/>
      <c r="QHV252" s="9"/>
      <c r="QHW252" s="4"/>
      <c r="QHX252" s="9"/>
      <c r="QHY252" s="4"/>
      <c r="QHZ252" s="9"/>
      <c r="QIA252" s="4"/>
      <c r="QIB252" s="9"/>
      <c r="QIC252" s="4"/>
      <c r="QID252" s="9"/>
      <c r="QIE252" s="4"/>
      <c r="QIF252" s="9"/>
      <c r="QIG252" s="4"/>
      <c r="QIH252" s="9"/>
      <c r="QII252" s="4"/>
      <c r="QIJ252" s="9"/>
      <c r="QIK252" s="4"/>
      <c r="QIL252" s="9"/>
      <c r="QIM252" s="4"/>
      <c r="QIN252" s="9"/>
      <c r="QIO252" s="4"/>
      <c r="QIP252" s="9"/>
      <c r="QIQ252" s="4"/>
      <c r="QIR252" s="9"/>
      <c r="QIS252" s="4"/>
      <c r="QIT252" s="9"/>
      <c r="QIU252" s="4"/>
      <c r="QIV252" s="9"/>
      <c r="QIW252" s="4"/>
      <c r="QIX252" s="9"/>
      <c r="QIY252" s="4"/>
      <c r="QIZ252" s="9"/>
      <c r="QJA252" s="4"/>
      <c r="QJB252" s="9"/>
      <c r="QJC252" s="4"/>
      <c r="QJD252" s="9"/>
      <c r="QJE252" s="4"/>
      <c r="QJF252" s="9"/>
      <c r="QJG252" s="4"/>
      <c r="QJH252" s="9"/>
      <c r="QJI252" s="4"/>
      <c r="QJJ252" s="9"/>
      <c r="QJK252" s="4"/>
      <c r="QJL252" s="9"/>
      <c r="QJM252" s="4"/>
      <c r="QJN252" s="9"/>
      <c r="QJO252" s="4"/>
      <c r="QJP252" s="9"/>
      <c r="QJQ252" s="4"/>
      <c r="QJR252" s="9"/>
      <c r="QJS252" s="4"/>
      <c r="QJT252" s="9"/>
      <c r="QJU252" s="4"/>
      <c r="QJV252" s="9"/>
      <c r="QJW252" s="4"/>
      <c r="QJX252" s="9"/>
      <c r="QJY252" s="4"/>
      <c r="QJZ252" s="9"/>
      <c r="QKA252" s="4"/>
      <c r="QKB252" s="9"/>
      <c r="QKC252" s="4"/>
      <c r="QKD252" s="9"/>
      <c r="QKE252" s="4"/>
      <c r="QKF252" s="9"/>
      <c r="QKG252" s="4"/>
      <c r="QKH252" s="9"/>
      <c r="QKI252" s="4"/>
      <c r="QKJ252" s="9"/>
      <c r="QKK252" s="4"/>
      <c r="QKL252" s="9"/>
      <c r="QKM252" s="4"/>
      <c r="QKN252" s="9"/>
      <c r="QKO252" s="4"/>
      <c r="QKP252" s="9"/>
      <c r="QKQ252" s="4"/>
      <c r="QKR252" s="9"/>
      <c r="QKS252" s="4"/>
      <c r="QKT252" s="9"/>
      <c r="QKU252" s="4"/>
      <c r="QKV252" s="9"/>
      <c r="QKW252" s="4"/>
      <c r="QKX252" s="9"/>
      <c r="QKY252" s="4"/>
      <c r="QKZ252" s="9"/>
      <c r="QLA252" s="4"/>
      <c r="QLB252" s="9"/>
      <c r="QLC252" s="4"/>
      <c r="QLD252" s="9"/>
      <c r="QLE252" s="4"/>
      <c r="QLF252" s="9"/>
      <c r="QLG252" s="4"/>
      <c r="QLH252" s="9"/>
      <c r="QLI252" s="4"/>
      <c r="QLJ252" s="9"/>
      <c r="QLK252" s="4"/>
      <c r="QLL252" s="9"/>
      <c r="QLM252" s="4"/>
      <c r="QLN252" s="9"/>
      <c r="QLO252" s="4"/>
      <c r="QLP252" s="9"/>
      <c r="QLQ252" s="4"/>
      <c r="QLR252" s="9"/>
      <c r="QLS252" s="4"/>
      <c r="QLT252" s="9"/>
      <c r="QLU252" s="4"/>
      <c r="QLV252" s="9"/>
      <c r="QLW252" s="4"/>
      <c r="QLX252" s="9"/>
      <c r="QLY252" s="4"/>
      <c r="QLZ252" s="9"/>
      <c r="QMA252" s="4"/>
      <c r="QMB252" s="9"/>
      <c r="QMC252" s="4"/>
      <c r="QMD252" s="9"/>
      <c r="QME252" s="4"/>
      <c r="QMF252" s="9"/>
      <c r="QMG252" s="4"/>
      <c r="QMH252" s="9"/>
      <c r="QMI252" s="4"/>
      <c r="QMJ252" s="9"/>
      <c r="QMK252" s="4"/>
      <c r="QML252" s="9"/>
      <c r="QMM252" s="4"/>
      <c r="QMN252" s="9"/>
      <c r="QMO252" s="4"/>
      <c r="QMP252" s="9"/>
      <c r="QMQ252" s="4"/>
      <c r="QMR252" s="9"/>
      <c r="QMS252" s="4"/>
      <c r="QMT252" s="9"/>
      <c r="QMU252" s="4"/>
      <c r="QMV252" s="9"/>
      <c r="QMW252" s="4"/>
      <c r="QMX252" s="9"/>
      <c r="QMY252" s="4"/>
      <c r="QMZ252" s="9"/>
      <c r="QNA252" s="4"/>
      <c r="QNB252" s="9"/>
      <c r="QNC252" s="4"/>
      <c r="QND252" s="9"/>
      <c r="QNE252" s="4"/>
      <c r="QNF252" s="9"/>
      <c r="QNG252" s="4"/>
      <c r="QNH252" s="9"/>
      <c r="QNI252" s="4"/>
      <c r="QNJ252" s="9"/>
      <c r="QNK252" s="4"/>
      <c r="QNL252" s="9"/>
      <c r="QNM252" s="4"/>
      <c r="QNN252" s="9"/>
      <c r="QNO252" s="4"/>
      <c r="QNP252" s="9"/>
      <c r="QNQ252" s="4"/>
      <c r="QNR252" s="9"/>
      <c r="QNS252" s="4"/>
      <c r="QNT252" s="9"/>
      <c r="QNU252" s="4"/>
      <c r="QNV252" s="9"/>
      <c r="QNW252" s="4"/>
      <c r="QNX252" s="9"/>
      <c r="QNY252" s="4"/>
      <c r="QNZ252" s="9"/>
      <c r="QOA252" s="4"/>
      <c r="QOB252" s="9"/>
      <c r="QOC252" s="4"/>
      <c r="QOD252" s="9"/>
      <c r="QOE252" s="4"/>
      <c r="QOF252" s="9"/>
      <c r="QOG252" s="4"/>
      <c r="QOH252" s="9"/>
      <c r="QOI252" s="4"/>
      <c r="QOJ252" s="9"/>
      <c r="QOK252" s="4"/>
      <c r="QOL252" s="9"/>
      <c r="QOM252" s="4"/>
      <c r="QON252" s="9"/>
      <c r="QOO252" s="4"/>
      <c r="QOP252" s="9"/>
      <c r="QOQ252" s="4"/>
      <c r="QOR252" s="9"/>
      <c r="QOS252" s="4"/>
      <c r="QOT252" s="9"/>
      <c r="QOU252" s="4"/>
      <c r="QOV252" s="9"/>
      <c r="QOW252" s="4"/>
      <c r="QOX252" s="9"/>
      <c r="QOY252" s="4"/>
      <c r="QOZ252" s="9"/>
      <c r="QPA252" s="4"/>
      <c r="QPB252" s="9"/>
      <c r="QPC252" s="4"/>
      <c r="QPD252" s="9"/>
      <c r="QPE252" s="4"/>
      <c r="QPF252" s="9"/>
      <c r="QPG252" s="4"/>
      <c r="QPH252" s="9"/>
      <c r="QPI252" s="4"/>
      <c r="QPJ252" s="9"/>
      <c r="QPK252" s="4"/>
      <c r="QPL252" s="9"/>
      <c r="QPM252" s="4"/>
      <c r="QPN252" s="9"/>
      <c r="QPO252" s="4"/>
      <c r="QPP252" s="9"/>
      <c r="QPQ252" s="4"/>
      <c r="QPR252" s="9"/>
      <c r="QPS252" s="4"/>
      <c r="QPT252" s="9"/>
      <c r="QPU252" s="4"/>
      <c r="QPV252" s="9"/>
      <c r="QPW252" s="4"/>
      <c r="QPX252" s="9"/>
      <c r="QPY252" s="4"/>
      <c r="QPZ252" s="9"/>
      <c r="QQA252" s="4"/>
      <c r="QQB252" s="9"/>
      <c r="QQC252" s="4"/>
      <c r="QQD252" s="9"/>
      <c r="QQE252" s="4"/>
      <c r="QQF252" s="9"/>
      <c r="QQG252" s="4"/>
      <c r="QQH252" s="9"/>
      <c r="QQI252" s="4"/>
      <c r="QQJ252" s="9"/>
      <c r="QQK252" s="4"/>
      <c r="QQL252" s="9"/>
      <c r="QQM252" s="4"/>
      <c r="QQN252" s="9"/>
      <c r="QQO252" s="4"/>
      <c r="QQP252" s="9"/>
      <c r="QQQ252" s="4"/>
      <c r="QQR252" s="9"/>
      <c r="QQS252" s="4"/>
      <c r="QQT252" s="9"/>
      <c r="QQU252" s="4"/>
      <c r="QQV252" s="9"/>
      <c r="QQW252" s="4"/>
      <c r="QQX252" s="9"/>
      <c r="QQY252" s="4"/>
      <c r="QQZ252" s="9"/>
      <c r="QRA252" s="4"/>
      <c r="QRB252" s="9"/>
      <c r="QRC252" s="4"/>
      <c r="QRD252" s="9"/>
      <c r="QRE252" s="4"/>
      <c r="QRF252" s="9"/>
      <c r="QRG252" s="4"/>
      <c r="QRH252" s="9"/>
      <c r="QRI252" s="4"/>
      <c r="QRJ252" s="9"/>
      <c r="QRK252" s="4"/>
      <c r="QRL252" s="9"/>
      <c r="QRM252" s="4"/>
      <c r="QRN252" s="9"/>
      <c r="QRO252" s="4"/>
      <c r="QRP252" s="9"/>
      <c r="QRQ252" s="4"/>
      <c r="QRR252" s="9"/>
      <c r="QRS252" s="4"/>
      <c r="QRT252" s="9"/>
      <c r="QRU252" s="4"/>
      <c r="QRV252" s="9"/>
      <c r="QRW252" s="4"/>
      <c r="QRX252" s="9"/>
      <c r="QRY252" s="4"/>
      <c r="QRZ252" s="9"/>
      <c r="QSA252" s="4"/>
      <c r="QSB252" s="9"/>
      <c r="QSC252" s="4"/>
      <c r="QSD252" s="9"/>
      <c r="QSE252" s="4"/>
      <c r="QSF252" s="9"/>
      <c r="QSG252" s="4"/>
      <c r="QSH252" s="9"/>
      <c r="QSI252" s="4"/>
      <c r="QSJ252" s="9"/>
      <c r="QSK252" s="4"/>
      <c r="QSL252" s="9"/>
      <c r="QSM252" s="4"/>
      <c r="QSN252" s="9"/>
      <c r="QSO252" s="4"/>
      <c r="QSP252" s="9"/>
      <c r="QSQ252" s="4"/>
      <c r="QSR252" s="9"/>
      <c r="QSS252" s="4"/>
      <c r="QST252" s="9"/>
      <c r="QSU252" s="4"/>
      <c r="QSV252" s="9"/>
      <c r="QSW252" s="4"/>
      <c r="QSX252" s="9"/>
      <c r="QSY252" s="4"/>
      <c r="QSZ252" s="9"/>
      <c r="QTA252" s="4"/>
      <c r="QTB252" s="9"/>
      <c r="QTC252" s="4"/>
      <c r="QTD252" s="9"/>
      <c r="QTE252" s="4"/>
      <c r="QTF252" s="9"/>
      <c r="QTG252" s="4"/>
      <c r="QTH252" s="9"/>
      <c r="QTI252" s="4"/>
      <c r="QTJ252" s="9"/>
      <c r="QTK252" s="4"/>
      <c r="QTL252" s="9"/>
      <c r="QTM252" s="4"/>
      <c r="QTN252" s="9"/>
      <c r="QTO252" s="4"/>
      <c r="QTP252" s="9"/>
      <c r="QTQ252" s="4"/>
      <c r="QTR252" s="9"/>
      <c r="QTS252" s="4"/>
      <c r="QTT252" s="9"/>
      <c r="QTU252" s="4"/>
      <c r="QTV252" s="9"/>
      <c r="QTW252" s="4"/>
      <c r="QTX252" s="9"/>
      <c r="QTY252" s="4"/>
      <c r="QTZ252" s="9"/>
      <c r="QUA252" s="4"/>
      <c r="QUB252" s="9"/>
      <c r="QUC252" s="4"/>
      <c r="QUD252" s="9"/>
      <c r="QUE252" s="4"/>
      <c r="QUF252" s="9"/>
      <c r="QUG252" s="4"/>
      <c r="QUH252" s="9"/>
      <c r="QUI252" s="4"/>
      <c r="QUJ252" s="9"/>
      <c r="QUK252" s="4"/>
      <c r="QUL252" s="9"/>
      <c r="QUM252" s="4"/>
      <c r="QUN252" s="9"/>
      <c r="QUO252" s="4"/>
      <c r="QUP252" s="9"/>
      <c r="QUQ252" s="4"/>
      <c r="QUR252" s="9"/>
      <c r="QUS252" s="4"/>
      <c r="QUT252" s="9"/>
      <c r="QUU252" s="4"/>
      <c r="QUV252" s="9"/>
      <c r="QUW252" s="4"/>
      <c r="QUX252" s="9"/>
      <c r="QUY252" s="4"/>
      <c r="QUZ252" s="9"/>
      <c r="QVA252" s="4"/>
      <c r="QVB252" s="9"/>
      <c r="QVC252" s="4"/>
      <c r="QVD252" s="9"/>
      <c r="QVE252" s="4"/>
      <c r="QVF252" s="9"/>
      <c r="QVG252" s="4"/>
      <c r="QVH252" s="9"/>
      <c r="QVI252" s="4"/>
      <c r="QVJ252" s="9"/>
      <c r="QVK252" s="4"/>
      <c r="QVL252" s="9"/>
      <c r="QVM252" s="4"/>
      <c r="QVN252" s="9"/>
      <c r="QVO252" s="4"/>
      <c r="QVP252" s="9"/>
      <c r="QVQ252" s="4"/>
      <c r="QVR252" s="9"/>
      <c r="QVS252" s="4"/>
      <c r="QVT252" s="9"/>
      <c r="QVU252" s="4"/>
      <c r="QVV252" s="9"/>
      <c r="QVW252" s="4"/>
      <c r="QVX252" s="9"/>
      <c r="QVY252" s="4"/>
      <c r="QVZ252" s="9"/>
      <c r="QWA252" s="4"/>
      <c r="QWB252" s="9"/>
      <c r="QWC252" s="4"/>
      <c r="QWD252" s="9"/>
      <c r="QWE252" s="4"/>
      <c r="QWF252" s="9"/>
      <c r="QWG252" s="4"/>
      <c r="QWH252" s="9"/>
      <c r="QWI252" s="4"/>
      <c r="QWJ252" s="9"/>
      <c r="QWK252" s="4"/>
      <c r="QWL252" s="9"/>
      <c r="QWM252" s="4"/>
      <c r="QWN252" s="9"/>
      <c r="QWO252" s="4"/>
      <c r="QWP252" s="9"/>
      <c r="QWQ252" s="4"/>
      <c r="QWR252" s="9"/>
      <c r="QWS252" s="4"/>
      <c r="QWT252" s="9"/>
      <c r="QWU252" s="4"/>
      <c r="QWV252" s="9"/>
      <c r="QWW252" s="4"/>
      <c r="QWX252" s="9"/>
      <c r="QWY252" s="4"/>
      <c r="QWZ252" s="9"/>
      <c r="QXA252" s="4"/>
      <c r="QXB252" s="9"/>
      <c r="QXC252" s="4"/>
      <c r="QXD252" s="9"/>
      <c r="QXE252" s="4"/>
      <c r="QXF252" s="9"/>
      <c r="QXG252" s="4"/>
      <c r="QXH252" s="9"/>
      <c r="QXI252" s="4"/>
      <c r="QXJ252" s="9"/>
      <c r="QXK252" s="4"/>
      <c r="QXL252" s="9"/>
      <c r="QXM252" s="4"/>
      <c r="QXN252" s="9"/>
      <c r="QXO252" s="4"/>
      <c r="QXP252" s="9"/>
      <c r="QXQ252" s="4"/>
      <c r="QXR252" s="9"/>
      <c r="QXS252" s="4"/>
      <c r="QXT252" s="9"/>
      <c r="QXU252" s="4"/>
      <c r="QXV252" s="9"/>
      <c r="QXW252" s="4"/>
      <c r="QXX252" s="9"/>
      <c r="QXY252" s="4"/>
      <c r="QXZ252" s="9"/>
      <c r="QYA252" s="4"/>
      <c r="QYB252" s="9"/>
      <c r="QYC252" s="4"/>
      <c r="QYD252" s="9"/>
      <c r="QYE252" s="4"/>
      <c r="QYF252" s="9"/>
      <c r="QYG252" s="4"/>
      <c r="QYH252" s="9"/>
      <c r="QYI252" s="4"/>
      <c r="QYJ252" s="9"/>
      <c r="QYK252" s="4"/>
      <c r="QYL252" s="9"/>
      <c r="QYM252" s="4"/>
      <c r="QYN252" s="9"/>
      <c r="QYO252" s="4"/>
      <c r="QYP252" s="9"/>
      <c r="QYQ252" s="4"/>
      <c r="QYR252" s="9"/>
      <c r="QYS252" s="4"/>
      <c r="QYT252" s="9"/>
      <c r="QYU252" s="4"/>
      <c r="QYV252" s="9"/>
      <c r="QYW252" s="4"/>
      <c r="QYX252" s="9"/>
      <c r="QYY252" s="4"/>
      <c r="QYZ252" s="9"/>
      <c r="QZA252" s="4"/>
      <c r="QZB252" s="9"/>
      <c r="QZC252" s="4"/>
      <c r="QZD252" s="9"/>
      <c r="QZE252" s="4"/>
      <c r="QZF252" s="9"/>
      <c r="QZG252" s="4"/>
      <c r="QZH252" s="9"/>
      <c r="QZI252" s="4"/>
      <c r="QZJ252" s="9"/>
      <c r="QZK252" s="4"/>
      <c r="QZL252" s="9"/>
      <c r="QZM252" s="4"/>
      <c r="QZN252" s="9"/>
      <c r="QZO252" s="4"/>
      <c r="QZP252" s="9"/>
      <c r="QZQ252" s="4"/>
      <c r="QZR252" s="9"/>
      <c r="QZS252" s="4"/>
      <c r="QZT252" s="9"/>
      <c r="QZU252" s="4"/>
      <c r="QZV252" s="9"/>
      <c r="QZW252" s="4"/>
      <c r="QZX252" s="9"/>
      <c r="QZY252" s="4"/>
      <c r="QZZ252" s="9"/>
      <c r="RAA252" s="4"/>
      <c r="RAB252" s="9"/>
      <c r="RAC252" s="4"/>
      <c r="RAD252" s="9"/>
      <c r="RAE252" s="4"/>
      <c r="RAF252" s="9"/>
      <c r="RAG252" s="4"/>
      <c r="RAH252" s="9"/>
      <c r="RAI252" s="4"/>
      <c r="RAJ252" s="9"/>
      <c r="RAK252" s="4"/>
      <c r="RAL252" s="9"/>
      <c r="RAM252" s="4"/>
      <c r="RAN252" s="9"/>
      <c r="RAO252" s="4"/>
      <c r="RAP252" s="9"/>
      <c r="RAQ252" s="4"/>
      <c r="RAR252" s="9"/>
      <c r="RAS252" s="4"/>
      <c r="RAT252" s="9"/>
      <c r="RAU252" s="4"/>
      <c r="RAV252" s="9"/>
      <c r="RAW252" s="4"/>
      <c r="RAX252" s="9"/>
      <c r="RAY252" s="4"/>
      <c r="RAZ252" s="9"/>
      <c r="RBA252" s="4"/>
      <c r="RBB252" s="9"/>
      <c r="RBC252" s="4"/>
      <c r="RBD252" s="9"/>
      <c r="RBE252" s="4"/>
      <c r="RBF252" s="9"/>
      <c r="RBG252" s="4"/>
      <c r="RBH252" s="9"/>
      <c r="RBI252" s="4"/>
      <c r="RBJ252" s="9"/>
      <c r="RBK252" s="4"/>
      <c r="RBL252" s="9"/>
      <c r="RBM252" s="4"/>
      <c r="RBN252" s="9"/>
      <c r="RBO252" s="4"/>
      <c r="RBP252" s="9"/>
      <c r="RBQ252" s="4"/>
      <c r="RBR252" s="9"/>
      <c r="RBS252" s="4"/>
      <c r="RBT252" s="9"/>
      <c r="RBU252" s="4"/>
      <c r="RBV252" s="9"/>
      <c r="RBW252" s="4"/>
      <c r="RBX252" s="9"/>
      <c r="RBY252" s="4"/>
      <c r="RBZ252" s="9"/>
      <c r="RCA252" s="4"/>
      <c r="RCB252" s="9"/>
      <c r="RCC252" s="4"/>
      <c r="RCD252" s="9"/>
      <c r="RCE252" s="4"/>
      <c r="RCF252" s="9"/>
      <c r="RCG252" s="4"/>
      <c r="RCH252" s="9"/>
      <c r="RCI252" s="4"/>
      <c r="RCJ252" s="9"/>
      <c r="RCK252" s="4"/>
      <c r="RCL252" s="9"/>
      <c r="RCM252" s="4"/>
      <c r="RCN252" s="9"/>
      <c r="RCO252" s="4"/>
      <c r="RCP252" s="9"/>
      <c r="RCQ252" s="4"/>
      <c r="RCR252" s="9"/>
      <c r="RCS252" s="4"/>
      <c r="RCT252" s="9"/>
      <c r="RCU252" s="4"/>
      <c r="RCV252" s="9"/>
      <c r="RCW252" s="4"/>
      <c r="RCX252" s="9"/>
      <c r="RCY252" s="4"/>
      <c r="RCZ252" s="9"/>
      <c r="RDA252" s="4"/>
      <c r="RDB252" s="9"/>
      <c r="RDC252" s="4"/>
      <c r="RDD252" s="9"/>
      <c r="RDE252" s="4"/>
      <c r="RDF252" s="9"/>
      <c r="RDG252" s="4"/>
      <c r="RDH252" s="9"/>
      <c r="RDI252" s="4"/>
      <c r="RDJ252" s="9"/>
      <c r="RDK252" s="4"/>
      <c r="RDL252" s="9"/>
      <c r="RDM252" s="4"/>
      <c r="RDN252" s="9"/>
      <c r="RDO252" s="4"/>
      <c r="RDP252" s="9"/>
      <c r="RDQ252" s="4"/>
      <c r="RDR252" s="9"/>
      <c r="RDS252" s="4"/>
      <c r="RDT252" s="9"/>
      <c r="RDU252" s="4"/>
      <c r="RDV252" s="9"/>
      <c r="RDW252" s="4"/>
      <c r="RDX252" s="9"/>
      <c r="RDY252" s="4"/>
      <c r="RDZ252" s="9"/>
      <c r="REA252" s="4"/>
      <c r="REB252" s="9"/>
      <c r="REC252" s="4"/>
      <c r="RED252" s="9"/>
      <c r="REE252" s="4"/>
      <c r="REF252" s="9"/>
      <c r="REG252" s="4"/>
      <c r="REH252" s="9"/>
      <c r="REI252" s="4"/>
      <c r="REJ252" s="9"/>
      <c r="REK252" s="4"/>
      <c r="REL252" s="9"/>
      <c r="REM252" s="4"/>
      <c r="REN252" s="9"/>
      <c r="REO252" s="4"/>
      <c r="REP252" s="9"/>
      <c r="REQ252" s="4"/>
      <c r="RER252" s="9"/>
      <c r="RES252" s="4"/>
      <c r="RET252" s="9"/>
      <c r="REU252" s="4"/>
      <c r="REV252" s="9"/>
      <c r="REW252" s="4"/>
      <c r="REX252" s="9"/>
      <c r="REY252" s="4"/>
      <c r="REZ252" s="9"/>
      <c r="RFA252" s="4"/>
      <c r="RFB252" s="9"/>
      <c r="RFC252" s="4"/>
      <c r="RFD252" s="9"/>
      <c r="RFE252" s="4"/>
      <c r="RFF252" s="9"/>
      <c r="RFG252" s="4"/>
      <c r="RFH252" s="9"/>
      <c r="RFI252" s="4"/>
      <c r="RFJ252" s="9"/>
      <c r="RFK252" s="4"/>
      <c r="RFL252" s="9"/>
      <c r="RFM252" s="4"/>
      <c r="RFN252" s="9"/>
      <c r="RFO252" s="4"/>
      <c r="RFP252" s="9"/>
      <c r="RFQ252" s="4"/>
      <c r="RFR252" s="9"/>
      <c r="RFS252" s="4"/>
      <c r="RFT252" s="9"/>
      <c r="RFU252" s="4"/>
      <c r="RFV252" s="9"/>
      <c r="RFW252" s="4"/>
      <c r="RFX252" s="9"/>
      <c r="RFY252" s="4"/>
      <c r="RFZ252" s="9"/>
      <c r="RGA252" s="4"/>
      <c r="RGB252" s="9"/>
      <c r="RGC252" s="4"/>
      <c r="RGD252" s="9"/>
      <c r="RGE252" s="4"/>
      <c r="RGF252" s="9"/>
      <c r="RGG252" s="4"/>
      <c r="RGH252" s="9"/>
      <c r="RGI252" s="4"/>
      <c r="RGJ252" s="9"/>
      <c r="RGK252" s="4"/>
      <c r="RGL252" s="9"/>
      <c r="RGM252" s="4"/>
      <c r="RGN252" s="9"/>
      <c r="RGO252" s="4"/>
      <c r="RGP252" s="9"/>
      <c r="RGQ252" s="4"/>
      <c r="RGR252" s="9"/>
      <c r="RGS252" s="4"/>
      <c r="RGT252" s="9"/>
      <c r="RGU252" s="4"/>
      <c r="RGV252" s="9"/>
      <c r="RGW252" s="4"/>
      <c r="RGX252" s="9"/>
      <c r="RGY252" s="4"/>
      <c r="RGZ252" s="9"/>
      <c r="RHA252" s="4"/>
      <c r="RHB252" s="9"/>
      <c r="RHC252" s="4"/>
      <c r="RHD252" s="9"/>
      <c r="RHE252" s="4"/>
      <c r="RHF252" s="9"/>
      <c r="RHG252" s="4"/>
      <c r="RHH252" s="9"/>
      <c r="RHI252" s="4"/>
      <c r="RHJ252" s="9"/>
      <c r="RHK252" s="4"/>
      <c r="RHL252" s="9"/>
      <c r="RHM252" s="4"/>
      <c r="RHN252" s="9"/>
      <c r="RHO252" s="4"/>
      <c r="RHP252" s="9"/>
      <c r="RHQ252" s="4"/>
      <c r="RHR252" s="9"/>
      <c r="RHS252" s="4"/>
      <c r="RHT252" s="9"/>
      <c r="RHU252" s="4"/>
      <c r="RHV252" s="9"/>
      <c r="RHW252" s="4"/>
      <c r="RHX252" s="9"/>
      <c r="RHY252" s="4"/>
      <c r="RHZ252" s="9"/>
      <c r="RIA252" s="4"/>
      <c r="RIB252" s="9"/>
      <c r="RIC252" s="4"/>
      <c r="RID252" s="9"/>
      <c r="RIE252" s="4"/>
      <c r="RIF252" s="9"/>
      <c r="RIG252" s="4"/>
      <c r="RIH252" s="9"/>
      <c r="RII252" s="4"/>
      <c r="RIJ252" s="9"/>
      <c r="RIK252" s="4"/>
      <c r="RIL252" s="9"/>
      <c r="RIM252" s="4"/>
      <c r="RIN252" s="9"/>
      <c r="RIO252" s="4"/>
      <c r="RIP252" s="9"/>
      <c r="RIQ252" s="4"/>
      <c r="RIR252" s="9"/>
      <c r="RIS252" s="4"/>
      <c r="RIT252" s="9"/>
      <c r="RIU252" s="4"/>
      <c r="RIV252" s="9"/>
      <c r="RIW252" s="4"/>
      <c r="RIX252" s="9"/>
      <c r="RIY252" s="4"/>
      <c r="RIZ252" s="9"/>
      <c r="RJA252" s="4"/>
      <c r="RJB252" s="9"/>
      <c r="RJC252" s="4"/>
      <c r="RJD252" s="9"/>
      <c r="RJE252" s="4"/>
      <c r="RJF252" s="9"/>
      <c r="RJG252" s="4"/>
      <c r="RJH252" s="9"/>
      <c r="RJI252" s="4"/>
      <c r="RJJ252" s="9"/>
      <c r="RJK252" s="4"/>
      <c r="RJL252" s="9"/>
      <c r="RJM252" s="4"/>
      <c r="RJN252" s="9"/>
      <c r="RJO252" s="4"/>
      <c r="RJP252" s="9"/>
      <c r="RJQ252" s="4"/>
      <c r="RJR252" s="9"/>
      <c r="RJS252" s="4"/>
      <c r="RJT252" s="9"/>
      <c r="RJU252" s="4"/>
      <c r="RJV252" s="9"/>
      <c r="RJW252" s="4"/>
      <c r="RJX252" s="9"/>
      <c r="RJY252" s="4"/>
      <c r="RJZ252" s="9"/>
      <c r="RKA252" s="4"/>
      <c r="RKB252" s="9"/>
      <c r="RKC252" s="4"/>
      <c r="RKD252" s="9"/>
      <c r="RKE252" s="4"/>
      <c r="RKF252" s="9"/>
      <c r="RKG252" s="4"/>
      <c r="RKH252" s="9"/>
      <c r="RKI252" s="4"/>
      <c r="RKJ252" s="9"/>
      <c r="RKK252" s="4"/>
      <c r="RKL252" s="9"/>
      <c r="RKM252" s="4"/>
      <c r="RKN252" s="9"/>
      <c r="RKO252" s="4"/>
      <c r="RKP252" s="9"/>
      <c r="RKQ252" s="4"/>
      <c r="RKR252" s="9"/>
      <c r="RKS252" s="4"/>
      <c r="RKT252" s="9"/>
      <c r="RKU252" s="4"/>
      <c r="RKV252" s="9"/>
      <c r="RKW252" s="4"/>
      <c r="RKX252" s="9"/>
      <c r="RKY252" s="4"/>
      <c r="RKZ252" s="9"/>
      <c r="RLA252" s="4"/>
      <c r="RLB252" s="9"/>
      <c r="RLC252" s="4"/>
      <c r="RLD252" s="9"/>
      <c r="RLE252" s="4"/>
      <c r="RLF252" s="9"/>
      <c r="RLG252" s="4"/>
      <c r="RLH252" s="9"/>
      <c r="RLI252" s="4"/>
      <c r="RLJ252" s="9"/>
      <c r="RLK252" s="4"/>
      <c r="RLL252" s="9"/>
      <c r="RLM252" s="4"/>
      <c r="RLN252" s="9"/>
      <c r="RLO252" s="4"/>
      <c r="RLP252" s="9"/>
      <c r="RLQ252" s="4"/>
      <c r="RLR252" s="9"/>
      <c r="RLS252" s="4"/>
      <c r="RLT252" s="9"/>
      <c r="RLU252" s="4"/>
      <c r="RLV252" s="9"/>
      <c r="RLW252" s="4"/>
      <c r="RLX252" s="9"/>
      <c r="RLY252" s="4"/>
      <c r="RLZ252" s="9"/>
      <c r="RMA252" s="4"/>
      <c r="RMB252" s="9"/>
      <c r="RMC252" s="4"/>
      <c r="RMD252" s="9"/>
      <c r="RME252" s="4"/>
      <c r="RMF252" s="9"/>
      <c r="RMG252" s="4"/>
      <c r="RMH252" s="9"/>
      <c r="RMI252" s="4"/>
      <c r="RMJ252" s="9"/>
      <c r="RMK252" s="4"/>
      <c r="RML252" s="9"/>
      <c r="RMM252" s="4"/>
      <c r="RMN252" s="9"/>
      <c r="RMO252" s="4"/>
      <c r="RMP252" s="9"/>
      <c r="RMQ252" s="4"/>
      <c r="RMR252" s="9"/>
      <c r="RMS252" s="4"/>
      <c r="RMT252" s="9"/>
      <c r="RMU252" s="4"/>
      <c r="RMV252" s="9"/>
      <c r="RMW252" s="4"/>
      <c r="RMX252" s="9"/>
      <c r="RMY252" s="4"/>
      <c r="RMZ252" s="9"/>
      <c r="RNA252" s="4"/>
      <c r="RNB252" s="9"/>
      <c r="RNC252" s="4"/>
      <c r="RND252" s="9"/>
      <c r="RNE252" s="4"/>
      <c r="RNF252" s="9"/>
      <c r="RNG252" s="4"/>
      <c r="RNH252" s="9"/>
      <c r="RNI252" s="4"/>
      <c r="RNJ252" s="9"/>
      <c r="RNK252" s="4"/>
      <c r="RNL252" s="9"/>
      <c r="RNM252" s="4"/>
      <c r="RNN252" s="9"/>
      <c r="RNO252" s="4"/>
      <c r="RNP252" s="9"/>
      <c r="RNQ252" s="4"/>
      <c r="RNR252" s="9"/>
      <c r="RNS252" s="4"/>
      <c r="RNT252" s="9"/>
      <c r="RNU252" s="4"/>
      <c r="RNV252" s="9"/>
      <c r="RNW252" s="4"/>
      <c r="RNX252" s="9"/>
      <c r="RNY252" s="4"/>
      <c r="RNZ252" s="9"/>
      <c r="ROA252" s="4"/>
      <c r="ROB252" s="9"/>
      <c r="ROC252" s="4"/>
      <c r="ROD252" s="9"/>
      <c r="ROE252" s="4"/>
      <c r="ROF252" s="9"/>
      <c r="ROG252" s="4"/>
      <c r="ROH252" s="9"/>
      <c r="ROI252" s="4"/>
      <c r="ROJ252" s="9"/>
      <c r="ROK252" s="4"/>
      <c r="ROL252" s="9"/>
      <c r="ROM252" s="4"/>
      <c r="RON252" s="9"/>
      <c r="ROO252" s="4"/>
      <c r="ROP252" s="9"/>
      <c r="ROQ252" s="4"/>
      <c r="ROR252" s="9"/>
      <c r="ROS252" s="4"/>
      <c r="ROT252" s="9"/>
      <c r="ROU252" s="4"/>
      <c r="ROV252" s="9"/>
      <c r="ROW252" s="4"/>
      <c r="ROX252" s="9"/>
      <c r="ROY252" s="4"/>
      <c r="ROZ252" s="9"/>
      <c r="RPA252" s="4"/>
      <c r="RPB252" s="9"/>
      <c r="RPC252" s="4"/>
      <c r="RPD252" s="9"/>
      <c r="RPE252" s="4"/>
      <c r="RPF252" s="9"/>
      <c r="RPG252" s="4"/>
      <c r="RPH252" s="9"/>
      <c r="RPI252" s="4"/>
      <c r="RPJ252" s="9"/>
      <c r="RPK252" s="4"/>
      <c r="RPL252" s="9"/>
      <c r="RPM252" s="4"/>
      <c r="RPN252" s="9"/>
      <c r="RPO252" s="4"/>
      <c r="RPP252" s="9"/>
      <c r="RPQ252" s="4"/>
      <c r="RPR252" s="9"/>
      <c r="RPS252" s="4"/>
      <c r="RPT252" s="9"/>
      <c r="RPU252" s="4"/>
      <c r="RPV252" s="9"/>
      <c r="RPW252" s="4"/>
      <c r="RPX252" s="9"/>
      <c r="RPY252" s="4"/>
      <c r="RPZ252" s="9"/>
      <c r="RQA252" s="4"/>
      <c r="RQB252" s="9"/>
      <c r="RQC252" s="4"/>
      <c r="RQD252" s="9"/>
      <c r="RQE252" s="4"/>
      <c r="RQF252" s="9"/>
      <c r="RQG252" s="4"/>
      <c r="RQH252" s="9"/>
      <c r="RQI252" s="4"/>
      <c r="RQJ252" s="9"/>
      <c r="RQK252" s="4"/>
      <c r="RQL252" s="9"/>
      <c r="RQM252" s="4"/>
      <c r="RQN252" s="9"/>
      <c r="RQO252" s="4"/>
      <c r="RQP252" s="9"/>
      <c r="RQQ252" s="4"/>
      <c r="RQR252" s="9"/>
      <c r="RQS252" s="4"/>
      <c r="RQT252" s="9"/>
      <c r="RQU252" s="4"/>
      <c r="RQV252" s="9"/>
      <c r="RQW252" s="4"/>
      <c r="RQX252" s="9"/>
      <c r="RQY252" s="4"/>
      <c r="RQZ252" s="9"/>
      <c r="RRA252" s="4"/>
      <c r="RRB252" s="9"/>
      <c r="RRC252" s="4"/>
      <c r="RRD252" s="9"/>
      <c r="RRE252" s="4"/>
      <c r="RRF252" s="9"/>
      <c r="RRG252" s="4"/>
      <c r="RRH252" s="9"/>
      <c r="RRI252" s="4"/>
      <c r="RRJ252" s="9"/>
      <c r="RRK252" s="4"/>
      <c r="RRL252" s="9"/>
      <c r="RRM252" s="4"/>
      <c r="RRN252" s="9"/>
      <c r="RRO252" s="4"/>
      <c r="RRP252" s="9"/>
      <c r="RRQ252" s="4"/>
      <c r="RRR252" s="9"/>
      <c r="RRS252" s="4"/>
      <c r="RRT252" s="9"/>
      <c r="RRU252" s="4"/>
      <c r="RRV252" s="9"/>
      <c r="RRW252" s="4"/>
      <c r="RRX252" s="9"/>
      <c r="RRY252" s="4"/>
      <c r="RRZ252" s="9"/>
      <c r="RSA252" s="4"/>
      <c r="RSB252" s="9"/>
      <c r="RSC252" s="4"/>
      <c r="RSD252" s="9"/>
      <c r="RSE252" s="4"/>
      <c r="RSF252" s="9"/>
      <c r="RSG252" s="4"/>
      <c r="RSH252" s="9"/>
      <c r="RSI252" s="4"/>
      <c r="RSJ252" s="9"/>
      <c r="RSK252" s="4"/>
      <c r="RSL252" s="9"/>
      <c r="RSM252" s="4"/>
      <c r="RSN252" s="9"/>
      <c r="RSO252" s="4"/>
      <c r="RSP252" s="9"/>
      <c r="RSQ252" s="4"/>
      <c r="RSR252" s="9"/>
      <c r="RSS252" s="4"/>
      <c r="RST252" s="9"/>
      <c r="RSU252" s="4"/>
      <c r="RSV252" s="9"/>
      <c r="RSW252" s="4"/>
      <c r="RSX252" s="9"/>
      <c r="RSY252" s="4"/>
      <c r="RSZ252" s="9"/>
      <c r="RTA252" s="4"/>
      <c r="RTB252" s="9"/>
      <c r="RTC252" s="4"/>
      <c r="RTD252" s="9"/>
      <c r="RTE252" s="4"/>
      <c r="RTF252" s="9"/>
      <c r="RTG252" s="4"/>
      <c r="RTH252" s="9"/>
      <c r="RTI252" s="4"/>
      <c r="RTJ252" s="9"/>
      <c r="RTK252" s="4"/>
      <c r="RTL252" s="9"/>
      <c r="RTM252" s="4"/>
      <c r="RTN252" s="9"/>
      <c r="RTO252" s="4"/>
      <c r="RTP252" s="9"/>
      <c r="RTQ252" s="4"/>
      <c r="RTR252" s="9"/>
      <c r="RTS252" s="4"/>
      <c r="RTT252" s="9"/>
      <c r="RTU252" s="4"/>
      <c r="RTV252" s="9"/>
      <c r="RTW252" s="4"/>
      <c r="RTX252" s="9"/>
      <c r="RTY252" s="4"/>
      <c r="RTZ252" s="9"/>
      <c r="RUA252" s="4"/>
      <c r="RUB252" s="9"/>
      <c r="RUC252" s="4"/>
      <c r="RUD252" s="9"/>
      <c r="RUE252" s="4"/>
      <c r="RUF252" s="9"/>
      <c r="RUG252" s="4"/>
      <c r="RUH252" s="9"/>
      <c r="RUI252" s="4"/>
      <c r="RUJ252" s="9"/>
      <c r="RUK252" s="4"/>
      <c r="RUL252" s="9"/>
      <c r="RUM252" s="4"/>
      <c r="RUN252" s="9"/>
      <c r="RUO252" s="4"/>
      <c r="RUP252" s="9"/>
      <c r="RUQ252" s="4"/>
      <c r="RUR252" s="9"/>
      <c r="RUS252" s="4"/>
      <c r="RUT252" s="9"/>
      <c r="RUU252" s="4"/>
      <c r="RUV252" s="9"/>
      <c r="RUW252" s="4"/>
      <c r="RUX252" s="9"/>
      <c r="RUY252" s="4"/>
      <c r="RUZ252" s="9"/>
      <c r="RVA252" s="4"/>
      <c r="RVB252" s="9"/>
      <c r="RVC252" s="4"/>
      <c r="RVD252" s="9"/>
      <c r="RVE252" s="4"/>
      <c r="RVF252" s="9"/>
      <c r="RVG252" s="4"/>
      <c r="RVH252" s="9"/>
      <c r="RVI252" s="4"/>
      <c r="RVJ252" s="9"/>
      <c r="RVK252" s="4"/>
      <c r="RVL252" s="9"/>
      <c r="RVM252" s="4"/>
      <c r="RVN252" s="9"/>
      <c r="RVO252" s="4"/>
      <c r="RVP252" s="9"/>
      <c r="RVQ252" s="4"/>
      <c r="RVR252" s="9"/>
      <c r="RVS252" s="4"/>
      <c r="RVT252" s="9"/>
      <c r="RVU252" s="4"/>
      <c r="RVV252" s="9"/>
      <c r="RVW252" s="4"/>
      <c r="RVX252" s="9"/>
      <c r="RVY252" s="4"/>
      <c r="RVZ252" s="9"/>
      <c r="RWA252" s="4"/>
      <c r="RWB252" s="9"/>
      <c r="RWC252" s="4"/>
      <c r="RWD252" s="9"/>
      <c r="RWE252" s="4"/>
      <c r="RWF252" s="9"/>
      <c r="RWG252" s="4"/>
      <c r="RWH252" s="9"/>
      <c r="RWI252" s="4"/>
      <c r="RWJ252" s="9"/>
      <c r="RWK252" s="4"/>
      <c r="RWL252" s="9"/>
      <c r="RWM252" s="4"/>
      <c r="RWN252" s="9"/>
      <c r="RWO252" s="4"/>
      <c r="RWP252" s="9"/>
      <c r="RWQ252" s="4"/>
      <c r="RWR252" s="9"/>
      <c r="RWS252" s="4"/>
      <c r="RWT252" s="9"/>
      <c r="RWU252" s="4"/>
      <c r="RWV252" s="9"/>
      <c r="RWW252" s="4"/>
      <c r="RWX252" s="9"/>
      <c r="RWY252" s="4"/>
      <c r="RWZ252" s="9"/>
      <c r="RXA252" s="4"/>
      <c r="RXB252" s="9"/>
      <c r="RXC252" s="4"/>
      <c r="RXD252" s="9"/>
      <c r="RXE252" s="4"/>
      <c r="RXF252" s="9"/>
      <c r="RXG252" s="4"/>
      <c r="RXH252" s="9"/>
      <c r="RXI252" s="4"/>
      <c r="RXJ252" s="9"/>
      <c r="RXK252" s="4"/>
      <c r="RXL252" s="9"/>
      <c r="RXM252" s="4"/>
      <c r="RXN252" s="9"/>
      <c r="RXO252" s="4"/>
      <c r="RXP252" s="9"/>
      <c r="RXQ252" s="4"/>
      <c r="RXR252" s="9"/>
      <c r="RXS252" s="4"/>
      <c r="RXT252" s="9"/>
      <c r="RXU252" s="4"/>
      <c r="RXV252" s="9"/>
      <c r="RXW252" s="4"/>
      <c r="RXX252" s="9"/>
      <c r="RXY252" s="4"/>
      <c r="RXZ252" s="9"/>
      <c r="RYA252" s="4"/>
      <c r="RYB252" s="9"/>
      <c r="RYC252" s="4"/>
      <c r="RYD252" s="9"/>
      <c r="RYE252" s="4"/>
      <c r="RYF252" s="9"/>
      <c r="RYG252" s="4"/>
      <c r="RYH252" s="9"/>
      <c r="RYI252" s="4"/>
      <c r="RYJ252" s="9"/>
      <c r="RYK252" s="4"/>
      <c r="RYL252" s="9"/>
      <c r="RYM252" s="4"/>
      <c r="RYN252" s="9"/>
      <c r="RYO252" s="4"/>
      <c r="RYP252" s="9"/>
      <c r="RYQ252" s="4"/>
      <c r="RYR252" s="9"/>
      <c r="RYS252" s="4"/>
      <c r="RYT252" s="9"/>
      <c r="RYU252" s="4"/>
      <c r="RYV252" s="9"/>
      <c r="RYW252" s="4"/>
      <c r="RYX252" s="9"/>
      <c r="RYY252" s="4"/>
      <c r="RYZ252" s="9"/>
      <c r="RZA252" s="4"/>
      <c r="RZB252" s="9"/>
      <c r="RZC252" s="4"/>
      <c r="RZD252" s="9"/>
      <c r="RZE252" s="4"/>
      <c r="RZF252" s="9"/>
      <c r="RZG252" s="4"/>
      <c r="RZH252" s="9"/>
      <c r="RZI252" s="4"/>
      <c r="RZJ252" s="9"/>
      <c r="RZK252" s="4"/>
      <c r="RZL252" s="9"/>
      <c r="RZM252" s="4"/>
      <c r="RZN252" s="9"/>
      <c r="RZO252" s="4"/>
      <c r="RZP252" s="9"/>
      <c r="RZQ252" s="4"/>
      <c r="RZR252" s="9"/>
      <c r="RZS252" s="4"/>
      <c r="RZT252" s="9"/>
      <c r="RZU252" s="4"/>
      <c r="RZV252" s="9"/>
      <c r="RZW252" s="4"/>
      <c r="RZX252" s="9"/>
      <c r="RZY252" s="4"/>
      <c r="RZZ252" s="9"/>
      <c r="SAA252" s="4"/>
      <c r="SAB252" s="9"/>
      <c r="SAC252" s="4"/>
      <c r="SAD252" s="9"/>
      <c r="SAE252" s="4"/>
      <c r="SAF252" s="9"/>
      <c r="SAG252" s="4"/>
      <c r="SAH252" s="9"/>
      <c r="SAI252" s="4"/>
      <c r="SAJ252" s="9"/>
      <c r="SAK252" s="4"/>
      <c r="SAL252" s="9"/>
      <c r="SAM252" s="4"/>
      <c r="SAN252" s="9"/>
      <c r="SAO252" s="4"/>
      <c r="SAP252" s="9"/>
      <c r="SAQ252" s="4"/>
      <c r="SAR252" s="9"/>
      <c r="SAS252" s="4"/>
      <c r="SAT252" s="9"/>
      <c r="SAU252" s="4"/>
      <c r="SAV252" s="9"/>
      <c r="SAW252" s="4"/>
      <c r="SAX252" s="9"/>
      <c r="SAY252" s="4"/>
      <c r="SAZ252" s="9"/>
      <c r="SBA252" s="4"/>
      <c r="SBB252" s="9"/>
      <c r="SBC252" s="4"/>
      <c r="SBD252" s="9"/>
      <c r="SBE252" s="4"/>
      <c r="SBF252" s="9"/>
      <c r="SBG252" s="4"/>
      <c r="SBH252" s="9"/>
      <c r="SBI252" s="4"/>
      <c r="SBJ252" s="9"/>
      <c r="SBK252" s="4"/>
      <c r="SBL252" s="9"/>
      <c r="SBM252" s="4"/>
      <c r="SBN252" s="9"/>
      <c r="SBO252" s="4"/>
      <c r="SBP252" s="9"/>
      <c r="SBQ252" s="4"/>
      <c r="SBR252" s="9"/>
      <c r="SBS252" s="4"/>
      <c r="SBT252" s="9"/>
      <c r="SBU252" s="4"/>
      <c r="SBV252" s="9"/>
      <c r="SBW252" s="4"/>
      <c r="SBX252" s="9"/>
      <c r="SBY252" s="4"/>
      <c r="SBZ252" s="9"/>
      <c r="SCA252" s="4"/>
      <c r="SCB252" s="9"/>
      <c r="SCC252" s="4"/>
      <c r="SCD252" s="9"/>
      <c r="SCE252" s="4"/>
      <c r="SCF252" s="9"/>
      <c r="SCG252" s="4"/>
      <c r="SCH252" s="9"/>
      <c r="SCI252" s="4"/>
      <c r="SCJ252" s="9"/>
      <c r="SCK252" s="4"/>
      <c r="SCL252" s="9"/>
      <c r="SCM252" s="4"/>
      <c r="SCN252" s="9"/>
      <c r="SCO252" s="4"/>
      <c r="SCP252" s="9"/>
      <c r="SCQ252" s="4"/>
      <c r="SCR252" s="9"/>
      <c r="SCS252" s="4"/>
      <c r="SCT252" s="9"/>
      <c r="SCU252" s="4"/>
      <c r="SCV252" s="9"/>
      <c r="SCW252" s="4"/>
      <c r="SCX252" s="9"/>
      <c r="SCY252" s="4"/>
      <c r="SCZ252" s="9"/>
      <c r="SDA252" s="4"/>
      <c r="SDB252" s="9"/>
      <c r="SDC252" s="4"/>
      <c r="SDD252" s="9"/>
      <c r="SDE252" s="4"/>
      <c r="SDF252" s="9"/>
      <c r="SDG252" s="4"/>
      <c r="SDH252" s="9"/>
      <c r="SDI252" s="4"/>
      <c r="SDJ252" s="9"/>
      <c r="SDK252" s="4"/>
      <c r="SDL252" s="9"/>
      <c r="SDM252" s="4"/>
      <c r="SDN252" s="9"/>
      <c r="SDO252" s="4"/>
      <c r="SDP252" s="9"/>
      <c r="SDQ252" s="4"/>
      <c r="SDR252" s="9"/>
      <c r="SDS252" s="4"/>
      <c r="SDT252" s="9"/>
      <c r="SDU252" s="4"/>
      <c r="SDV252" s="9"/>
      <c r="SDW252" s="4"/>
      <c r="SDX252" s="9"/>
      <c r="SDY252" s="4"/>
      <c r="SDZ252" s="9"/>
      <c r="SEA252" s="4"/>
      <c r="SEB252" s="9"/>
      <c r="SEC252" s="4"/>
      <c r="SED252" s="9"/>
      <c r="SEE252" s="4"/>
      <c r="SEF252" s="9"/>
      <c r="SEG252" s="4"/>
      <c r="SEH252" s="9"/>
      <c r="SEI252" s="4"/>
      <c r="SEJ252" s="9"/>
      <c r="SEK252" s="4"/>
      <c r="SEL252" s="9"/>
      <c r="SEM252" s="4"/>
      <c r="SEN252" s="9"/>
      <c r="SEO252" s="4"/>
      <c r="SEP252" s="9"/>
      <c r="SEQ252" s="4"/>
      <c r="SER252" s="9"/>
      <c r="SES252" s="4"/>
      <c r="SET252" s="9"/>
      <c r="SEU252" s="4"/>
      <c r="SEV252" s="9"/>
      <c r="SEW252" s="4"/>
      <c r="SEX252" s="9"/>
      <c r="SEY252" s="4"/>
      <c r="SEZ252" s="9"/>
      <c r="SFA252" s="4"/>
      <c r="SFB252" s="9"/>
      <c r="SFC252" s="4"/>
      <c r="SFD252" s="9"/>
      <c r="SFE252" s="4"/>
      <c r="SFF252" s="9"/>
      <c r="SFG252" s="4"/>
      <c r="SFH252" s="9"/>
      <c r="SFI252" s="4"/>
      <c r="SFJ252" s="9"/>
      <c r="SFK252" s="4"/>
      <c r="SFL252" s="9"/>
      <c r="SFM252" s="4"/>
      <c r="SFN252" s="9"/>
      <c r="SFO252" s="4"/>
      <c r="SFP252" s="9"/>
      <c r="SFQ252" s="4"/>
      <c r="SFR252" s="9"/>
      <c r="SFS252" s="4"/>
      <c r="SFT252" s="9"/>
      <c r="SFU252" s="4"/>
      <c r="SFV252" s="9"/>
      <c r="SFW252" s="4"/>
      <c r="SFX252" s="9"/>
      <c r="SFY252" s="4"/>
      <c r="SFZ252" s="9"/>
      <c r="SGA252" s="4"/>
      <c r="SGB252" s="9"/>
      <c r="SGC252" s="4"/>
      <c r="SGD252" s="9"/>
      <c r="SGE252" s="4"/>
      <c r="SGF252" s="9"/>
      <c r="SGG252" s="4"/>
      <c r="SGH252" s="9"/>
      <c r="SGI252" s="4"/>
      <c r="SGJ252" s="9"/>
      <c r="SGK252" s="4"/>
      <c r="SGL252" s="9"/>
      <c r="SGM252" s="4"/>
      <c r="SGN252" s="9"/>
      <c r="SGO252" s="4"/>
      <c r="SGP252" s="9"/>
      <c r="SGQ252" s="4"/>
      <c r="SGR252" s="9"/>
      <c r="SGS252" s="4"/>
      <c r="SGT252" s="9"/>
      <c r="SGU252" s="4"/>
      <c r="SGV252" s="9"/>
      <c r="SGW252" s="4"/>
      <c r="SGX252" s="9"/>
      <c r="SGY252" s="4"/>
      <c r="SGZ252" s="9"/>
      <c r="SHA252" s="4"/>
      <c r="SHB252" s="9"/>
      <c r="SHC252" s="4"/>
      <c r="SHD252" s="9"/>
      <c r="SHE252" s="4"/>
      <c r="SHF252" s="9"/>
      <c r="SHG252" s="4"/>
      <c r="SHH252" s="9"/>
      <c r="SHI252" s="4"/>
      <c r="SHJ252" s="9"/>
      <c r="SHK252" s="4"/>
      <c r="SHL252" s="9"/>
      <c r="SHM252" s="4"/>
      <c r="SHN252" s="9"/>
      <c r="SHO252" s="4"/>
      <c r="SHP252" s="9"/>
      <c r="SHQ252" s="4"/>
      <c r="SHR252" s="9"/>
      <c r="SHS252" s="4"/>
      <c r="SHT252" s="9"/>
      <c r="SHU252" s="4"/>
      <c r="SHV252" s="9"/>
      <c r="SHW252" s="4"/>
      <c r="SHX252" s="9"/>
      <c r="SHY252" s="4"/>
      <c r="SHZ252" s="9"/>
      <c r="SIA252" s="4"/>
      <c r="SIB252" s="9"/>
      <c r="SIC252" s="4"/>
      <c r="SID252" s="9"/>
      <c r="SIE252" s="4"/>
      <c r="SIF252" s="9"/>
      <c r="SIG252" s="4"/>
      <c r="SIH252" s="9"/>
      <c r="SII252" s="4"/>
      <c r="SIJ252" s="9"/>
      <c r="SIK252" s="4"/>
      <c r="SIL252" s="9"/>
      <c r="SIM252" s="4"/>
      <c r="SIN252" s="9"/>
      <c r="SIO252" s="4"/>
      <c r="SIP252" s="9"/>
      <c r="SIQ252" s="4"/>
      <c r="SIR252" s="9"/>
      <c r="SIS252" s="4"/>
      <c r="SIT252" s="9"/>
      <c r="SIU252" s="4"/>
      <c r="SIV252" s="9"/>
      <c r="SIW252" s="4"/>
      <c r="SIX252" s="9"/>
      <c r="SIY252" s="4"/>
      <c r="SIZ252" s="9"/>
      <c r="SJA252" s="4"/>
      <c r="SJB252" s="9"/>
      <c r="SJC252" s="4"/>
      <c r="SJD252" s="9"/>
      <c r="SJE252" s="4"/>
      <c r="SJF252" s="9"/>
      <c r="SJG252" s="4"/>
      <c r="SJH252" s="9"/>
      <c r="SJI252" s="4"/>
      <c r="SJJ252" s="9"/>
      <c r="SJK252" s="4"/>
      <c r="SJL252" s="9"/>
      <c r="SJM252" s="4"/>
      <c r="SJN252" s="9"/>
      <c r="SJO252" s="4"/>
      <c r="SJP252" s="9"/>
      <c r="SJQ252" s="4"/>
      <c r="SJR252" s="9"/>
      <c r="SJS252" s="4"/>
      <c r="SJT252" s="9"/>
      <c r="SJU252" s="4"/>
      <c r="SJV252" s="9"/>
      <c r="SJW252" s="4"/>
      <c r="SJX252" s="9"/>
      <c r="SJY252" s="4"/>
      <c r="SJZ252" s="9"/>
      <c r="SKA252" s="4"/>
      <c r="SKB252" s="9"/>
      <c r="SKC252" s="4"/>
      <c r="SKD252" s="9"/>
      <c r="SKE252" s="4"/>
      <c r="SKF252" s="9"/>
      <c r="SKG252" s="4"/>
      <c r="SKH252" s="9"/>
      <c r="SKI252" s="4"/>
      <c r="SKJ252" s="9"/>
      <c r="SKK252" s="4"/>
      <c r="SKL252" s="9"/>
      <c r="SKM252" s="4"/>
      <c r="SKN252" s="9"/>
      <c r="SKO252" s="4"/>
      <c r="SKP252" s="9"/>
      <c r="SKQ252" s="4"/>
      <c r="SKR252" s="9"/>
      <c r="SKS252" s="4"/>
      <c r="SKT252" s="9"/>
      <c r="SKU252" s="4"/>
      <c r="SKV252" s="9"/>
      <c r="SKW252" s="4"/>
      <c r="SKX252" s="9"/>
      <c r="SKY252" s="4"/>
      <c r="SKZ252" s="9"/>
      <c r="SLA252" s="4"/>
      <c r="SLB252" s="9"/>
      <c r="SLC252" s="4"/>
      <c r="SLD252" s="9"/>
      <c r="SLE252" s="4"/>
      <c r="SLF252" s="9"/>
      <c r="SLG252" s="4"/>
      <c r="SLH252" s="9"/>
      <c r="SLI252" s="4"/>
      <c r="SLJ252" s="9"/>
      <c r="SLK252" s="4"/>
      <c r="SLL252" s="9"/>
      <c r="SLM252" s="4"/>
      <c r="SLN252" s="9"/>
      <c r="SLO252" s="4"/>
      <c r="SLP252" s="9"/>
      <c r="SLQ252" s="4"/>
      <c r="SLR252" s="9"/>
      <c r="SLS252" s="4"/>
      <c r="SLT252" s="9"/>
      <c r="SLU252" s="4"/>
      <c r="SLV252" s="9"/>
      <c r="SLW252" s="4"/>
      <c r="SLX252" s="9"/>
      <c r="SLY252" s="4"/>
      <c r="SLZ252" s="9"/>
      <c r="SMA252" s="4"/>
      <c r="SMB252" s="9"/>
      <c r="SMC252" s="4"/>
      <c r="SMD252" s="9"/>
      <c r="SME252" s="4"/>
      <c r="SMF252" s="9"/>
      <c r="SMG252" s="4"/>
      <c r="SMH252" s="9"/>
      <c r="SMI252" s="4"/>
      <c r="SMJ252" s="9"/>
      <c r="SMK252" s="4"/>
      <c r="SML252" s="9"/>
      <c r="SMM252" s="4"/>
      <c r="SMN252" s="9"/>
      <c r="SMO252" s="4"/>
      <c r="SMP252" s="9"/>
      <c r="SMQ252" s="4"/>
      <c r="SMR252" s="9"/>
      <c r="SMS252" s="4"/>
      <c r="SMT252" s="9"/>
      <c r="SMU252" s="4"/>
      <c r="SMV252" s="9"/>
      <c r="SMW252" s="4"/>
      <c r="SMX252" s="9"/>
      <c r="SMY252" s="4"/>
      <c r="SMZ252" s="9"/>
      <c r="SNA252" s="4"/>
      <c r="SNB252" s="9"/>
      <c r="SNC252" s="4"/>
      <c r="SND252" s="9"/>
      <c r="SNE252" s="4"/>
      <c r="SNF252" s="9"/>
      <c r="SNG252" s="4"/>
      <c r="SNH252" s="9"/>
      <c r="SNI252" s="4"/>
      <c r="SNJ252" s="9"/>
      <c r="SNK252" s="4"/>
      <c r="SNL252" s="9"/>
      <c r="SNM252" s="4"/>
      <c r="SNN252" s="9"/>
      <c r="SNO252" s="4"/>
      <c r="SNP252" s="9"/>
      <c r="SNQ252" s="4"/>
      <c r="SNR252" s="9"/>
      <c r="SNS252" s="4"/>
      <c r="SNT252" s="9"/>
      <c r="SNU252" s="4"/>
      <c r="SNV252" s="9"/>
      <c r="SNW252" s="4"/>
      <c r="SNX252" s="9"/>
      <c r="SNY252" s="4"/>
      <c r="SNZ252" s="9"/>
      <c r="SOA252" s="4"/>
      <c r="SOB252" s="9"/>
      <c r="SOC252" s="4"/>
      <c r="SOD252" s="9"/>
      <c r="SOE252" s="4"/>
      <c r="SOF252" s="9"/>
      <c r="SOG252" s="4"/>
      <c r="SOH252" s="9"/>
      <c r="SOI252" s="4"/>
      <c r="SOJ252" s="9"/>
      <c r="SOK252" s="4"/>
      <c r="SOL252" s="9"/>
      <c r="SOM252" s="4"/>
      <c r="SON252" s="9"/>
      <c r="SOO252" s="4"/>
      <c r="SOP252" s="9"/>
      <c r="SOQ252" s="4"/>
      <c r="SOR252" s="9"/>
      <c r="SOS252" s="4"/>
      <c r="SOT252" s="9"/>
      <c r="SOU252" s="4"/>
      <c r="SOV252" s="9"/>
      <c r="SOW252" s="4"/>
      <c r="SOX252" s="9"/>
      <c r="SOY252" s="4"/>
      <c r="SOZ252" s="9"/>
      <c r="SPA252" s="4"/>
      <c r="SPB252" s="9"/>
      <c r="SPC252" s="4"/>
      <c r="SPD252" s="9"/>
      <c r="SPE252" s="4"/>
      <c r="SPF252" s="9"/>
      <c r="SPG252" s="4"/>
      <c r="SPH252" s="9"/>
      <c r="SPI252" s="4"/>
      <c r="SPJ252" s="9"/>
      <c r="SPK252" s="4"/>
      <c r="SPL252" s="9"/>
      <c r="SPM252" s="4"/>
      <c r="SPN252" s="9"/>
      <c r="SPO252" s="4"/>
      <c r="SPP252" s="9"/>
      <c r="SPQ252" s="4"/>
      <c r="SPR252" s="9"/>
      <c r="SPS252" s="4"/>
      <c r="SPT252" s="9"/>
      <c r="SPU252" s="4"/>
      <c r="SPV252" s="9"/>
      <c r="SPW252" s="4"/>
      <c r="SPX252" s="9"/>
      <c r="SPY252" s="4"/>
      <c r="SPZ252" s="9"/>
      <c r="SQA252" s="4"/>
      <c r="SQB252" s="9"/>
      <c r="SQC252" s="4"/>
      <c r="SQD252" s="9"/>
      <c r="SQE252" s="4"/>
      <c r="SQF252" s="9"/>
      <c r="SQG252" s="4"/>
      <c r="SQH252" s="9"/>
      <c r="SQI252" s="4"/>
      <c r="SQJ252" s="9"/>
      <c r="SQK252" s="4"/>
      <c r="SQL252" s="9"/>
      <c r="SQM252" s="4"/>
      <c r="SQN252" s="9"/>
      <c r="SQO252" s="4"/>
      <c r="SQP252" s="9"/>
      <c r="SQQ252" s="4"/>
      <c r="SQR252" s="9"/>
      <c r="SQS252" s="4"/>
      <c r="SQT252" s="9"/>
      <c r="SQU252" s="4"/>
      <c r="SQV252" s="9"/>
      <c r="SQW252" s="4"/>
      <c r="SQX252" s="9"/>
      <c r="SQY252" s="4"/>
      <c r="SQZ252" s="9"/>
      <c r="SRA252" s="4"/>
      <c r="SRB252" s="9"/>
      <c r="SRC252" s="4"/>
      <c r="SRD252" s="9"/>
      <c r="SRE252" s="4"/>
      <c r="SRF252" s="9"/>
      <c r="SRG252" s="4"/>
      <c r="SRH252" s="9"/>
      <c r="SRI252" s="4"/>
      <c r="SRJ252" s="9"/>
      <c r="SRK252" s="4"/>
      <c r="SRL252" s="9"/>
      <c r="SRM252" s="4"/>
      <c r="SRN252" s="9"/>
      <c r="SRO252" s="4"/>
      <c r="SRP252" s="9"/>
      <c r="SRQ252" s="4"/>
      <c r="SRR252" s="9"/>
      <c r="SRS252" s="4"/>
      <c r="SRT252" s="9"/>
      <c r="SRU252" s="4"/>
      <c r="SRV252" s="9"/>
      <c r="SRW252" s="4"/>
      <c r="SRX252" s="9"/>
      <c r="SRY252" s="4"/>
      <c r="SRZ252" s="9"/>
      <c r="SSA252" s="4"/>
      <c r="SSB252" s="9"/>
      <c r="SSC252" s="4"/>
      <c r="SSD252" s="9"/>
      <c r="SSE252" s="4"/>
      <c r="SSF252" s="9"/>
      <c r="SSG252" s="4"/>
      <c r="SSH252" s="9"/>
      <c r="SSI252" s="4"/>
      <c r="SSJ252" s="9"/>
      <c r="SSK252" s="4"/>
      <c r="SSL252" s="9"/>
      <c r="SSM252" s="4"/>
      <c r="SSN252" s="9"/>
      <c r="SSO252" s="4"/>
      <c r="SSP252" s="9"/>
      <c r="SSQ252" s="4"/>
      <c r="SSR252" s="9"/>
      <c r="SSS252" s="4"/>
      <c r="SST252" s="9"/>
      <c r="SSU252" s="4"/>
      <c r="SSV252" s="9"/>
      <c r="SSW252" s="4"/>
      <c r="SSX252" s="9"/>
      <c r="SSY252" s="4"/>
      <c r="SSZ252" s="9"/>
      <c r="STA252" s="4"/>
      <c r="STB252" s="9"/>
      <c r="STC252" s="4"/>
      <c r="STD252" s="9"/>
      <c r="STE252" s="4"/>
      <c r="STF252" s="9"/>
      <c r="STG252" s="4"/>
      <c r="STH252" s="9"/>
      <c r="STI252" s="4"/>
      <c r="STJ252" s="9"/>
      <c r="STK252" s="4"/>
      <c r="STL252" s="9"/>
      <c r="STM252" s="4"/>
      <c r="STN252" s="9"/>
      <c r="STO252" s="4"/>
      <c r="STP252" s="9"/>
      <c r="STQ252" s="4"/>
      <c r="STR252" s="9"/>
      <c r="STS252" s="4"/>
      <c r="STT252" s="9"/>
      <c r="STU252" s="4"/>
      <c r="STV252" s="9"/>
      <c r="STW252" s="4"/>
      <c r="STX252" s="9"/>
      <c r="STY252" s="4"/>
      <c r="STZ252" s="9"/>
      <c r="SUA252" s="4"/>
      <c r="SUB252" s="9"/>
      <c r="SUC252" s="4"/>
      <c r="SUD252" s="9"/>
      <c r="SUE252" s="4"/>
      <c r="SUF252" s="9"/>
      <c r="SUG252" s="4"/>
      <c r="SUH252" s="9"/>
      <c r="SUI252" s="4"/>
      <c r="SUJ252" s="9"/>
      <c r="SUK252" s="4"/>
      <c r="SUL252" s="9"/>
      <c r="SUM252" s="4"/>
      <c r="SUN252" s="9"/>
      <c r="SUO252" s="4"/>
      <c r="SUP252" s="9"/>
      <c r="SUQ252" s="4"/>
      <c r="SUR252" s="9"/>
      <c r="SUS252" s="4"/>
      <c r="SUT252" s="9"/>
      <c r="SUU252" s="4"/>
      <c r="SUV252" s="9"/>
      <c r="SUW252" s="4"/>
      <c r="SUX252" s="9"/>
      <c r="SUY252" s="4"/>
      <c r="SUZ252" s="9"/>
      <c r="SVA252" s="4"/>
      <c r="SVB252" s="9"/>
      <c r="SVC252" s="4"/>
      <c r="SVD252" s="9"/>
      <c r="SVE252" s="4"/>
      <c r="SVF252" s="9"/>
      <c r="SVG252" s="4"/>
      <c r="SVH252" s="9"/>
      <c r="SVI252" s="4"/>
      <c r="SVJ252" s="9"/>
      <c r="SVK252" s="4"/>
      <c r="SVL252" s="9"/>
      <c r="SVM252" s="4"/>
      <c r="SVN252" s="9"/>
      <c r="SVO252" s="4"/>
      <c r="SVP252" s="9"/>
      <c r="SVQ252" s="4"/>
      <c r="SVR252" s="9"/>
      <c r="SVS252" s="4"/>
      <c r="SVT252" s="9"/>
      <c r="SVU252" s="4"/>
      <c r="SVV252" s="9"/>
      <c r="SVW252" s="4"/>
      <c r="SVX252" s="9"/>
      <c r="SVY252" s="4"/>
      <c r="SVZ252" s="9"/>
      <c r="SWA252" s="4"/>
      <c r="SWB252" s="9"/>
      <c r="SWC252" s="4"/>
      <c r="SWD252" s="9"/>
      <c r="SWE252" s="4"/>
      <c r="SWF252" s="9"/>
      <c r="SWG252" s="4"/>
      <c r="SWH252" s="9"/>
      <c r="SWI252" s="4"/>
      <c r="SWJ252" s="9"/>
      <c r="SWK252" s="4"/>
      <c r="SWL252" s="9"/>
      <c r="SWM252" s="4"/>
      <c r="SWN252" s="9"/>
      <c r="SWO252" s="4"/>
      <c r="SWP252" s="9"/>
      <c r="SWQ252" s="4"/>
      <c r="SWR252" s="9"/>
      <c r="SWS252" s="4"/>
      <c r="SWT252" s="9"/>
      <c r="SWU252" s="4"/>
      <c r="SWV252" s="9"/>
      <c r="SWW252" s="4"/>
      <c r="SWX252" s="9"/>
      <c r="SWY252" s="4"/>
      <c r="SWZ252" s="9"/>
      <c r="SXA252" s="4"/>
      <c r="SXB252" s="9"/>
      <c r="SXC252" s="4"/>
      <c r="SXD252" s="9"/>
      <c r="SXE252" s="4"/>
      <c r="SXF252" s="9"/>
      <c r="SXG252" s="4"/>
      <c r="SXH252" s="9"/>
      <c r="SXI252" s="4"/>
      <c r="SXJ252" s="9"/>
      <c r="SXK252" s="4"/>
      <c r="SXL252" s="9"/>
      <c r="SXM252" s="4"/>
      <c r="SXN252" s="9"/>
      <c r="SXO252" s="4"/>
      <c r="SXP252" s="9"/>
      <c r="SXQ252" s="4"/>
      <c r="SXR252" s="9"/>
      <c r="SXS252" s="4"/>
      <c r="SXT252" s="9"/>
      <c r="SXU252" s="4"/>
      <c r="SXV252" s="9"/>
      <c r="SXW252" s="4"/>
      <c r="SXX252" s="9"/>
      <c r="SXY252" s="4"/>
      <c r="SXZ252" s="9"/>
      <c r="SYA252" s="4"/>
      <c r="SYB252" s="9"/>
      <c r="SYC252" s="4"/>
      <c r="SYD252" s="9"/>
      <c r="SYE252" s="4"/>
      <c r="SYF252" s="9"/>
      <c r="SYG252" s="4"/>
      <c r="SYH252" s="9"/>
      <c r="SYI252" s="4"/>
      <c r="SYJ252" s="9"/>
      <c r="SYK252" s="4"/>
      <c r="SYL252" s="9"/>
      <c r="SYM252" s="4"/>
      <c r="SYN252" s="9"/>
      <c r="SYO252" s="4"/>
      <c r="SYP252" s="9"/>
      <c r="SYQ252" s="4"/>
      <c r="SYR252" s="9"/>
      <c r="SYS252" s="4"/>
      <c r="SYT252" s="9"/>
      <c r="SYU252" s="4"/>
      <c r="SYV252" s="9"/>
      <c r="SYW252" s="4"/>
      <c r="SYX252" s="9"/>
      <c r="SYY252" s="4"/>
      <c r="SYZ252" s="9"/>
      <c r="SZA252" s="4"/>
      <c r="SZB252" s="9"/>
      <c r="SZC252" s="4"/>
      <c r="SZD252" s="9"/>
      <c r="SZE252" s="4"/>
      <c r="SZF252" s="9"/>
      <c r="SZG252" s="4"/>
      <c r="SZH252" s="9"/>
      <c r="SZI252" s="4"/>
      <c r="SZJ252" s="9"/>
      <c r="SZK252" s="4"/>
      <c r="SZL252" s="9"/>
      <c r="SZM252" s="4"/>
      <c r="SZN252" s="9"/>
      <c r="SZO252" s="4"/>
      <c r="SZP252" s="9"/>
      <c r="SZQ252" s="4"/>
      <c r="SZR252" s="9"/>
      <c r="SZS252" s="4"/>
      <c r="SZT252" s="9"/>
      <c r="SZU252" s="4"/>
      <c r="SZV252" s="9"/>
      <c r="SZW252" s="4"/>
      <c r="SZX252" s="9"/>
      <c r="SZY252" s="4"/>
      <c r="SZZ252" s="9"/>
      <c r="TAA252" s="4"/>
      <c r="TAB252" s="9"/>
      <c r="TAC252" s="4"/>
      <c r="TAD252" s="9"/>
      <c r="TAE252" s="4"/>
      <c r="TAF252" s="9"/>
      <c r="TAG252" s="4"/>
      <c r="TAH252" s="9"/>
      <c r="TAI252" s="4"/>
      <c r="TAJ252" s="9"/>
      <c r="TAK252" s="4"/>
      <c r="TAL252" s="9"/>
      <c r="TAM252" s="4"/>
      <c r="TAN252" s="9"/>
      <c r="TAO252" s="4"/>
      <c r="TAP252" s="9"/>
      <c r="TAQ252" s="4"/>
      <c r="TAR252" s="9"/>
      <c r="TAS252" s="4"/>
      <c r="TAT252" s="9"/>
      <c r="TAU252" s="4"/>
      <c r="TAV252" s="9"/>
      <c r="TAW252" s="4"/>
      <c r="TAX252" s="9"/>
      <c r="TAY252" s="4"/>
      <c r="TAZ252" s="9"/>
      <c r="TBA252" s="4"/>
      <c r="TBB252" s="9"/>
      <c r="TBC252" s="4"/>
      <c r="TBD252" s="9"/>
      <c r="TBE252" s="4"/>
      <c r="TBF252" s="9"/>
      <c r="TBG252" s="4"/>
      <c r="TBH252" s="9"/>
      <c r="TBI252" s="4"/>
      <c r="TBJ252" s="9"/>
      <c r="TBK252" s="4"/>
      <c r="TBL252" s="9"/>
      <c r="TBM252" s="4"/>
      <c r="TBN252" s="9"/>
      <c r="TBO252" s="4"/>
      <c r="TBP252" s="9"/>
      <c r="TBQ252" s="4"/>
      <c r="TBR252" s="9"/>
      <c r="TBS252" s="4"/>
      <c r="TBT252" s="9"/>
      <c r="TBU252" s="4"/>
      <c r="TBV252" s="9"/>
      <c r="TBW252" s="4"/>
      <c r="TBX252" s="9"/>
      <c r="TBY252" s="4"/>
      <c r="TBZ252" s="9"/>
      <c r="TCA252" s="4"/>
      <c r="TCB252" s="9"/>
      <c r="TCC252" s="4"/>
      <c r="TCD252" s="9"/>
      <c r="TCE252" s="4"/>
      <c r="TCF252" s="9"/>
      <c r="TCG252" s="4"/>
      <c r="TCH252" s="9"/>
      <c r="TCI252" s="4"/>
      <c r="TCJ252" s="9"/>
      <c r="TCK252" s="4"/>
      <c r="TCL252" s="9"/>
      <c r="TCM252" s="4"/>
      <c r="TCN252" s="9"/>
      <c r="TCO252" s="4"/>
      <c r="TCP252" s="9"/>
      <c r="TCQ252" s="4"/>
      <c r="TCR252" s="9"/>
      <c r="TCS252" s="4"/>
      <c r="TCT252" s="9"/>
      <c r="TCU252" s="4"/>
      <c r="TCV252" s="9"/>
      <c r="TCW252" s="4"/>
      <c r="TCX252" s="9"/>
      <c r="TCY252" s="4"/>
      <c r="TCZ252" s="9"/>
      <c r="TDA252" s="4"/>
      <c r="TDB252" s="9"/>
      <c r="TDC252" s="4"/>
      <c r="TDD252" s="9"/>
      <c r="TDE252" s="4"/>
      <c r="TDF252" s="9"/>
      <c r="TDG252" s="4"/>
      <c r="TDH252" s="9"/>
      <c r="TDI252" s="4"/>
      <c r="TDJ252" s="9"/>
      <c r="TDK252" s="4"/>
      <c r="TDL252" s="9"/>
      <c r="TDM252" s="4"/>
      <c r="TDN252" s="9"/>
      <c r="TDO252" s="4"/>
      <c r="TDP252" s="9"/>
      <c r="TDQ252" s="4"/>
      <c r="TDR252" s="9"/>
      <c r="TDS252" s="4"/>
      <c r="TDT252" s="9"/>
      <c r="TDU252" s="4"/>
      <c r="TDV252" s="9"/>
      <c r="TDW252" s="4"/>
      <c r="TDX252" s="9"/>
      <c r="TDY252" s="4"/>
      <c r="TDZ252" s="9"/>
      <c r="TEA252" s="4"/>
      <c r="TEB252" s="9"/>
      <c r="TEC252" s="4"/>
      <c r="TED252" s="9"/>
      <c r="TEE252" s="4"/>
      <c r="TEF252" s="9"/>
      <c r="TEG252" s="4"/>
      <c r="TEH252" s="9"/>
      <c r="TEI252" s="4"/>
      <c r="TEJ252" s="9"/>
      <c r="TEK252" s="4"/>
      <c r="TEL252" s="9"/>
      <c r="TEM252" s="4"/>
      <c r="TEN252" s="9"/>
      <c r="TEO252" s="4"/>
      <c r="TEP252" s="9"/>
      <c r="TEQ252" s="4"/>
      <c r="TER252" s="9"/>
      <c r="TES252" s="4"/>
      <c r="TET252" s="9"/>
      <c r="TEU252" s="4"/>
      <c r="TEV252" s="9"/>
      <c r="TEW252" s="4"/>
      <c r="TEX252" s="9"/>
      <c r="TEY252" s="4"/>
      <c r="TEZ252" s="9"/>
      <c r="TFA252" s="4"/>
      <c r="TFB252" s="9"/>
      <c r="TFC252" s="4"/>
      <c r="TFD252" s="9"/>
      <c r="TFE252" s="4"/>
      <c r="TFF252" s="9"/>
      <c r="TFG252" s="4"/>
      <c r="TFH252" s="9"/>
      <c r="TFI252" s="4"/>
      <c r="TFJ252" s="9"/>
      <c r="TFK252" s="4"/>
      <c r="TFL252" s="9"/>
      <c r="TFM252" s="4"/>
      <c r="TFN252" s="9"/>
      <c r="TFO252" s="4"/>
      <c r="TFP252" s="9"/>
      <c r="TFQ252" s="4"/>
      <c r="TFR252" s="9"/>
      <c r="TFS252" s="4"/>
      <c r="TFT252" s="9"/>
      <c r="TFU252" s="4"/>
      <c r="TFV252" s="9"/>
      <c r="TFW252" s="4"/>
      <c r="TFX252" s="9"/>
      <c r="TFY252" s="4"/>
      <c r="TFZ252" s="9"/>
      <c r="TGA252" s="4"/>
      <c r="TGB252" s="9"/>
      <c r="TGC252" s="4"/>
      <c r="TGD252" s="9"/>
      <c r="TGE252" s="4"/>
      <c r="TGF252" s="9"/>
      <c r="TGG252" s="4"/>
      <c r="TGH252" s="9"/>
      <c r="TGI252" s="4"/>
      <c r="TGJ252" s="9"/>
      <c r="TGK252" s="4"/>
      <c r="TGL252" s="9"/>
      <c r="TGM252" s="4"/>
      <c r="TGN252" s="9"/>
      <c r="TGO252" s="4"/>
      <c r="TGP252" s="9"/>
      <c r="TGQ252" s="4"/>
      <c r="TGR252" s="9"/>
      <c r="TGS252" s="4"/>
      <c r="TGT252" s="9"/>
      <c r="TGU252" s="4"/>
      <c r="TGV252" s="9"/>
      <c r="TGW252" s="4"/>
      <c r="TGX252" s="9"/>
      <c r="TGY252" s="4"/>
      <c r="TGZ252" s="9"/>
      <c r="THA252" s="4"/>
      <c r="THB252" s="9"/>
      <c r="THC252" s="4"/>
      <c r="THD252" s="9"/>
      <c r="THE252" s="4"/>
      <c r="THF252" s="9"/>
      <c r="THG252" s="4"/>
      <c r="THH252" s="9"/>
      <c r="THI252" s="4"/>
      <c r="THJ252" s="9"/>
      <c r="THK252" s="4"/>
      <c r="THL252" s="9"/>
      <c r="THM252" s="4"/>
      <c r="THN252" s="9"/>
      <c r="THO252" s="4"/>
      <c r="THP252" s="9"/>
      <c r="THQ252" s="4"/>
      <c r="THR252" s="9"/>
      <c r="THS252" s="4"/>
      <c r="THT252" s="9"/>
      <c r="THU252" s="4"/>
      <c r="THV252" s="9"/>
      <c r="THW252" s="4"/>
      <c r="THX252" s="9"/>
      <c r="THY252" s="4"/>
      <c r="THZ252" s="9"/>
      <c r="TIA252" s="4"/>
      <c r="TIB252" s="9"/>
      <c r="TIC252" s="4"/>
      <c r="TID252" s="9"/>
      <c r="TIE252" s="4"/>
      <c r="TIF252" s="9"/>
      <c r="TIG252" s="4"/>
      <c r="TIH252" s="9"/>
      <c r="TII252" s="4"/>
      <c r="TIJ252" s="9"/>
      <c r="TIK252" s="4"/>
      <c r="TIL252" s="9"/>
      <c r="TIM252" s="4"/>
      <c r="TIN252" s="9"/>
      <c r="TIO252" s="4"/>
      <c r="TIP252" s="9"/>
      <c r="TIQ252" s="4"/>
      <c r="TIR252" s="9"/>
      <c r="TIS252" s="4"/>
      <c r="TIT252" s="9"/>
      <c r="TIU252" s="4"/>
      <c r="TIV252" s="9"/>
      <c r="TIW252" s="4"/>
      <c r="TIX252" s="9"/>
      <c r="TIY252" s="4"/>
      <c r="TIZ252" s="9"/>
      <c r="TJA252" s="4"/>
      <c r="TJB252" s="9"/>
      <c r="TJC252" s="4"/>
      <c r="TJD252" s="9"/>
      <c r="TJE252" s="4"/>
      <c r="TJF252" s="9"/>
      <c r="TJG252" s="4"/>
      <c r="TJH252" s="9"/>
      <c r="TJI252" s="4"/>
      <c r="TJJ252" s="9"/>
      <c r="TJK252" s="4"/>
      <c r="TJL252" s="9"/>
      <c r="TJM252" s="4"/>
      <c r="TJN252" s="9"/>
      <c r="TJO252" s="4"/>
      <c r="TJP252" s="9"/>
      <c r="TJQ252" s="4"/>
      <c r="TJR252" s="9"/>
      <c r="TJS252" s="4"/>
      <c r="TJT252" s="9"/>
      <c r="TJU252" s="4"/>
      <c r="TJV252" s="9"/>
      <c r="TJW252" s="4"/>
      <c r="TJX252" s="9"/>
      <c r="TJY252" s="4"/>
      <c r="TJZ252" s="9"/>
      <c r="TKA252" s="4"/>
      <c r="TKB252" s="9"/>
      <c r="TKC252" s="4"/>
      <c r="TKD252" s="9"/>
      <c r="TKE252" s="4"/>
      <c r="TKF252" s="9"/>
      <c r="TKG252" s="4"/>
      <c r="TKH252" s="9"/>
      <c r="TKI252" s="4"/>
      <c r="TKJ252" s="9"/>
      <c r="TKK252" s="4"/>
      <c r="TKL252" s="9"/>
      <c r="TKM252" s="4"/>
      <c r="TKN252" s="9"/>
      <c r="TKO252" s="4"/>
      <c r="TKP252" s="9"/>
      <c r="TKQ252" s="4"/>
      <c r="TKR252" s="9"/>
      <c r="TKS252" s="4"/>
      <c r="TKT252" s="9"/>
      <c r="TKU252" s="4"/>
      <c r="TKV252" s="9"/>
      <c r="TKW252" s="4"/>
      <c r="TKX252" s="9"/>
      <c r="TKY252" s="4"/>
      <c r="TKZ252" s="9"/>
      <c r="TLA252" s="4"/>
      <c r="TLB252" s="9"/>
      <c r="TLC252" s="4"/>
      <c r="TLD252" s="9"/>
      <c r="TLE252" s="4"/>
      <c r="TLF252" s="9"/>
      <c r="TLG252" s="4"/>
      <c r="TLH252" s="9"/>
      <c r="TLI252" s="4"/>
      <c r="TLJ252" s="9"/>
      <c r="TLK252" s="4"/>
      <c r="TLL252" s="9"/>
      <c r="TLM252" s="4"/>
      <c r="TLN252" s="9"/>
      <c r="TLO252" s="4"/>
      <c r="TLP252" s="9"/>
      <c r="TLQ252" s="4"/>
      <c r="TLR252" s="9"/>
      <c r="TLS252" s="4"/>
      <c r="TLT252" s="9"/>
      <c r="TLU252" s="4"/>
      <c r="TLV252" s="9"/>
      <c r="TLW252" s="4"/>
      <c r="TLX252" s="9"/>
      <c r="TLY252" s="4"/>
      <c r="TLZ252" s="9"/>
      <c r="TMA252" s="4"/>
      <c r="TMB252" s="9"/>
      <c r="TMC252" s="4"/>
      <c r="TMD252" s="9"/>
      <c r="TME252" s="4"/>
      <c r="TMF252" s="9"/>
      <c r="TMG252" s="4"/>
      <c r="TMH252" s="9"/>
      <c r="TMI252" s="4"/>
      <c r="TMJ252" s="9"/>
      <c r="TMK252" s="4"/>
      <c r="TML252" s="9"/>
      <c r="TMM252" s="4"/>
      <c r="TMN252" s="9"/>
      <c r="TMO252" s="4"/>
      <c r="TMP252" s="9"/>
      <c r="TMQ252" s="4"/>
      <c r="TMR252" s="9"/>
      <c r="TMS252" s="4"/>
      <c r="TMT252" s="9"/>
      <c r="TMU252" s="4"/>
      <c r="TMV252" s="9"/>
      <c r="TMW252" s="4"/>
      <c r="TMX252" s="9"/>
      <c r="TMY252" s="4"/>
      <c r="TMZ252" s="9"/>
      <c r="TNA252" s="4"/>
      <c r="TNB252" s="9"/>
      <c r="TNC252" s="4"/>
      <c r="TND252" s="9"/>
      <c r="TNE252" s="4"/>
      <c r="TNF252" s="9"/>
      <c r="TNG252" s="4"/>
      <c r="TNH252" s="9"/>
      <c r="TNI252" s="4"/>
      <c r="TNJ252" s="9"/>
      <c r="TNK252" s="4"/>
      <c r="TNL252" s="9"/>
      <c r="TNM252" s="4"/>
      <c r="TNN252" s="9"/>
      <c r="TNO252" s="4"/>
      <c r="TNP252" s="9"/>
      <c r="TNQ252" s="4"/>
      <c r="TNR252" s="9"/>
      <c r="TNS252" s="4"/>
      <c r="TNT252" s="9"/>
      <c r="TNU252" s="4"/>
      <c r="TNV252" s="9"/>
      <c r="TNW252" s="4"/>
      <c r="TNX252" s="9"/>
      <c r="TNY252" s="4"/>
      <c r="TNZ252" s="9"/>
      <c r="TOA252" s="4"/>
      <c r="TOB252" s="9"/>
      <c r="TOC252" s="4"/>
      <c r="TOD252" s="9"/>
      <c r="TOE252" s="4"/>
      <c r="TOF252" s="9"/>
      <c r="TOG252" s="4"/>
      <c r="TOH252" s="9"/>
      <c r="TOI252" s="4"/>
      <c r="TOJ252" s="9"/>
      <c r="TOK252" s="4"/>
      <c r="TOL252" s="9"/>
      <c r="TOM252" s="4"/>
      <c r="TON252" s="9"/>
      <c r="TOO252" s="4"/>
      <c r="TOP252" s="9"/>
      <c r="TOQ252" s="4"/>
      <c r="TOR252" s="9"/>
      <c r="TOS252" s="4"/>
      <c r="TOT252" s="9"/>
      <c r="TOU252" s="4"/>
      <c r="TOV252" s="9"/>
      <c r="TOW252" s="4"/>
      <c r="TOX252" s="9"/>
      <c r="TOY252" s="4"/>
      <c r="TOZ252" s="9"/>
      <c r="TPA252" s="4"/>
      <c r="TPB252" s="9"/>
      <c r="TPC252" s="4"/>
      <c r="TPD252" s="9"/>
      <c r="TPE252" s="4"/>
      <c r="TPF252" s="9"/>
      <c r="TPG252" s="4"/>
      <c r="TPH252" s="9"/>
      <c r="TPI252" s="4"/>
      <c r="TPJ252" s="9"/>
      <c r="TPK252" s="4"/>
      <c r="TPL252" s="9"/>
      <c r="TPM252" s="4"/>
      <c r="TPN252" s="9"/>
      <c r="TPO252" s="4"/>
      <c r="TPP252" s="9"/>
      <c r="TPQ252" s="4"/>
      <c r="TPR252" s="9"/>
      <c r="TPS252" s="4"/>
      <c r="TPT252" s="9"/>
      <c r="TPU252" s="4"/>
      <c r="TPV252" s="9"/>
      <c r="TPW252" s="4"/>
      <c r="TPX252" s="9"/>
      <c r="TPY252" s="4"/>
      <c r="TPZ252" s="9"/>
      <c r="TQA252" s="4"/>
      <c r="TQB252" s="9"/>
      <c r="TQC252" s="4"/>
      <c r="TQD252" s="9"/>
      <c r="TQE252" s="4"/>
      <c r="TQF252" s="9"/>
      <c r="TQG252" s="4"/>
      <c r="TQH252" s="9"/>
      <c r="TQI252" s="4"/>
      <c r="TQJ252" s="9"/>
      <c r="TQK252" s="4"/>
      <c r="TQL252" s="9"/>
      <c r="TQM252" s="4"/>
      <c r="TQN252" s="9"/>
      <c r="TQO252" s="4"/>
      <c r="TQP252" s="9"/>
      <c r="TQQ252" s="4"/>
      <c r="TQR252" s="9"/>
      <c r="TQS252" s="4"/>
      <c r="TQT252" s="9"/>
      <c r="TQU252" s="4"/>
      <c r="TQV252" s="9"/>
      <c r="TQW252" s="4"/>
      <c r="TQX252" s="9"/>
      <c r="TQY252" s="4"/>
      <c r="TQZ252" s="9"/>
      <c r="TRA252" s="4"/>
      <c r="TRB252" s="9"/>
      <c r="TRC252" s="4"/>
      <c r="TRD252" s="9"/>
      <c r="TRE252" s="4"/>
      <c r="TRF252" s="9"/>
      <c r="TRG252" s="4"/>
      <c r="TRH252" s="9"/>
      <c r="TRI252" s="4"/>
      <c r="TRJ252" s="9"/>
      <c r="TRK252" s="4"/>
      <c r="TRL252" s="9"/>
      <c r="TRM252" s="4"/>
      <c r="TRN252" s="9"/>
      <c r="TRO252" s="4"/>
      <c r="TRP252" s="9"/>
      <c r="TRQ252" s="4"/>
      <c r="TRR252" s="9"/>
      <c r="TRS252" s="4"/>
      <c r="TRT252" s="9"/>
      <c r="TRU252" s="4"/>
      <c r="TRV252" s="9"/>
      <c r="TRW252" s="4"/>
      <c r="TRX252" s="9"/>
      <c r="TRY252" s="4"/>
      <c r="TRZ252" s="9"/>
      <c r="TSA252" s="4"/>
      <c r="TSB252" s="9"/>
      <c r="TSC252" s="4"/>
      <c r="TSD252" s="9"/>
      <c r="TSE252" s="4"/>
      <c r="TSF252" s="9"/>
      <c r="TSG252" s="4"/>
      <c r="TSH252" s="9"/>
      <c r="TSI252" s="4"/>
      <c r="TSJ252" s="9"/>
      <c r="TSK252" s="4"/>
      <c r="TSL252" s="9"/>
      <c r="TSM252" s="4"/>
      <c r="TSN252" s="9"/>
      <c r="TSO252" s="4"/>
      <c r="TSP252" s="9"/>
      <c r="TSQ252" s="4"/>
      <c r="TSR252" s="9"/>
      <c r="TSS252" s="4"/>
      <c r="TST252" s="9"/>
      <c r="TSU252" s="4"/>
      <c r="TSV252" s="9"/>
      <c r="TSW252" s="4"/>
      <c r="TSX252" s="9"/>
      <c r="TSY252" s="4"/>
      <c r="TSZ252" s="9"/>
      <c r="TTA252" s="4"/>
      <c r="TTB252" s="9"/>
      <c r="TTC252" s="4"/>
      <c r="TTD252" s="9"/>
      <c r="TTE252" s="4"/>
      <c r="TTF252" s="9"/>
      <c r="TTG252" s="4"/>
      <c r="TTH252" s="9"/>
      <c r="TTI252" s="4"/>
      <c r="TTJ252" s="9"/>
      <c r="TTK252" s="4"/>
      <c r="TTL252" s="9"/>
      <c r="TTM252" s="4"/>
      <c r="TTN252" s="9"/>
      <c r="TTO252" s="4"/>
      <c r="TTP252" s="9"/>
      <c r="TTQ252" s="4"/>
      <c r="TTR252" s="9"/>
      <c r="TTS252" s="4"/>
      <c r="TTT252" s="9"/>
      <c r="TTU252" s="4"/>
      <c r="TTV252" s="9"/>
      <c r="TTW252" s="4"/>
      <c r="TTX252" s="9"/>
      <c r="TTY252" s="4"/>
      <c r="TTZ252" s="9"/>
      <c r="TUA252" s="4"/>
      <c r="TUB252" s="9"/>
      <c r="TUC252" s="4"/>
      <c r="TUD252" s="9"/>
      <c r="TUE252" s="4"/>
      <c r="TUF252" s="9"/>
      <c r="TUG252" s="4"/>
      <c r="TUH252" s="9"/>
      <c r="TUI252" s="4"/>
      <c r="TUJ252" s="9"/>
      <c r="TUK252" s="4"/>
      <c r="TUL252" s="9"/>
      <c r="TUM252" s="4"/>
      <c r="TUN252" s="9"/>
      <c r="TUO252" s="4"/>
      <c r="TUP252" s="9"/>
      <c r="TUQ252" s="4"/>
      <c r="TUR252" s="9"/>
      <c r="TUS252" s="4"/>
      <c r="TUT252" s="9"/>
      <c r="TUU252" s="4"/>
      <c r="TUV252" s="9"/>
      <c r="TUW252" s="4"/>
      <c r="TUX252" s="9"/>
      <c r="TUY252" s="4"/>
      <c r="TUZ252" s="9"/>
      <c r="TVA252" s="4"/>
      <c r="TVB252" s="9"/>
      <c r="TVC252" s="4"/>
      <c r="TVD252" s="9"/>
      <c r="TVE252" s="4"/>
      <c r="TVF252" s="9"/>
      <c r="TVG252" s="4"/>
      <c r="TVH252" s="9"/>
      <c r="TVI252" s="4"/>
      <c r="TVJ252" s="9"/>
      <c r="TVK252" s="4"/>
      <c r="TVL252" s="9"/>
      <c r="TVM252" s="4"/>
      <c r="TVN252" s="9"/>
      <c r="TVO252" s="4"/>
      <c r="TVP252" s="9"/>
      <c r="TVQ252" s="4"/>
      <c r="TVR252" s="9"/>
      <c r="TVS252" s="4"/>
      <c r="TVT252" s="9"/>
      <c r="TVU252" s="4"/>
      <c r="TVV252" s="9"/>
      <c r="TVW252" s="4"/>
      <c r="TVX252" s="9"/>
      <c r="TVY252" s="4"/>
      <c r="TVZ252" s="9"/>
      <c r="TWA252" s="4"/>
      <c r="TWB252" s="9"/>
      <c r="TWC252" s="4"/>
      <c r="TWD252" s="9"/>
      <c r="TWE252" s="4"/>
      <c r="TWF252" s="9"/>
      <c r="TWG252" s="4"/>
      <c r="TWH252" s="9"/>
      <c r="TWI252" s="4"/>
      <c r="TWJ252" s="9"/>
      <c r="TWK252" s="4"/>
      <c r="TWL252" s="9"/>
      <c r="TWM252" s="4"/>
      <c r="TWN252" s="9"/>
      <c r="TWO252" s="4"/>
      <c r="TWP252" s="9"/>
      <c r="TWQ252" s="4"/>
      <c r="TWR252" s="9"/>
      <c r="TWS252" s="4"/>
      <c r="TWT252" s="9"/>
      <c r="TWU252" s="4"/>
      <c r="TWV252" s="9"/>
      <c r="TWW252" s="4"/>
      <c r="TWX252" s="9"/>
      <c r="TWY252" s="4"/>
      <c r="TWZ252" s="9"/>
      <c r="TXA252" s="4"/>
      <c r="TXB252" s="9"/>
      <c r="TXC252" s="4"/>
      <c r="TXD252" s="9"/>
      <c r="TXE252" s="4"/>
      <c r="TXF252" s="9"/>
      <c r="TXG252" s="4"/>
      <c r="TXH252" s="9"/>
      <c r="TXI252" s="4"/>
      <c r="TXJ252" s="9"/>
      <c r="TXK252" s="4"/>
      <c r="TXL252" s="9"/>
      <c r="TXM252" s="4"/>
      <c r="TXN252" s="9"/>
      <c r="TXO252" s="4"/>
      <c r="TXP252" s="9"/>
      <c r="TXQ252" s="4"/>
      <c r="TXR252" s="9"/>
      <c r="TXS252" s="4"/>
      <c r="TXT252" s="9"/>
      <c r="TXU252" s="4"/>
      <c r="TXV252" s="9"/>
      <c r="TXW252" s="4"/>
      <c r="TXX252" s="9"/>
      <c r="TXY252" s="4"/>
      <c r="TXZ252" s="9"/>
      <c r="TYA252" s="4"/>
      <c r="TYB252" s="9"/>
      <c r="TYC252" s="4"/>
      <c r="TYD252" s="9"/>
      <c r="TYE252" s="4"/>
      <c r="TYF252" s="9"/>
      <c r="TYG252" s="4"/>
      <c r="TYH252" s="9"/>
      <c r="TYI252" s="4"/>
      <c r="TYJ252" s="9"/>
      <c r="TYK252" s="4"/>
      <c r="TYL252" s="9"/>
      <c r="TYM252" s="4"/>
      <c r="TYN252" s="9"/>
      <c r="TYO252" s="4"/>
      <c r="TYP252" s="9"/>
      <c r="TYQ252" s="4"/>
      <c r="TYR252" s="9"/>
      <c r="TYS252" s="4"/>
      <c r="TYT252" s="9"/>
      <c r="TYU252" s="4"/>
      <c r="TYV252" s="9"/>
      <c r="TYW252" s="4"/>
      <c r="TYX252" s="9"/>
      <c r="TYY252" s="4"/>
      <c r="TYZ252" s="9"/>
      <c r="TZA252" s="4"/>
      <c r="TZB252" s="9"/>
      <c r="TZC252" s="4"/>
      <c r="TZD252" s="9"/>
      <c r="TZE252" s="4"/>
      <c r="TZF252" s="9"/>
      <c r="TZG252" s="4"/>
      <c r="TZH252" s="9"/>
      <c r="TZI252" s="4"/>
      <c r="TZJ252" s="9"/>
      <c r="TZK252" s="4"/>
      <c r="TZL252" s="9"/>
      <c r="TZM252" s="4"/>
      <c r="TZN252" s="9"/>
      <c r="TZO252" s="4"/>
      <c r="TZP252" s="9"/>
      <c r="TZQ252" s="4"/>
      <c r="TZR252" s="9"/>
      <c r="TZS252" s="4"/>
      <c r="TZT252" s="9"/>
      <c r="TZU252" s="4"/>
      <c r="TZV252" s="9"/>
      <c r="TZW252" s="4"/>
      <c r="TZX252" s="9"/>
      <c r="TZY252" s="4"/>
      <c r="TZZ252" s="9"/>
      <c r="UAA252" s="4"/>
      <c r="UAB252" s="9"/>
      <c r="UAC252" s="4"/>
      <c r="UAD252" s="9"/>
      <c r="UAE252" s="4"/>
      <c r="UAF252" s="9"/>
      <c r="UAG252" s="4"/>
      <c r="UAH252" s="9"/>
      <c r="UAI252" s="4"/>
      <c r="UAJ252" s="9"/>
      <c r="UAK252" s="4"/>
      <c r="UAL252" s="9"/>
      <c r="UAM252" s="4"/>
      <c r="UAN252" s="9"/>
      <c r="UAO252" s="4"/>
      <c r="UAP252" s="9"/>
      <c r="UAQ252" s="4"/>
      <c r="UAR252" s="9"/>
      <c r="UAS252" s="4"/>
      <c r="UAT252" s="9"/>
      <c r="UAU252" s="4"/>
      <c r="UAV252" s="9"/>
      <c r="UAW252" s="4"/>
      <c r="UAX252" s="9"/>
      <c r="UAY252" s="4"/>
      <c r="UAZ252" s="9"/>
      <c r="UBA252" s="4"/>
      <c r="UBB252" s="9"/>
      <c r="UBC252" s="4"/>
      <c r="UBD252" s="9"/>
      <c r="UBE252" s="4"/>
      <c r="UBF252" s="9"/>
      <c r="UBG252" s="4"/>
      <c r="UBH252" s="9"/>
      <c r="UBI252" s="4"/>
      <c r="UBJ252" s="9"/>
      <c r="UBK252" s="4"/>
      <c r="UBL252" s="9"/>
      <c r="UBM252" s="4"/>
      <c r="UBN252" s="9"/>
      <c r="UBO252" s="4"/>
      <c r="UBP252" s="9"/>
      <c r="UBQ252" s="4"/>
      <c r="UBR252" s="9"/>
      <c r="UBS252" s="4"/>
      <c r="UBT252" s="9"/>
      <c r="UBU252" s="4"/>
      <c r="UBV252" s="9"/>
      <c r="UBW252" s="4"/>
      <c r="UBX252" s="9"/>
      <c r="UBY252" s="4"/>
      <c r="UBZ252" s="9"/>
      <c r="UCA252" s="4"/>
      <c r="UCB252" s="9"/>
      <c r="UCC252" s="4"/>
      <c r="UCD252" s="9"/>
      <c r="UCE252" s="4"/>
      <c r="UCF252" s="9"/>
      <c r="UCG252" s="4"/>
      <c r="UCH252" s="9"/>
      <c r="UCI252" s="4"/>
      <c r="UCJ252" s="9"/>
      <c r="UCK252" s="4"/>
      <c r="UCL252" s="9"/>
      <c r="UCM252" s="4"/>
      <c r="UCN252" s="9"/>
      <c r="UCO252" s="4"/>
      <c r="UCP252" s="9"/>
      <c r="UCQ252" s="4"/>
      <c r="UCR252" s="9"/>
      <c r="UCS252" s="4"/>
      <c r="UCT252" s="9"/>
      <c r="UCU252" s="4"/>
      <c r="UCV252" s="9"/>
      <c r="UCW252" s="4"/>
      <c r="UCX252" s="9"/>
      <c r="UCY252" s="4"/>
      <c r="UCZ252" s="9"/>
      <c r="UDA252" s="4"/>
      <c r="UDB252" s="9"/>
      <c r="UDC252" s="4"/>
      <c r="UDD252" s="9"/>
      <c r="UDE252" s="4"/>
      <c r="UDF252" s="9"/>
      <c r="UDG252" s="4"/>
      <c r="UDH252" s="9"/>
      <c r="UDI252" s="4"/>
      <c r="UDJ252" s="9"/>
      <c r="UDK252" s="4"/>
      <c r="UDL252" s="9"/>
      <c r="UDM252" s="4"/>
      <c r="UDN252" s="9"/>
      <c r="UDO252" s="4"/>
      <c r="UDP252" s="9"/>
      <c r="UDQ252" s="4"/>
      <c r="UDR252" s="9"/>
      <c r="UDS252" s="4"/>
      <c r="UDT252" s="9"/>
      <c r="UDU252" s="4"/>
      <c r="UDV252" s="9"/>
      <c r="UDW252" s="4"/>
      <c r="UDX252" s="9"/>
      <c r="UDY252" s="4"/>
      <c r="UDZ252" s="9"/>
      <c r="UEA252" s="4"/>
      <c r="UEB252" s="9"/>
      <c r="UEC252" s="4"/>
      <c r="UED252" s="9"/>
      <c r="UEE252" s="4"/>
      <c r="UEF252" s="9"/>
      <c r="UEG252" s="4"/>
      <c r="UEH252" s="9"/>
      <c r="UEI252" s="4"/>
      <c r="UEJ252" s="9"/>
      <c r="UEK252" s="4"/>
      <c r="UEL252" s="9"/>
      <c r="UEM252" s="4"/>
      <c r="UEN252" s="9"/>
      <c r="UEO252" s="4"/>
      <c r="UEP252" s="9"/>
      <c r="UEQ252" s="4"/>
      <c r="UER252" s="9"/>
      <c r="UES252" s="4"/>
      <c r="UET252" s="9"/>
      <c r="UEU252" s="4"/>
      <c r="UEV252" s="9"/>
      <c r="UEW252" s="4"/>
      <c r="UEX252" s="9"/>
      <c r="UEY252" s="4"/>
      <c r="UEZ252" s="9"/>
      <c r="UFA252" s="4"/>
      <c r="UFB252" s="9"/>
      <c r="UFC252" s="4"/>
      <c r="UFD252" s="9"/>
      <c r="UFE252" s="4"/>
      <c r="UFF252" s="9"/>
      <c r="UFG252" s="4"/>
      <c r="UFH252" s="9"/>
      <c r="UFI252" s="4"/>
      <c r="UFJ252" s="9"/>
      <c r="UFK252" s="4"/>
      <c r="UFL252" s="9"/>
      <c r="UFM252" s="4"/>
      <c r="UFN252" s="9"/>
      <c r="UFO252" s="4"/>
      <c r="UFP252" s="9"/>
      <c r="UFQ252" s="4"/>
      <c r="UFR252" s="9"/>
      <c r="UFS252" s="4"/>
      <c r="UFT252" s="9"/>
      <c r="UFU252" s="4"/>
      <c r="UFV252" s="9"/>
      <c r="UFW252" s="4"/>
      <c r="UFX252" s="9"/>
      <c r="UFY252" s="4"/>
      <c r="UFZ252" s="9"/>
      <c r="UGA252" s="4"/>
      <c r="UGB252" s="9"/>
      <c r="UGC252" s="4"/>
      <c r="UGD252" s="9"/>
      <c r="UGE252" s="4"/>
      <c r="UGF252" s="9"/>
      <c r="UGG252" s="4"/>
      <c r="UGH252" s="9"/>
      <c r="UGI252" s="4"/>
      <c r="UGJ252" s="9"/>
      <c r="UGK252" s="4"/>
      <c r="UGL252" s="9"/>
      <c r="UGM252" s="4"/>
      <c r="UGN252" s="9"/>
      <c r="UGO252" s="4"/>
      <c r="UGP252" s="9"/>
      <c r="UGQ252" s="4"/>
      <c r="UGR252" s="9"/>
      <c r="UGS252" s="4"/>
      <c r="UGT252" s="9"/>
      <c r="UGU252" s="4"/>
      <c r="UGV252" s="9"/>
      <c r="UGW252" s="4"/>
      <c r="UGX252" s="9"/>
      <c r="UGY252" s="4"/>
      <c r="UGZ252" s="9"/>
      <c r="UHA252" s="4"/>
      <c r="UHB252" s="9"/>
      <c r="UHC252" s="4"/>
      <c r="UHD252" s="9"/>
      <c r="UHE252" s="4"/>
      <c r="UHF252" s="9"/>
      <c r="UHG252" s="4"/>
      <c r="UHH252" s="9"/>
      <c r="UHI252" s="4"/>
      <c r="UHJ252" s="9"/>
      <c r="UHK252" s="4"/>
      <c r="UHL252" s="9"/>
      <c r="UHM252" s="4"/>
      <c r="UHN252" s="9"/>
      <c r="UHO252" s="4"/>
      <c r="UHP252" s="9"/>
      <c r="UHQ252" s="4"/>
      <c r="UHR252" s="9"/>
      <c r="UHS252" s="4"/>
      <c r="UHT252" s="9"/>
      <c r="UHU252" s="4"/>
      <c r="UHV252" s="9"/>
      <c r="UHW252" s="4"/>
      <c r="UHX252" s="9"/>
      <c r="UHY252" s="4"/>
      <c r="UHZ252" s="9"/>
      <c r="UIA252" s="4"/>
      <c r="UIB252" s="9"/>
      <c r="UIC252" s="4"/>
      <c r="UID252" s="9"/>
      <c r="UIE252" s="4"/>
      <c r="UIF252" s="9"/>
      <c r="UIG252" s="4"/>
      <c r="UIH252" s="9"/>
      <c r="UII252" s="4"/>
      <c r="UIJ252" s="9"/>
      <c r="UIK252" s="4"/>
      <c r="UIL252" s="9"/>
      <c r="UIM252" s="4"/>
      <c r="UIN252" s="9"/>
      <c r="UIO252" s="4"/>
      <c r="UIP252" s="9"/>
      <c r="UIQ252" s="4"/>
      <c r="UIR252" s="9"/>
      <c r="UIS252" s="4"/>
      <c r="UIT252" s="9"/>
      <c r="UIU252" s="4"/>
      <c r="UIV252" s="9"/>
      <c r="UIW252" s="4"/>
      <c r="UIX252" s="9"/>
      <c r="UIY252" s="4"/>
      <c r="UIZ252" s="9"/>
      <c r="UJA252" s="4"/>
      <c r="UJB252" s="9"/>
      <c r="UJC252" s="4"/>
      <c r="UJD252" s="9"/>
      <c r="UJE252" s="4"/>
      <c r="UJF252" s="9"/>
      <c r="UJG252" s="4"/>
      <c r="UJH252" s="9"/>
      <c r="UJI252" s="4"/>
      <c r="UJJ252" s="9"/>
      <c r="UJK252" s="4"/>
      <c r="UJL252" s="9"/>
      <c r="UJM252" s="4"/>
      <c r="UJN252" s="9"/>
      <c r="UJO252" s="4"/>
      <c r="UJP252" s="9"/>
      <c r="UJQ252" s="4"/>
      <c r="UJR252" s="9"/>
      <c r="UJS252" s="4"/>
      <c r="UJT252" s="9"/>
      <c r="UJU252" s="4"/>
      <c r="UJV252" s="9"/>
      <c r="UJW252" s="4"/>
      <c r="UJX252" s="9"/>
      <c r="UJY252" s="4"/>
      <c r="UJZ252" s="9"/>
      <c r="UKA252" s="4"/>
      <c r="UKB252" s="9"/>
      <c r="UKC252" s="4"/>
      <c r="UKD252" s="9"/>
      <c r="UKE252" s="4"/>
      <c r="UKF252" s="9"/>
      <c r="UKG252" s="4"/>
      <c r="UKH252" s="9"/>
      <c r="UKI252" s="4"/>
      <c r="UKJ252" s="9"/>
      <c r="UKK252" s="4"/>
      <c r="UKL252" s="9"/>
      <c r="UKM252" s="4"/>
      <c r="UKN252" s="9"/>
      <c r="UKO252" s="4"/>
      <c r="UKP252" s="9"/>
      <c r="UKQ252" s="4"/>
      <c r="UKR252" s="9"/>
      <c r="UKS252" s="4"/>
      <c r="UKT252" s="9"/>
      <c r="UKU252" s="4"/>
      <c r="UKV252" s="9"/>
      <c r="UKW252" s="4"/>
      <c r="UKX252" s="9"/>
      <c r="UKY252" s="4"/>
      <c r="UKZ252" s="9"/>
      <c r="ULA252" s="4"/>
      <c r="ULB252" s="9"/>
      <c r="ULC252" s="4"/>
      <c r="ULD252" s="9"/>
      <c r="ULE252" s="4"/>
      <c r="ULF252" s="9"/>
      <c r="ULG252" s="4"/>
      <c r="ULH252" s="9"/>
      <c r="ULI252" s="4"/>
      <c r="ULJ252" s="9"/>
      <c r="ULK252" s="4"/>
      <c r="ULL252" s="9"/>
      <c r="ULM252" s="4"/>
      <c r="ULN252" s="9"/>
      <c r="ULO252" s="4"/>
      <c r="ULP252" s="9"/>
      <c r="ULQ252" s="4"/>
      <c r="ULR252" s="9"/>
      <c r="ULS252" s="4"/>
      <c r="ULT252" s="9"/>
      <c r="ULU252" s="4"/>
      <c r="ULV252" s="9"/>
      <c r="ULW252" s="4"/>
      <c r="ULX252" s="9"/>
      <c r="ULY252" s="4"/>
      <c r="ULZ252" s="9"/>
      <c r="UMA252" s="4"/>
      <c r="UMB252" s="9"/>
      <c r="UMC252" s="4"/>
      <c r="UMD252" s="9"/>
      <c r="UME252" s="4"/>
      <c r="UMF252" s="9"/>
      <c r="UMG252" s="4"/>
      <c r="UMH252" s="9"/>
      <c r="UMI252" s="4"/>
      <c r="UMJ252" s="9"/>
      <c r="UMK252" s="4"/>
      <c r="UML252" s="9"/>
      <c r="UMM252" s="4"/>
      <c r="UMN252" s="9"/>
      <c r="UMO252" s="4"/>
      <c r="UMP252" s="9"/>
      <c r="UMQ252" s="4"/>
      <c r="UMR252" s="9"/>
      <c r="UMS252" s="4"/>
      <c r="UMT252" s="9"/>
      <c r="UMU252" s="4"/>
      <c r="UMV252" s="9"/>
      <c r="UMW252" s="4"/>
      <c r="UMX252" s="9"/>
      <c r="UMY252" s="4"/>
      <c r="UMZ252" s="9"/>
      <c r="UNA252" s="4"/>
      <c r="UNB252" s="9"/>
      <c r="UNC252" s="4"/>
      <c r="UND252" s="9"/>
      <c r="UNE252" s="4"/>
      <c r="UNF252" s="9"/>
      <c r="UNG252" s="4"/>
      <c r="UNH252" s="9"/>
      <c r="UNI252" s="4"/>
      <c r="UNJ252" s="9"/>
      <c r="UNK252" s="4"/>
      <c r="UNL252" s="9"/>
      <c r="UNM252" s="4"/>
      <c r="UNN252" s="9"/>
      <c r="UNO252" s="4"/>
      <c r="UNP252" s="9"/>
      <c r="UNQ252" s="4"/>
      <c r="UNR252" s="9"/>
      <c r="UNS252" s="4"/>
      <c r="UNT252" s="9"/>
      <c r="UNU252" s="4"/>
      <c r="UNV252" s="9"/>
      <c r="UNW252" s="4"/>
      <c r="UNX252" s="9"/>
      <c r="UNY252" s="4"/>
      <c r="UNZ252" s="9"/>
      <c r="UOA252" s="4"/>
      <c r="UOB252" s="9"/>
      <c r="UOC252" s="4"/>
      <c r="UOD252" s="9"/>
      <c r="UOE252" s="4"/>
      <c r="UOF252" s="9"/>
      <c r="UOG252" s="4"/>
      <c r="UOH252" s="9"/>
      <c r="UOI252" s="4"/>
      <c r="UOJ252" s="9"/>
      <c r="UOK252" s="4"/>
      <c r="UOL252" s="9"/>
      <c r="UOM252" s="4"/>
      <c r="UON252" s="9"/>
      <c r="UOO252" s="4"/>
      <c r="UOP252" s="9"/>
      <c r="UOQ252" s="4"/>
      <c r="UOR252" s="9"/>
      <c r="UOS252" s="4"/>
      <c r="UOT252" s="9"/>
      <c r="UOU252" s="4"/>
      <c r="UOV252" s="9"/>
      <c r="UOW252" s="4"/>
      <c r="UOX252" s="9"/>
      <c r="UOY252" s="4"/>
      <c r="UOZ252" s="9"/>
      <c r="UPA252" s="4"/>
      <c r="UPB252" s="9"/>
      <c r="UPC252" s="4"/>
      <c r="UPD252" s="9"/>
      <c r="UPE252" s="4"/>
      <c r="UPF252" s="9"/>
      <c r="UPG252" s="4"/>
      <c r="UPH252" s="9"/>
      <c r="UPI252" s="4"/>
      <c r="UPJ252" s="9"/>
      <c r="UPK252" s="4"/>
      <c r="UPL252" s="9"/>
      <c r="UPM252" s="4"/>
      <c r="UPN252" s="9"/>
      <c r="UPO252" s="4"/>
      <c r="UPP252" s="9"/>
      <c r="UPQ252" s="4"/>
      <c r="UPR252" s="9"/>
      <c r="UPS252" s="4"/>
      <c r="UPT252" s="9"/>
      <c r="UPU252" s="4"/>
      <c r="UPV252" s="9"/>
      <c r="UPW252" s="4"/>
      <c r="UPX252" s="9"/>
      <c r="UPY252" s="4"/>
      <c r="UPZ252" s="9"/>
      <c r="UQA252" s="4"/>
      <c r="UQB252" s="9"/>
      <c r="UQC252" s="4"/>
      <c r="UQD252" s="9"/>
      <c r="UQE252" s="4"/>
      <c r="UQF252" s="9"/>
      <c r="UQG252" s="4"/>
      <c r="UQH252" s="9"/>
      <c r="UQI252" s="4"/>
      <c r="UQJ252" s="9"/>
      <c r="UQK252" s="4"/>
      <c r="UQL252" s="9"/>
      <c r="UQM252" s="4"/>
      <c r="UQN252" s="9"/>
      <c r="UQO252" s="4"/>
      <c r="UQP252" s="9"/>
      <c r="UQQ252" s="4"/>
      <c r="UQR252" s="9"/>
      <c r="UQS252" s="4"/>
      <c r="UQT252" s="9"/>
      <c r="UQU252" s="4"/>
      <c r="UQV252" s="9"/>
      <c r="UQW252" s="4"/>
      <c r="UQX252" s="9"/>
      <c r="UQY252" s="4"/>
      <c r="UQZ252" s="9"/>
      <c r="URA252" s="4"/>
      <c r="URB252" s="9"/>
      <c r="URC252" s="4"/>
      <c r="URD252" s="9"/>
      <c r="URE252" s="4"/>
      <c r="URF252" s="9"/>
      <c r="URG252" s="4"/>
      <c r="URH252" s="9"/>
      <c r="URI252" s="4"/>
      <c r="URJ252" s="9"/>
      <c r="URK252" s="4"/>
      <c r="URL252" s="9"/>
      <c r="URM252" s="4"/>
      <c r="URN252" s="9"/>
      <c r="URO252" s="4"/>
      <c r="URP252" s="9"/>
      <c r="URQ252" s="4"/>
      <c r="URR252" s="9"/>
      <c r="URS252" s="4"/>
      <c r="URT252" s="9"/>
      <c r="URU252" s="4"/>
      <c r="URV252" s="9"/>
      <c r="URW252" s="4"/>
      <c r="URX252" s="9"/>
      <c r="URY252" s="4"/>
      <c r="URZ252" s="9"/>
      <c r="USA252" s="4"/>
      <c r="USB252" s="9"/>
      <c r="USC252" s="4"/>
      <c r="USD252" s="9"/>
      <c r="USE252" s="4"/>
      <c r="USF252" s="9"/>
      <c r="USG252" s="4"/>
      <c r="USH252" s="9"/>
      <c r="USI252" s="4"/>
      <c r="USJ252" s="9"/>
      <c r="USK252" s="4"/>
      <c r="USL252" s="9"/>
      <c r="USM252" s="4"/>
      <c r="USN252" s="9"/>
      <c r="USO252" s="4"/>
      <c r="USP252" s="9"/>
      <c r="USQ252" s="4"/>
      <c r="USR252" s="9"/>
      <c r="USS252" s="4"/>
      <c r="UST252" s="9"/>
      <c r="USU252" s="4"/>
      <c r="USV252" s="9"/>
      <c r="USW252" s="4"/>
      <c r="USX252" s="9"/>
      <c r="USY252" s="4"/>
      <c r="USZ252" s="9"/>
      <c r="UTA252" s="4"/>
      <c r="UTB252" s="9"/>
      <c r="UTC252" s="4"/>
      <c r="UTD252" s="9"/>
      <c r="UTE252" s="4"/>
      <c r="UTF252" s="9"/>
      <c r="UTG252" s="4"/>
      <c r="UTH252" s="9"/>
      <c r="UTI252" s="4"/>
      <c r="UTJ252" s="9"/>
      <c r="UTK252" s="4"/>
      <c r="UTL252" s="9"/>
      <c r="UTM252" s="4"/>
      <c r="UTN252" s="9"/>
      <c r="UTO252" s="4"/>
      <c r="UTP252" s="9"/>
      <c r="UTQ252" s="4"/>
      <c r="UTR252" s="9"/>
      <c r="UTS252" s="4"/>
      <c r="UTT252" s="9"/>
      <c r="UTU252" s="4"/>
      <c r="UTV252" s="9"/>
      <c r="UTW252" s="4"/>
      <c r="UTX252" s="9"/>
      <c r="UTY252" s="4"/>
      <c r="UTZ252" s="9"/>
      <c r="UUA252" s="4"/>
      <c r="UUB252" s="9"/>
      <c r="UUC252" s="4"/>
      <c r="UUD252" s="9"/>
      <c r="UUE252" s="4"/>
      <c r="UUF252" s="9"/>
      <c r="UUG252" s="4"/>
      <c r="UUH252" s="9"/>
      <c r="UUI252" s="4"/>
      <c r="UUJ252" s="9"/>
      <c r="UUK252" s="4"/>
      <c r="UUL252" s="9"/>
      <c r="UUM252" s="4"/>
      <c r="UUN252" s="9"/>
      <c r="UUO252" s="4"/>
      <c r="UUP252" s="9"/>
      <c r="UUQ252" s="4"/>
      <c r="UUR252" s="9"/>
      <c r="UUS252" s="4"/>
      <c r="UUT252" s="9"/>
      <c r="UUU252" s="4"/>
      <c r="UUV252" s="9"/>
      <c r="UUW252" s="4"/>
      <c r="UUX252" s="9"/>
      <c r="UUY252" s="4"/>
      <c r="UUZ252" s="9"/>
      <c r="UVA252" s="4"/>
      <c r="UVB252" s="9"/>
      <c r="UVC252" s="4"/>
      <c r="UVD252" s="9"/>
      <c r="UVE252" s="4"/>
      <c r="UVF252" s="9"/>
      <c r="UVG252" s="4"/>
      <c r="UVH252" s="9"/>
      <c r="UVI252" s="4"/>
      <c r="UVJ252" s="9"/>
      <c r="UVK252" s="4"/>
      <c r="UVL252" s="9"/>
      <c r="UVM252" s="4"/>
      <c r="UVN252" s="9"/>
      <c r="UVO252" s="4"/>
      <c r="UVP252" s="9"/>
      <c r="UVQ252" s="4"/>
      <c r="UVR252" s="9"/>
      <c r="UVS252" s="4"/>
      <c r="UVT252" s="9"/>
      <c r="UVU252" s="4"/>
      <c r="UVV252" s="9"/>
      <c r="UVW252" s="4"/>
      <c r="UVX252" s="9"/>
      <c r="UVY252" s="4"/>
      <c r="UVZ252" s="9"/>
      <c r="UWA252" s="4"/>
      <c r="UWB252" s="9"/>
      <c r="UWC252" s="4"/>
      <c r="UWD252" s="9"/>
      <c r="UWE252" s="4"/>
      <c r="UWF252" s="9"/>
      <c r="UWG252" s="4"/>
      <c r="UWH252" s="9"/>
      <c r="UWI252" s="4"/>
      <c r="UWJ252" s="9"/>
      <c r="UWK252" s="4"/>
      <c r="UWL252" s="9"/>
      <c r="UWM252" s="4"/>
      <c r="UWN252" s="9"/>
      <c r="UWO252" s="4"/>
      <c r="UWP252" s="9"/>
      <c r="UWQ252" s="4"/>
      <c r="UWR252" s="9"/>
      <c r="UWS252" s="4"/>
      <c r="UWT252" s="9"/>
      <c r="UWU252" s="4"/>
      <c r="UWV252" s="9"/>
      <c r="UWW252" s="4"/>
      <c r="UWX252" s="9"/>
      <c r="UWY252" s="4"/>
      <c r="UWZ252" s="9"/>
      <c r="UXA252" s="4"/>
      <c r="UXB252" s="9"/>
      <c r="UXC252" s="4"/>
      <c r="UXD252" s="9"/>
      <c r="UXE252" s="4"/>
      <c r="UXF252" s="9"/>
      <c r="UXG252" s="4"/>
      <c r="UXH252" s="9"/>
      <c r="UXI252" s="4"/>
      <c r="UXJ252" s="9"/>
      <c r="UXK252" s="4"/>
      <c r="UXL252" s="9"/>
      <c r="UXM252" s="4"/>
      <c r="UXN252" s="9"/>
      <c r="UXO252" s="4"/>
      <c r="UXP252" s="9"/>
      <c r="UXQ252" s="4"/>
      <c r="UXR252" s="9"/>
      <c r="UXS252" s="4"/>
      <c r="UXT252" s="9"/>
      <c r="UXU252" s="4"/>
      <c r="UXV252" s="9"/>
      <c r="UXW252" s="4"/>
      <c r="UXX252" s="9"/>
      <c r="UXY252" s="4"/>
      <c r="UXZ252" s="9"/>
      <c r="UYA252" s="4"/>
      <c r="UYB252" s="9"/>
      <c r="UYC252" s="4"/>
      <c r="UYD252" s="9"/>
      <c r="UYE252" s="4"/>
      <c r="UYF252" s="9"/>
      <c r="UYG252" s="4"/>
      <c r="UYH252" s="9"/>
      <c r="UYI252" s="4"/>
      <c r="UYJ252" s="9"/>
      <c r="UYK252" s="4"/>
      <c r="UYL252" s="9"/>
      <c r="UYM252" s="4"/>
      <c r="UYN252" s="9"/>
      <c r="UYO252" s="4"/>
      <c r="UYP252" s="9"/>
      <c r="UYQ252" s="4"/>
      <c r="UYR252" s="9"/>
      <c r="UYS252" s="4"/>
      <c r="UYT252" s="9"/>
      <c r="UYU252" s="4"/>
      <c r="UYV252" s="9"/>
      <c r="UYW252" s="4"/>
      <c r="UYX252" s="9"/>
      <c r="UYY252" s="4"/>
      <c r="UYZ252" s="9"/>
      <c r="UZA252" s="4"/>
      <c r="UZB252" s="9"/>
      <c r="UZC252" s="4"/>
      <c r="UZD252" s="9"/>
      <c r="UZE252" s="4"/>
      <c r="UZF252" s="9"/>
      <c r="UZG252" s="4"/>
      <c r="UZH252" s="9"/>
      <c r="UZI252" s="4"/>
      <c r="UZJ252" s="9"/>
      <c r="UZK252" s="4"/>
      <c r="UZL252" s="9"/>
      <c r="UZM252" s="4"/>
      <c r="UZN252" s="9"/>
      <c r="UZO252" s="4"/>
      <c r="UZP252" s="9"/>
      <c r="UZQ252" s="4"/>
      <c r="UZR252" s="9"/>
      <c r="UZS252" s="4"/>
      <c r="UZT252" s="9"/>
      <c r="UZU252" s="4"/>
      <c r="UZV252" s="9"/>
      <c r="UZW252" s="4"/>
      <c r="UZX252" s="9"/>
      <c r="UZY252" s="4"/>
      <c r="UZZ252" s="9"/>
      <c r="VAA252" s="4"/>
      <c r="VAB252" s="9"/>
      <c r="VAC252" s="4"/>
      <c r="VAD252" s="9"/>
      <c r="VAE252" s="4"/>
      <c r="VAF252" s="9"/>
      <c r="VAG252" s="4"/>
      <c r="VAH252" s="9"/>
      <c r="VAI252" s="4"/>
      <c r="VAJ252" s="9"/>
      <c r="VAK252" s="4"/>
      <c r="VAL252" s="9"/>
      <c r="VAM252" s="4"/>
      <c r="VAN252" s="9"/>
      <c r="VAO252" s="4"/>
      <c r="VAP252" s="9"/>
      <c r="VAQ252" s="4"/>
      <c r="VAR252" s="9"/>
      <c r="VAS252" s="4"/>
      <c r="VAT252" s="9"/>
      <c r="VAU252" s="4"/>
      <c r="VAV252" s="9"/>
      <c r="VAW252" s="4"/>
      <c r="VAX252" s="9"/>
      <c r="VAY252" s="4"/>
      <c r="VAZ252" s="9"/>
      <c r="VBA252" s="4"/>
      <c r="VBB252" s="9"/>
      <c r="VBC252" s="4"/>
      <c r="VBD252" s="9"/>
      <c r="VBE252" s="4"/>
      <c r="VBF252" s="9"/>
      <c r="VBG252" s="4"/>
      <c r="VBH252" s="9"/>
      <c r="VBI252" s="4"/>
      <c r="VBJ252" s="9"/>
      <c r="VBK252" s="4"/>
      <c r="VBL252" s="9"/>
      <c r="VBM252" s="4"/>
      <c r="VBN252" s="9"/>
      <c r="VBO252" s="4"/>
      <c r="VBP252" s="9"/>
      <c r="VBQ252" s="4"/>
      <c r="VBR252" s="9"/>
      <c r="VBS252" s="4"/>
      <c r="VBT252" s="9"/>
      <c r="VBU252" s="4"/>
      <c r="VBV252" s="9"/>
      <c r="VBW252" s="4"/>
      <c r="VBX252" s="9"/>
      <c r="VBY252" s="4"/>
      <c r="VBZ252" s="9"/>
      <c r="VCA252" s="4"/>
      <c r="VCB252" s="9"/>
      <c r="VCC252" s="4"/>
      <c r="VCD252" s="9"/>
      <c r="VCE252" s="4"/>
      <c r="VCF252" s="9"/>
      <c r="VCG252" s="4"/>
      <c r="VCH252" s="9"/>
      <c r="VCI252" s="4"/>
      <c r="VCJ252" s="9"/>
      <c r="VCK252" s="4"/>
      <c r="VCL252" s="9"/>
      <c r="VCM252" s="4"/>
      <c r="VCN252" s="9"/>
      <c r="VCO252" s="4"/>
      <c r="VCP252" s="9"/>
      <c r="VCQ252" s="4"/>
      <c r="VCR252" s="9"/>
      <c r="VCS252" s="4"/>
      <c r="VCT252" s="9"/>
      <c r="VCU252" s="4"/>
      <c r="VCV252" s="9"/>
      <c r="VCW252" s="4"/>
      <c r="VCX252" s="9"/>
      <c r="VCY252" s="4"/>
      <c r="VCZ252" s="9"/>
      <c r="VDA252" s="4"/>
      <c r="VDB252" s="9"/>
      <c r="VDC252" s="4"/>
      <c r="VDD252" s="9"/>
      <c r="VDE252" s="4"/>
      <c r="VDF252" s="9"/>
      <c r="VDG252" s="4"/>
      <c r="VDH252" s="9"/>
      <c r="VDI252" s="4"/>
      <c r="VDJ252" s="9"/>
      <c r="VDK252" s="4"/>
      <c r="VDL252" s="9"/>
      <c r="VDM252" s="4"/>
      <c r="VDN252" s="9"/>
      <c r="VDO252" s="4"/>
      <c r="VDP252" s="9"/>
      <c r="VDQ252" s="4"/>
      <c r="VDR252" s="9"/>
      <c r="VDS252" s="4"/>
      <c r="VDT252" s="9"/>
      <c r="VDU252" s="4"/>
      <c r="VDV252" s="9"/>
      <c r="VDW252" s="4"/>
      <c r="VDX252" s="9"/>
      <c r="VDY252" s="4"/>
      <c r="VDZ252" s="9"/>
      <c r="VEA252" s="4"/>
      <c r="VEB252" s="9"/>
      <c r="VEC252" s="4"/>
      <c r="VED252" s="9"/>
      <c r="VEE252" s="4"/>
      <c r="VEF252" s="9"/>
      <c r="VEG252" s="4"/>
      <c r="VEH252" s="9"/>
      <c r="VEI252" s="4"/>
      <c r="VEJ252" s="9"/>
      <c r="VEK252" s="4"/>
      <c r="VEL252" s="9"/>
      <c r="VEM252" s="4"/>
      <c r="VEN252" s="9"/>
      <c r="VEO252" s="4"/>
      <c r="VEP252" s="9"/>
      <c r="VEQ252" s="4"/>
      <c r="VER252" s="9"/>
      <c r="VES252" s="4"/>
      <c r="VET252" s="9"/>
      <c r="VEU252" s="4"/>
      <c r="VEV252" s="9"/>
      <c r="VEW252" s="4"/>
      <c r="VEX252" s="9"/>
      <c r="VEY252" s="4"/>
      <c r="VEZ252" s="9"/>
      <c r="VFA252" s="4"/>
      <c r="VFB252" s="9"/>
      <c r="VFC252" s="4"/>
      <c r="VFD252" s="9"/>
      <c r="VFE252" s="4"/>
      <c r="VFF252" s="9"/>
      <c r="VFG252" s="4"/>
      <c r="VFH252" s="9"/>
      <c r="VFI252" s="4"/>
      <c r="VFJ252" s="9"/>
      <c r="VFK252" s="4"/>
      <c r="VFL252" s="9"/>
      <c r="VFM252" s="4"/>
      <c r="VFN252" s="9"/>
      <c r="VFO252" s="4"/>
      <c r="VFP252" s="9"/>
      <c r="VFQ252" s="4"/>
      <c r="VFR252" s="9"/>
      <c r="VFS252" s="4"/>
      <c r="VFT252" s="9"/>
      <c r="VFU252" s="4"/>
      <c r="VFV252" s="9"/>
      <c r="VFW252" s="4"/>
      <c r="VFX252" s="9"/>
      <c r="VFY252" s="4"/>
      <c r="VFZ252" s="9"/>
      <c r="VGA252" s="4"/>
      <c r="VGB252" s="9"/>
      <c r="VGC252" s="4"/>
      <c r="VGD252" s="9"/>
      <c r="VGE252" s="4"/>
      <c r="VGF252" s="9"/>
      <c r="VGG252" s="4"/>
      <c r="VGH252" s="9"/>
      <c r="VGI252" s="4"/>
      <c r="VGJ252" s="9"/>
      <c r="VGK252" s="4"/>
      <c r="VGL252" s="9"/>
      <c r="VGM252" s="4"/>
      <c r="VGN252" s="9"/>
      <c r="VGO252" s="4"/>
      <c r="VGP252" s="9"/>
      <c r="VGQ252" s="4"/>
      <c r="VGR252" s="9"/>
      <c r="VGS252" s="4"/>
      <c r="VGT252" s="9"/>
      <c r="VGU252" s="4"/>
      <c r="VGV252" s="9"/>
      <c r="VGW252" s="4"/>
      <c r="VGX252" s="9"/>
      <c r="VGY252" s="4"/>
      <c r="VGZ252" s="9"/>
      <c r="VHA252" s="4"/>
      <c r="VHB252" s="9"/>
      <c r="VHC252" s="4"/>
      <c r="VHD252" s="9"/>
      <c r="VHE252" s="4"/>
      <c r="VHF252" s="9"/>
      <c r="VHG252" s="4"/>
      <c r="VHH252" s="9"/>
      <c r="VHI252" s="4"/>
      <c r="VHJ252" s="9"/>
      <c r="VHK252" s="4"/>
      <c r="VHL252" s="9"/>
      <c r="VHM252" s="4"/>
      <c r="VHN252" s="9"/>
      <c r="VHO252" s="4"/>
      <c r="VHP252" s="9"/>
      <c r="VHQ252" s="4"/>
      <c r="VHR252" s="9"/>
      <c r="VHS252" s="4"/>
      <c r="VHT252" s="9"/>
      <c r="VHU252" s="4"/>
      <c r="VHV252" s="9"/>
      <c r="VHW252" s="4"/>
      <c r="VHX252" s="9"/>
      <c r="VHY252" s="4"/>
      <c r="VHZ252" s="9"/>
      <c r="VIA252" s="4"/>
      <c r="VIB252" s="9"/>
      <c r="VIC252" s="4"/>
      <c r="VID252" s="9"/>
      <c r="VIE252" s="4"/>
      <c r="VIF252" s="9"/>
      <c r="VIG252" s="4"/>
      <c r="VIH252" s="9"/>
      <c r="VII252" s="4"/>
      <c r="VIJ252" s="9"/>
      <c r="VIK252" s="4"/>
      <c r="VIL252" s="9"/>
      <c r="VIM252" s="4"/>
      <c r="VIN252" s="9"/>
      <c r="VIO252" s="4"/>
      <c r="VIP252" s="9"/>
      <c r="VIQ252" s="4"/>
      <c r="VIR252" s="9"/>
      <c r="VIS252" s="4"/>
      <c r="VIT252" s="9"/>
      <c r="VIU252" s="4"/>
      <c r="VIV252" s="9"/>
      <c r="VIW252" s="4"/>
      <c r="VIX252" s="9"/>
      <c r="VIY252" s="4"/>
      <c r="VIZ252" s="9"/>
      <c r="VJA252" s="4"/>
      <c r="VJB252" s="9"/>
      <c r="VJC252" s="4"/>
      <c r="VJD252" s="9"/>
      <c r="VJE252" s="4"/>
      <c r="VJF252" s="9"/>
      <c r="VJG252" s="4"/>
      <c r="VJH252" s="9"/>
      <c r="VJI252" s="4"/>
      <c r="VJJ252" s="9"/>
      <c r="VJK252" s="4"/>
      <c r="VJL252" s="9"/>
      <c r="VJM252" s="4"/>
      <c r="VJN252" s="9"/>
      <c r="VJO252" s="4"/>
      <c r="VJP252" s="9"/>
      <c r="VJQ252" s="4"/>
      <c r="VJR252" s="9"/>
      <c r="VJS252" s="4"/>
      <c r="VJT252" s="9"/>
      <c r="VJU252" s="4"/>
      <c r="VJV252" s="9"/>
      <c r="VJW252" s="4"/>
      <c r="VJX252" s="9"/>
      <c r="VJY252" s="4"/>
      <c r="VJZ252" s="9"/>
      <c r="VKA252" s="4"/>
      <c r="VKB252" s="9"/>
      <c r="VKC252" s="4"/>
      <c r="VKD252" s="9"/>
      <c r="VKE252" s="4"/>
      <c r="VKF252" s="9"/>
      <c r="VKG252" s="4"/>
      <c r="VKH252" s="9"/>
      <c r="VKI252" s="4"/>
      <c r="VKJ252" s="9"/>
      <c r="VKK252" s="4"/>
      <c r="VKL252" s="9"/>
      <c r="VKM252" s="4"/>
      <c r="VKN252" s="9"/>
      <c r="VKO252" s="4"/>
      <c r="VKP252" s="9"/>
      <c r="VKQ252" s="4"/>
      <c r="VKR252" s="9"/>
      <c r="VKS252" s="4"/>
      <c r="VKT252" s="9"/>
      <c r="VKU252" s="4"/>
      <c r="VKV252" s="9"/>
      <c r="VKW252" s="4"/>
      <c r="VKX252" s="9"/>
      <c r="VKY252" s="4"/>
      <c r="VKZ252" s="9"/>
      <c r="VLA252" s="4"/>
      <c r="VLB252" s="9"/>
      <c r="VLC252" s="4"/>
      <c r="VLD252" s="9"/>
      <c r="VLE252" s="4"/>
      <c r="VLF252" s="9"/>
      <c r="VLG252" s="4"/>
      <c r="VLH252" s="9"/>
      <c r="VLI252" s="4"/>
      <c r="VLJ252" s="9"/>
      <c r="VLK252" s="4"/>
      <c r="VLL252" s="9"/>
      <c r="VLM252" s="4"/>
      <c r="VLN252" s="9"/>
      <c r="VLO252" s="4"/>
      <c r="VLP252" s="9"/>
      <c r="VLQ252" s="4"/>
      <c r="VLR252" s="9"/>
      <c r="VLS252" s="4"/>
      <c r="VLT252" s="9"/>
      <c r="VLU252" s="4"/>
      <c r="VLV252" s="9"/>
      <c r="VLW252" s="4"/>
      <c r="VLX252" s="9"/>
      <c r="VLY252" s="4"/>
      <c r="VLZ252" s="9"/>
      <c r="VMA252" s="4"/>
      <c r="VMB252" s="9"/>
      <c r="VMC252" s="4"/>
      <c r="VMD252" s="9"/>
      <c r="VME252" s="4"/>
      <c r="VMF252" s="9"/>
      <c r="VMG252" s="4"/>
      <c r="VMH252" s="9"/>
      <c r="VMI252" s="4"/>
      <c r="VMJ252" s="9"/>
      <c r="VMK252" s="4"/>
      <c r="VML252" s="9"/>
      <c r="VMM252" s="4"/>
      <c r="VMN252" s="9"/>
      <c r="VMO252" s="4"/>
      <c r="VMP252" s="9"/>
      <c r="VMQ252" s="4"/>
      <c r="VMR252" s="9"/>
      <c r="VMS252" s="4"/>
      <c r="VMT252" s="9"/>
      <c r="VMU252" s="4"/>
      <c r="VMV252" s="9"/>
      <c r="VMW252" s="4"/>
      <c r="VMX252" s="9"/>
      <c r="VMY252" s="4"/>
      <c r="VMZ252" s="9"/>
      <c r="VNA252" s="4"/>
      <c r="VNB252" s="9"/>
      <c r="VNC252" s="4"/>
      <c r="VND252" s="9"/>
      <c r="VNE252" s="4"/>
      <c r="VNF252" s="9"/>
      <c r="VNG252" s="4"/>
      <c r="VNH252" s="9"/>
      <c r="VNI252" s="4"/>
      <c r="VNJ252" s="9"/>
      <c r="VNK252" s="4"/>
      <c r="VNL252" s="9"/>
      <c r="VNM252" s="4"/>
      <c r="VNN252" s="9"/>
      <c r="VNO252" s="4"/>
      <c r="VNP252" s="9"/>
      <c r="VNQ252" s="4"/>
      <c r="VNR252" s="9"/>
      <c r="VNS252" s="4"/>
      <c r="VNT252" s="9"/>
      <c r="VNU252" s="4"/>
      <c r="VNV252" s="9"/>
      <c r="VNW252" s="4"/>
      <c r="VNX252" s="9"/>
      <c r="VNY252" s="4"/>
      <c r="VNZ252" s="9"/>
      <c r="VOA252" s="4"/>
      <c r="VOB252" s="9"/>
      <c r="VOC252" s="4"/>
      <c r="VOD252" s="9"/>
      <c r="VOE252" s="4"/>
      <c r="VOF252" s="9"/>
      <c r="VOG252" s="4"/>
      <c r="VOH252" s="9"/>
      <c r="VOI252" s="4"/>
      <c r="VOJ252" s="9"/>
      <c r="VOK252" s="4"/>
      <c r="VOL252" s="9"/>
      <c r="VOM252" s="4"/>
      <c r="VON252" s="9"/>
      <c r="VOO252" s="4"/>
      <c r="VOP252" s="9"/>
      <c r="VOQ252" s="4"/>
      <c r="VOR252" s="9"/>
      <c r="VOS252" s="4"/>
      <c r="VOT252" s="9"/>
      <c r="VOU252" s="4"/>
      <c r="VOV252" s="9"/>
      <c r="VOW252" s="4"/>
      <c r="VOX252" s="9"/>
      <c r="VOY252" s="4"/>
      <c r="VOZ252" s="9"/>
      <c r="VPA252" s="4"/>
      <c r="VPB252" s="9"/>
      <c r="VPC252" s="4"/>
      <c r="VPD252" s="9"/>
      <c r="VPE252" s="4"/>
      <c r="VPF252" s="9"/>
      <c r="VPG252" s="4"/>
      <c r="VPH252" s="9"/>
      <c r="VPI252" s="4"/>
      <c r="VPJ252" s="9"/>
      <c r="VPK252" s="4"/>
      <c r="VPL252" s="9"/>
      <c r="VPM252" s="4"/>
      <c r="VPN252" s="9"/>
      <c r="VPO252" s="4"/>
      <c r="VPP252" s="9"/>
      <c r="VPQ252" s="4"/>
      <c r="VPR252" s="9"/>
      <c r="VPS252" s="4"/>
      <c r="VPT252" s="9"/>
      <c r="VPU252" s="4"/>
      <c r="VPV252" s="9"/>
      <c r="VPW252" s="4"/>
      <c r="VPX252" s="9"/>
      <c r="VPY252" s="4"/>
      <c r="VPZ252" s="9"/>
      <c r="VQA252" s="4"/>
      <c r="VQB252" s="9"/>
      <c r="VQC252" s="4"/>
      <c r="VQD252" s="9"/>
      <c r="VQE252" s="4"/>
      <c r="VQF252" s="9"/>
      <c r="VQG252" s="4"/>
      <c r="VQH252" s="9"/>
      <c r="VQI252" s="4"/>
      <c r="VQJ252" s="9"/>
      <c r="VQK252" s="4"/>
      <c r="VQL252" s="9"/>
      <c r="VQM252" s="4"/>
      <c r="VQN252" s="9"/>
      <c r="VQO252" s="4"/>
      <c r="VQP252" s="9"/>
      <c r="VQQ252" s="4"/>
      <c r="VQR252" s="9"/>
      <c r="VQS252" s="4"/>
      <c r="VQT252" s="9"/>
      <c r="VQU252" s="4"/>
      <c r="VQV252" s="9"/>
      <c r="VQW252" s="4"/>
      <c r="VQX252" s="9"/>
      <c r="VQY252" s="4"/>
      <c r="VQZ252" s="9"/>
      <c r="VRA252" s="4"/>
      <c r="VRB252" s="9"/>
      <c r="VRC252" s="4"/>
      <c r="VRD252" s="9"/>
      <c r="VRE252" s="4"/>
      <c r="VRF252" s="9"/>
      <c r="VRG252" s="4"/>
      <c r="VRH252" s="9"/>
      <c r="VRI252" s="4"/>
      <c r="VRJ252" s="9"/>
      <c r="VRK252" s="4"/>
      <c r="VRL252" s="9"/>
      <c r="VRM252" s="4"/>
      <c r="VRN252" s="9"/>
      <c r="VRO252" s="4"/>
      <c r="VRP252" s="9"/>
      <c r="VRQ252" s="4"/>
      <c r="VRR252" s="9"/>
      <c r="VRS252" s="4"/>
      <c r="VRT252" s="9"/>
      <c r="VRU252" s="4"/>
      <c r="VRV252" s="9"/>
      <c r="VRW252" s="4"/>
      <c r="VRX252" s="9"/>
      <c r="VRY252" s="4"/>
      <c r="VRZ252" s="9"/>
      <c r="VSA252" s="4"/>
      <c r="VSB252" s="9"/>
      <c r="VSC252" s="4"/>
      <c r="VSD252" s="9"/>
      <c r="VSE252" s="4"/>
      <c r="VSF252" s="9"/>
      <c r="VSG252" s="4"/>
      <c r="VSH252" s="9"/>
      <c r="VSI252" s="4"/>
      <c r="VSJ252" s="9"/>
      <c r="VSK252" s="4"/>
      <c r="VSL252" s="9"/>
      <c r="VSM252" s="4"/>
      <c r="VSN252" s="9"/>
      <c r="VSO252" s="4"/>
      <c r="VSP252" s="9"/>
      <c r="VSQ252" s="4"/>
      <c r="VSR252" s="9"/>
      <c r="VSS252" s="4"/>
      <c r="VST252" s="9"/>
      <c r="VSU252" s="4"/>
      <c r="VSV252" s="9"/>
      <c r="VSW252" s="4"/>
      <c r="VSX252" s="9"/>
      <c r="VSY252" s="4"/>
      <c r="VSZ252" s="9"/>
      <c r="VTA252" s="4"/>
      <c r="VTB252" s="9"/>
      <c r="VTC252" s="4"/>
      <c r="VTD252" s="9"/>
      <c r="VTE252" s="4"/>
      <c r="VTF252" s="9"/>
      <c r="VTG252" s="4"/>
      <c r="VTH252" s="9"/>
      <c r="VTI252" s="4"/>
      <c r="VTJ252" s="9"/>
      <c r="VTK252" s="4"/>
      <c r="VTL252" s="9"/>
      <c r="VTM252" s="4"/>
      <c r="VTN252" s="9"/>
      <c r="VTO252" s="4"/>
      <c r="VTP252" s="9"/>
      <c r="VTQ252" s="4"/>
      <c r="VTR252" s="9"/>
      <c r="VTS252" s="4"/>
      <c r="VTT252" s="9"/>
      <c r="VTU252" s="4"/>
      <c r="VTV252" s="9"/>
      <c r="VTW252" s="4"/>
      <c r="VTX252" s="9"/>
      <c r="VTY252" s="4"/>
      <c r="VTZ252" s="9"/>
      <c r="VUA252" s="4"/>
      <c r="VUB252" s="9"/>
      <c r="VUC252" s="4"/>
      <c r="VUD252" s="9"/>
      <c r="VUE252" s="4"/>
      <c r="VUF252" s="9"/>
      <c r="VUG252" s="4"/>
      <c r="VUH252" s="9"/>
      <c r="VUI252" s="4"/>
      <c r="VUJ252" s="9"/>
      <c r="VUK252" s="4"/>
      <c r="VUL252" s="9"/>
      <c r="VUM252" s="4"/>
      <c r="VUN252" s="9"/>
      <c r="VUO252" s="4"/>
      <c r="VUP252" s="9"/>
      <c r="VUQ252" s="4"/>
      <c r="VUR252" s="9"/>
      <c r="VUS252" s="4"/>
      <c r="VUT252" s="9"/>
      <c r="VUU252" s="4"/>
      <c r="VUV252" s="9"/>
      <c r="VUW252" s="4"/>
      <c r="VUX252" s="9"/>
      <c r="VUY252" s="4"/>
      <c r="VUZ252" s="9"/>
      <c r="VVA252" s="4"/>
      <c r="VVB252" s="9"/>
      <c r="VVC252" s="4"/>
      <c r="VVD252" s="9"/>
      <c r="VVE252" s="4"/>
      <c r="VVF252" s="9"/>
      <c r="VVG252" s="4"/>
      <c r="VVH252" s="9"/>
      <c r="VVI252" s="4"/>
      <c r="VVJ252" s="9"/>
      <c r="VVK252" s="4"/>
      <c r="VVL252" s="9"/>
      <c r="VVM252" s="4"/>
      <c r="VVN252" s="9"/>
      <c r="VVO252" s="4"/>
      <c r="VVP252" s="9"/>
      <c r="VVQ252" s="4"/>
      <c r="VVR252" s="9"/>
      <c r="VVS252" s="4"/>
      <c r="VVT252" s="9"/>
      <c r="VVU252" s="4"/>
      <c r="VVV252" s="9"/>
      <c r="VVW252" s="4"/>
      <c r="VVX252" s="9"/>
      <c r="VVY252" s="4"/>
      <c r="VVZ252" s="9"/>
      <c r="VWA252" s="4"/>
      <c r="VWB252" s="9"/>
      <c r="VWC252" s="4"/>
      <c r="VWD252" s="9"/>
      <c r="VWE252" s="4"/>
      <c r="VWF252" s="9"/>
      <c r="VWG252" s="4"/>
      <c r="VWH252" s="9"/>
      <c r="VWI252" s="4"/>
      <c r="VWJ252" s="9"/>
      <c r="VWK252" s="4"/>
      <c r="VWL252" s="9"/>
      <c r="VWM252" s="4"/>
      <c r="VWN252" s="9"/>
      <c r="VWO252" s="4"/>
      <c r="VWP252" s="9"/>
      <c r="VWQ252" s="4"/>
      <c r="VWR252" s="9"/>
      <c r="VWS252" s="4"/>
      <c r="VWT252" s="9"/>
      <c r="VWU252" s="4"/>
      <c r="VWV252" s="9"/>
      <c r="VWW252" s="4"/>
      <c r="VWX252" s="9"/>
      <c r="VWY252" s="4"/>
      <c r="VWZ252" s="9"/>
      <c r="VXA252" s="4"/>
      <c r="VXB252" s="9"/>
      <c r="VXC252" s="4"/>
      <c r="VXD252" s="9"/>
      <c r="VXE252" s="4"/>
      <c r="VXF252" s="9"/>
      <c r="VXG252" s="4"/>
      <c r="VXH252" s="9"/>
      <c r="VXI252" s="4"/>
      <c r="VXJ252" s="9"/>
      <c r="VXK252" s="4"/>
      <c r="VXL252" s="9"/>
      <c r="VXM252" s="4"/>
      <c r="VXN252" s="9"/>
      <c r="VXO252" s="4"/>
      <c r="VXP252" s="9"/>
      <c r="VXQ252" s="4"/>
      <c r="VXR252" s="9"/>
      <c r="VXS252" s="4"/>
      <c r="VXT252" s="9"/>
      <c r="VXU252" s="4"/>
      <c r="VXV252" s="9"/>
      <c r="VXW252" s="4"/>
      <c r="VXX252" s="9"/>
      <c r="VXY252" s="4"/>
      <c r="VXZ252" s="9"/>
      <c r="VYA252" s="4"/>
      <c r="VYB252" s="9"/>
      <c r="VYC252" s="4"/>
      <c r="VYD252" s="9"/>
      <c r="VYE252" s="4"/>
      <c r="VYF252" s="9"/>
      <c r="VYG252" s="4"/>
      <c r="VYH252" s="9"/>
      <c r="VYI252" s="4"/>
      <c r="VYJ252" s="9"/>
      <c r="VYK252" s="4"/>
      <c r="VYL252" s="9"/>
      <c r="VYM252" s="4"/>
      <c r="VYN252" s="9"/>
      <c r="VYO252" s="4"/>
      <c r="VYP252" s="9"/>
      <c r="VYQ252" s="4"/>
      <c r="VYR252" s="9"/>
      <c r="VYS252" s="4"/>
      <c r="VYT252" s="9"/>
      <c r="VYU252" s="4"/>
      <c r="VYV252" s="9"/>
      <c r="VYW252" s="4"/>
      <c r="VYX252" s="9"/>
      <c r="VYY252" s="4"/>
      <c r="VYZ252" s="9"/>
      <c r="VZA252" s="4"/>
      <c r="VZB252" s="9"/>
      <c r="VZC252" s="4"/>
      <c r="VZD252" s="9"/>
      <c r="VZE252" s="4"/>
      <c r="VZF252" s="9"/>
      <c r="VZG252" s="4"/>
      <c r="VZH252" s="9"/>
      <c r="VZI252" s="4"/>
      <c r="VZJ252" s="9"/>
      <c r="VZK252" s="4"/>
      <c r="VZL252" s="9"/>
      <c r="VZM252" s="4"/>
      <c r="VZN252" s="9"/>
      <c r="VZO252" s="4"/>
      <c r="VZP252" s="9"/>
      <c r="VZQ252" s="4"/>
      <c r="VZR252" s="9"/>
      <c r="VZS252" s="4"/>
      <c r="VZT252" s="9"/>
      <c r="VZU252" s="4"/>
      <c r="VZV252" s="9"/>
      <c r="VZW252" s="4"/>
      <c r="VZX252" s="9"/>
      <c r="VZY252" s="4"/>
      <c r="VZZ252" s="9"/>
      <c r="WAA252" s="4"/>
      <c r="WAB252" s="9"/>
      <c r="WAC252" s="4"/>
      <c r="WAD252" s="9"/>
      <c r="WAE252" s="4"/>
      <c r="WAF252" s="9"/>
      <c r="WAG252" s="4"/>
      <c r="WAH252" s="9"/>
      <c r="WAI252" s="4"/>
      <c r="WAJ252" s="9"/>
      <c r="WAK252" s="4"/>
      <c r="WAL252" s="9"/>
      <c r="WAM252" s="4"/>
      <c r="WAN252" s="9"/>
      <c r="WAO252" s="4"/>
      <c r="WAP252" s="9"/>
      <c r="WAQ252" s="4"/>
      <c r="WAR252" s="9"/>
      <c r="WAS252" s="4"/>
      <c r="WAT252" s="9"/>
      <c r="WAU252" s="4"/>
      <c r="WAV252" s="9"/>
      <c r="WAW252" s="4"/>
      <c r="WAX252" s="9"/>
      <c r="WAY252" s="4"/>
      <c r="WAZ252" s="9"/>
      <c r="WBA252" s="4"/>
      <c r="WBB252" s="9"/>
      <c r="WBC252" s="4"/>
      <c r="WBD252" s="9"/>
      <c r="WBE252" s="4"/>
      <c r="WBF252" s="9"/>
      <c r="WBG252" s="4"/>
      <c r="WBH252" s="9"/>
      <c r="WBI252" s="4"/>
      <c r="WBJ252" s="9"/>
      <c r="WBK252" s="4"/>
      <c r="WBL252" s="9"/>
      <c r="WBM252" s="4"/>
      <c r="WBN252" s="9"/>
      <c r="WBO252" s="4"/>
      <c r="WBP252" s="9"/>
      <c r="WBQ252" s="4"/>
      <c r="WBR252" s="9"/>
      <c r="WBS252" s="4"/>
      <c r="WBT252" s="9"/>
      <c r="WBU252" s="4"/>
      <c r="WBV252" s="9"/>
      <c r="WBW252" s="4"/>
      <c r="WBX252" s="9"/>
      <c r="WBY252" s="4"/>
      <c r="WBZ252" s="9"/>
      <c r="WCA252" s="4"/>
      <c r="WCB252" s="9"/>
      <c r="WCC252" s="4"/>
      <c r="WCD252" s="9"/>
      <c r="WCE252" s="4"/>
      <c r="WCF252" s="9"/>
      <c r="WCG252" s="4"/>
      <c r="WCH252" s="9"/>
      <c r="WCI252" s="4"/>
      <c r="WCJ252" s="9"/>
      <c r="WCK252" s="4"/>
      <c r="WCL252" s="9"/>
      <c r="WCM252" s="4"/>
      <c r="WCN252" s="9"/>
      <c r="WCO252" s="4"/>
      <c r="WCP252" s="9"/>
      <c r="WCQ252" s="4"/>
      <c r="WCR252" s="9"/>
      <c r="WCS252" s="4"/>
      <c r="WCT252" s="9"/>
      <c r="WCU252" s="4"/>
      <c r="WCV252" s="9"/>
      <c r="WCW252" s="4"/>
      <c r="WCX252" s="9"/>
      <c r="WCY252" s="4"/>
      <c r="WCZ252" s="9"/>
      <c r="WDA252" s="4"/>
      <c r="WDB252" s="9"/>
      <c r="WDC252" s="4"/>
      <c r="WDD252" s="9"/>
      <c r="WDE252" s="4"/>
      <c r="WDF252" s="9"/>
      <c r="WDG252" s="4"/>
      <c r="WDH252" s="9"/>
      <c r="WDI252" s="4"/>
      <c r="WDJ252" s="9"/>
      <c r="WDK252" s="4"/>
      <c r="WDL252" s="9"/>
      <c r="WDM252" s="4"/>
      <c r="WDN252" s="9"/>
      <c r="WDO252" s="4"/>
      <c r="WDP252" s="9"/>
      <c r="WDQ252" s="4"/>
      <c r="WDR252" s="9"/>
      <c r="WDS252" s="4"/>
      <c r="WDT252" s="9"/>
      <c r="WDU252" s="4"/>
      <c r="WDV252" s="9"/>
      <c r="WDW252" s="4"/>
      <c r="WDX252" s="9"/>
      <c r="WDY252" s="4"/>
      <c r="WDZ252" s="9"/>
      <c r="WEA252" s="4"/>
      <c r="WEB252" s="9"/>
      <c r="WEC252" s="4"/>
      <c r="WED252" s="9"/>
      <c r="WEE252" s="4"/>
      <c r="WEF252" s="9"/>
      <c r="WEG252" s="4"/>
      <c r="WEH252" s="9"/>
      <c r="WEI252" s="4"/>
      <c r="WEJ252" s="9"/>
      <c r="WEK252" s="4"/>
      <c r="WEL252" s="9"/>
      <c r="WEM252" s="4"/>
      <c r="WEN252" s="9"/>
      <c r="WEO252" s="4"/>
      <c r="WEP252" s="9"/>
      <c r="WEQ252" s="4"/>
      <c r="WER252" s="9"/>
      <c r="WES252" s="4"/>
      <c r="WET252" s="9"/>
      <c r="WEU252" s="4"/>
      <c r="WEV252" s="9"/>
      <c r="WEW252" s="4"/>
      <c r="WEX252" s="9"/>
      <c r="WEY252" s="4"/>
      <c r="WEZ252" s="9"/>
      <c r="WFA252" s="4"/>
      <c r="WFB252" s="9"/>
      <c r="WFC252" s="4"/>
      <c r="WFD252" s="9"/>
      <c r="WFE252" s="4"/>
      <c r="WFF252" s="9"/>
      <c r="WFG252" s="4"/>
      <c r="WFH252" s="9"/>
      <c r="WFI252" s="4"/>
      <c r="WFJ252" s="9"/>
      <c r="WFK252" s="4"/>
      <c r="WFL252" s="9"/>
      <c r="WFM252" s="4"/>
      <c r="WFN252" s="9"/>
      <c r="WFO252" s="4"/>
      <c r="WFP252" s="9"/>
      <c r="WFQ252" s="4"/>
      <c r="WFR252" s="9"/>
      <c r="WFS252" s="4"/>
      <c r="WFT252" s="9"/>
      <c r="WFU252" s="4"/>
      <c r="WFV252" s="9"/>
      <c r="WFW252" s="4"/>
      <c r="WFX252" s="9"/>
      <c r="WFY252" s="4"/>
      <c r="WFZ252" s="9"/>
      <c r="WGA252" s="4"/>
      <c r="WGB252" s="9"/>
      <c r="WGC252" s="4"/>
      <c r="WGD252" s="9"/>
      <c r="WGE252" s="4"/>
      <c r="WGF252" s="9"/>
      <c r="WGG252" s="4"/>
      <c r="WGH252" s="9"/>
      <c r="WGI252" s="4"/>
      <c r="WGJ252" s="9"/>
      <c r="WGK252" s="4"/>
      <c r="WGL252" s="9"/>
      <c r="WGM252" s="4"/>
      <c r="WGN252" s="9"/>
      <c r="WGO252" s="4"/>
      <c r="WGP252" s="9"/>
      <c r="WGQ252" s="4"/>
      <c r="WGR252" s="9"/>
      <c r="WGS252" s="4"/>
      <c r="WGT252" s="9"/>
      <c r="WGU252" s="4"/>
      <c r="WGV252" s="9"/>
      <c r="WGW252" s="4"/>
      <c r="WGX252" s="9"/>
      <c r="WGY252" s="4"/>
      <c r="WGZ252" s="9"/>
      <c r="WHA252" s="4"/>
      <c r="WHB252" s="9"/>
      <c r="WHC252" s="4"/>
      <c r="WHD252" s="9"/>
      <c r="WHE252" s="4"/>
      <c r="WHF252" s="9"/>
      <c r="WHG252" s="4"/>
      <c r="WHH252" s="9"/>
      <c r="WHI252" s="4"/>
      <c r="WHJ252" s="9"/>
      <c r="WHK252" s="4"/>
      <c r="WHL252" s="9"/>
      <c r="WHM252" s="4"/>
      <c r="WHN252" s="9"/>
      <c r="WHO252" s="4"/>
      <c r="WHP252" s="9"/>
      <c r="WHQ252" s="4"/>
      <c r="WHR252" s="9"/>
      <c r="WHS252" s="4"/>
      <c r="WHT252" s="9"/>
      <c r="WHU252" s="4"/>
      <c r="WHV252" s="9"/>
      <c r="WHW252" s="4"/>
      <c r="WHX252" s="9"/>
      <c r="WHY252" s="4"/>
      <c r="WHZ252" s="9"/>
      <c r="WIA252" s="4"/>
      <c r="WIB252" s="9"/>
      <c r="WIC252" s="4"/>
      <c r="WID252" s="9"/>
      <c r="WIE252" s="4"/>
      <c r="WIF252" s="9"/>
      <c r="WIG252" s="4"/>
      <c r="WIH252" s="9"/>
      <c r="WII252" s="4"/>
      <c r="WIJ252" s="9"/>
      <c r="WIK252" s="4"/>
      <c r="WIL252" s="9"/>
      <c r="WIM252" s="4"/>
      <c r="WIN252" s="9"/>
      <c r="WIO252" s="4"/>
      <c r="WIP252" s="9"/>
      <c r="WIQ252" s="4"/>
      <c r="WIR252" s="9"/>
      <c r="WIS252" s="4"/>
      <c r="WIT252" s="9"/>
      <c r="WIU252" s="4"/>
      <c r="WIV252" s="9"/>
      <c r="WIW252" s="4"/>
      <c r="WIX252" s="9"/>
      <c r="WIY252" s="4"/>
      <c r="WIZ252" s="9"/>
      <c r="WJA252" s="4"/>
      <c r="WJB252" s="9"/>
      <c r="WJC252" s="4"/>
      <c r="WJD252" s="9"/>
      <c r="WJE252" s="4"/>
      <c r="WJF252" s="9"/>
      <c r="WJG252" s="4"/>
      <c r="WJH252" s="9"/>
      <c r="WJI252" s="4"/>
      <c r="WJJ252" s="9"/>
      <c r="WJK252" s="4"/>
      <c r="WJL252" s="9"/>
      <c r="WJM252" s="4"/>
      <c r="WJN252" s="9"/>
      <c r="WJO252" s="4"/>
      <c r="WJP252" s="9"/>
      <c r="WJQ252" s="4"/>
      <c r="WJR252" s="9"/>
      <c r="WJS252" s="4"/>
      <c r="WJT252" s="9"/>
      <c r="WJU252" s="4"/>
      <c r="WJV252" s="9"/>
      <c r="WJW252" s="4"/>
      <c r="WJX252" s="9"/>
      <c r="WJY252" s="4"/>
      <c r="WJZ252" s="9"/>
      <c r="WKA252" s="4"/>
      <c r="WKB252" s="9"/>
      <c r="WKC252" s="4"/>
      <c r="WKD252" s="9"/>
      <c r="WKE252" s="4"/>
      <c r="WKF252" s="9"/>
      <c r="WKG252" s="4"/>
      <c r="WKH252" s="9"/>
      <c r="WKI252" s="4"/>
      <c r="WKJ252" s="9"/>
      <c r="WKK252" s="4"/>
      <c r="WKL252" s="9"/>
      <c r="WKM252" s="4"/>
      <c r="WKN252" s="9"/>
      <c r="WKO252" s="4"/>
      <c r="WKP252" s="9"/>
      <c r="WKQ252" s="4"/>
      <c r="WKR252" s="9"/>
      <c r="WKS252" s="4"/>
      <c r="WKT252" s="9"/>
      <c r="WKU252" s="4"/>
      <c r="WKV252" s="9"/>
      <c r="WKW252" s="4"/>
      <c r="WKX252" s="9"/>
      <c r="WKY252" s="4"/>
      <c r="WKZ252" s="9"/>
      <c r="WLA252" s="4"/>
      <c r="WLB252" s="9"/>
      <c r="WLC252" s="4"/>
      <c r="WLD252" s="9"/>
      <c r="WLE252" s="4"/>
      <c r="WLF252" s="9"/>
      <c r="WLG252" s="4"/>
      <c r="WLH252" s="9"/>
      <c r="WLI252" s="4"/>
      <c r="WLJ252" s="9"/>
      <c r="WLK252" s="4"/>
      <c r="WLL252" s="9"/>
      <c r="WLM252" s="4"/>
      <c r="WLN252" s="9"/>
      <c r="WLO252" s="4"/>
      <c r="WLP252" s="9"/>
      <c r="WLQ252" s="4"/>
      <c r="WLR252" s="9"/>
      <c r="WLS252" s="4"/>
      <c r="WLT252" s="9"/>
      <c r="WLU252" s="4"/>
      <c r="WLV252" s="9"/>
      <c r="WLW252" s="4"/>
      <c r="WLX252" s="9"/>
      <c r="WLY252" s="4"/>
      <c r="WLZ252" s="9"/>
      <c r="WMA252" s="4"/>
      <c r="WMB252" s="9"/>
      <c r="WMC252" s="4"/>
      <c r="WMD252" s="9"/>
      <c r="WME252" s="4"/>
      <c r="WMF252" s="9"/>
      <c r="WMG252" s="4"/>
      <c r="WMH252" s="9"/>
      <c r="WMI252" s="4"/>
      <c r="WMJ252" s="9"/>
      <c r="WMK252" s="4"/>
      <c r="WML252" s="9"/>
      <c r="WMM252" s="4"/>
      <c r="WMN252" s="9"/>
      <c r="WMO252" s="4"/>
      <c r="WMP252" s="9"/>
      <c r="WMQ252" s="4"/>
      <c r="WMR252" s="9"/>
      <c r="WMS252" s="4"/>
      <c r="WMT252" s="9"/>
      <c r="WMU252" s="4"/>
      <c r="WMV252" s="9"/>
      <c r="WMW252" s="4"/>
      <c r="WMX252" s="9"/>
      <c r="WMY252" s="4"/>
      <c r="WMZ252" s="9"/>
      <c r="WNA252" s="4"/>
      <c r="WNB252" s="9"/>
      <c r="WNC252" s="4"/>
      <c r="WND252" s="9"/>
      <c r="WNE252" s="4"/>
      <c r="WNF252" s="9"/>
      <c r="WNG252" s="4"/>
      <c r="WNH252" s="9"/>
      <c r="WNI252" s="4"/>
      <c r="WNJ252" s="9"/>
      <c r="WNK252" s="4"/>
      <c r="WNL252" s="9"/>
      <c r="WNM252" s="4"/>
      <c r="WNN252" s="9"/>
      <c r="WNO252" s="4"/>
      <c r="WNP252" s="9"/>
      <c r="WNQ252" s="4"/>
      <c r="WNR252" s="9"/>
      <c r="WNS252" s="4"/>
      <c r="WNT252" s="9"/>
      <c r="WNU252" s="4"/>
      <c r="WNV252" s="9"/>
      <c r="WNW252" s="4"/>
      <c r="WNX252" s="9"/>
      <c r="WNY252" s="4"/>
      <c r="WNZ252" s="9"/>
      <c r="WOA252" s="4"/>
      <c r="WOB252" s="9"/>
      <c r="WOC252" s="4"/>
      <c r="WOD252" s="9"/>
      <c r="WOE252" s="4"/>
      <c r="WOF252" s="9"/>
      <c r="WOG252" s="4"/>
      <c r="WOH252" s="9"/>
      <c r="WOI252" s="4"/>
      <c r="WOJ252" s="9"/>
      <c r="WOK252" s="4"/>
      <c r="WOL252" s="9"/>
      <c r="WOM252" s="4"/>
      <c r="WON252" s="9"/>
      <c r="WOO252" s="4"/>
      <c r="WOP252" s="9"/>
      <c r="WOQ252" s="4"/>
      <c r="WOR252" s="9"/>
      <c r="WOS252" s="4"/>
      <c r="WOT252" s="9"/>
      <c r="WOU252" s="4"/>
      <c r="WOV252" s="9"/>
      <c r="WOW252" s="4"/>
      <c r="WOX252" s="9"/>
      <c r="WOY252" s="4"/>
      <c r="WOZ252" s="9"/>
      <c r="WPA252" s="4"/>
      <c r="WPB252" s="9"/>
      <c r="WPC252" s="4"/>
      <c r="WPD252" s="9"/>
      <c r="WPE252" s="4"/>
      <c r="WPF252" s="9"/>
      <c r="WPG252" s="4"/>
      <c r="WPH252" s="9"/>
      <c r="WPI252" s="4"/>
      <c r="WPJ252" s="9"/>
      <c r="WPK252" s="4"/>
      <c r="WPL252" s="9"/>
      <c r="WPM252" s="4"/>
      <c r="WPN252" s="9"/>
      <c r="WPO252" s="4"/>
      <c r="WPP252" s="9"/>
      <c r="WPQ252" s="4"/>
      <c r="WPR252" s="9"/>
      <c r="WPS252" s="4"/>
      <c r="WPT252" s="9"/>
      <c r="WPU252" s="4"/>
      <c r="WPV252" s="9"/>
      <c r="WPW252" s="4"/>
      <c r="WPX252" s="9"/>
      <c r="WPY252" s="4"/>
      <c r="WPZ252" s="9"/>
      <c r="WQA252" s="4"/>
      <c r="WQB252" s="9"/>
      <c r="WQC252" s="4"/>
      <c r="WQD252" s="9"/>
      <c r="WQE252" s="4"/>
      <c r="WQF252" s="9"/>
      <c r="WQG252" s="4"/>
      <c r="WQH252" s="9"/>
      <c r="WQI252" s="4"/>
      <c r="WQJ252" s="9"/>
      <c r="WQK252" s="4"/>
      <c r="WQL252" s="9"/>
      <c r="WQM252" s="4"/>
      <c r="WQN252" s="9"/>
      <c r="WQO252" s="4"/>
      <c r="WQP252" s="9"/>
      <c r="WQQ252" s="4"/>
      <c r="WQR252" s="9"/>
      <c r="WQS252" s="4"/>
      <c r="WQT252" s="9"/>
      <c r="WQU252" s="4"/>
      <c r="WQV252" s="9"/>
      <c r="WQW252" s="4"/>
      <c r="WQX252" s="9"/>
      <c r="WQY252" s="4"/>
      <c r="WQZ252" s="9"/>
      <c r="WRA252" s="4"/>
      <c r="WRB252" s="9"/>
      <c r="WRC252" s="4"/>
      <c r="WRD252" s="9"/>
      <c r="WRE252" s="4"/>
      <c r="WRF252" s="9"/>
      <c r="WRG252" s="4"/>
      <c r="WRH252" s="9"/>
      <c r="WRI252" s="4"/>
      <c r="WRJ252" s="9"/>
      <c r="WRK252" s="4"/>
      <c r="WRL252" s="9"/>
      <c r="WRM252" s="4"/>
      <c r="WRN252" s="9"/>
      <c r="WRO252" s="4"/>
      <c r="WRP252" s="9"/>
      <c r="WRQ252" s="4"/>
      <c r="WRR252" s="9"/>
      <c r="WRS252" s="4"/>
      <c r="WRT252" s="9"/>
      <c r="WRU252" s="4"/>
      <c r="WRV252" s="9"/>
      <c r="WRW252" s="4"/>
      <c r="WRX252" s="9"/>
      <c r="WRY252" s="4"/>
      <c r="WRZ252" s="9"/>
      <c r="WSA252" s="4"/>
      <c r="WSB252" s="9"/>
      <c r="WSC252" s="4"/>
      <c r="WSD252" s="9"/>
      <c r="WSE252" s="4"/>
      <c r="WSF252" s="9"/>
      <c r="WSG252" s="4"/>
      <c r="WSH252" s="9"/>
      <c r="WSI252" s="4"/>
      <c r="WSJ252" s="9"/>
      <c r="WSK252" s="4"/>
      <c r="WSL252" s="9"/>
      <c r="WSM252" s="4"/>
      <c r="WSN252" s="9"/>
      <c r="WSO252" s="4"/>
      <c r="WSP252" s="9"/>
      <c r="WSQ252" s="4"/>
      <c r="WSR252" s="9"/>
      <c r="WSS252" s="4"/>
      <c r="WST252" s="9"/>
      <c r="WSU252" s="4"/>
      <c r="WSV252" s="9"/>
      <c r="WSW252" s="4"/>
      <c r="WSX252" s="9"/>
      <c r="WSY252" s="4"/>
      <c r="WSZ252" s="9"/>
      <c r="WTA252" s="4"/>
      <c r="WTB252" s="9"/>
      <c r="WTC252" s="4"/>
      <c r="WTD252" s="9"/>
      <c r="WTE252" s="4"/>
      <c r="WTF252" s="9"/>
      <c r="WTG252" s="4"/>
      <c r="WTH252" s="9"/>
      <c r="WTI252" s="4"/>
      <c r="WTJ252" s="9"/>
      <c r="WTK252" s="4"/>
      <c r="WTL252" s="9"/>
      <c r="WTM252" s="4"/>
      <c r="WTN252" s="9"/>
      <c r="WTO252" s="4"/>
      <c r="WTP252" s="9"/>
      <c r="WTQ252" s="4"/>
      <c r="WTR252" s="9"/>
      <c r="WTS252" s="4"/>
      <c r="WTT252" s="9"/>
      <c r="WTU252" s="4"/>
      <c r="WTV252" s="9"/>
      <c r="WTW252" s="4"/>
      <c r="WTX252" s="9"/>
      <c r="WTY252" s="4"/>
      <c r="WTZ252" s="9"/>
      <c r="WUA252" s="4"/>
      <c r="WUB252" s="9"/>
      <c r="WUC252" s="4"/>
      <c r="WUD252" s="9"/>
      <c r="WUE252" s="4"/>
      <c r="WUF252" s="9"/>
      <c r="WUG252" s="4"/>
      <c r="WUH252" s="9"/>
      <c r="WUI252" s="4"/>
      <c r="WUJ252" s="9"/>
      <c r="WUK252" s="4"/>
      <c r="WUL252" s="9"/>
      <c r="WUM252" s="4"/>
      <c r="WUN252" s="9"/>
      <c r="WUO252" s="4"/>
      <c r="WUP252" s="9"/>
      <c r="WUQ252" s="4"/>
      <c r="WUR252" s="9"/>
      <c r="WUS252" s="4"/>
      <c r="WUT252" s="9"/>
      <c r="WUU252" s="4"/>
      <c r="WUV252" s="9"/>
      <c r="WUW252" s="4"/>
      <c r="WUX252" s="9"/>
      <c r="WUY252" s="4"/>
      <c r="WUZ252" s="9"/>
      <c r="WVA252" s="4"/>
      <c r="WVB252" s="9"/>
      <c r="WVC252" s="4"/>
      <c r="WVD252" s="9"/>
      <c r="WVE252" s="4"/>
      <c r="WVF252" s="9"/>
      <c r="WVG252" s="4"/>
      <c r="WVH252" s="9"/>
      <c r="WVI252" s="4"/>
      <c r="WVJ252" s="9"/>
      <c r="WVK252" s="4"/>
      <c r="WVL252" s="9"/>
      <c r="WVM252" s="4"/>
      <c r="WVN252" s="9"/>
      <c r="WVO252" s="4"/>
      <c r="WVP252" s="9"/>
      <c r="WVQ252" s="4"/>
      <c r="WVR252" s="9"/>
      <c r="WVS252" s="4"/>
      <c r="WVT252" s="9"/>
      <c r="WVU252" s="4"/>
      <c r="WVV252" s="9"/>
      <c r="WVW252" s="4"/>
      <c r="WVX252" s="9"/>
      <c r="WVY252" s="4"/>
      <c r="WVZ252" s="9"/>
      <c r="WWA252" s="4"/>
      <c r="WWB252" s="9"/>
      <c r="WWC252" s="4"/>
      <c r="WWD252" s="9"/>
      <c r="WWE252" s="4"/>
      <c r="WWF252" s="9"/>
      <c r="WWG252" s="4"/>
      <c r="WWH252" s="9"/>
      <c r="WWI252" s="4"/>
      <c r="WWJ252" s="9"/>
      <c r="WWK252" s="4"/>
      <c r="WWL252" s="9"/>
      <c r="WWM252" s="4"/>
      <c r="WWN252" s="9"/>
      <c r="WWO252" s="4"/>
      <c r="WWP252" s="9"/>
      <c r="WWQ252" s="4"/>
      <c r="WWR252" s="9"/>
      <c r="WWS252" s="4"/>
      <c r="WWT252" s="9"/>
      <c r="WWU252" s="4"/>
      <c r="WWV252" s="9"/>
      <c r="WWW252" s="4"/>
      <c r="WWX252" s="9"/>
      <c r="WWY252" s="4"/>
      <c r="WWZ252" s="9"/>
      <c r="WXA252" s="4"/>
      <c r="WXB252" s="9"/>
      <c r="WXC252" s="4"/>
      <c r="WXD252" s="9"/>
      <c r="WXE252" s="4"/>
      <c r="WXF252" s="9"/>
      <c r="WXG252" s="4"/>
      <c r="WXH252" s="9"/>
      <c r="WXI252" s="4"/>
      <c r="WXJ252" s="9"/>
      <c r="WXK252" s="4"/>
      <c r="WXL252" s="9"/>
      <c r="WXM252" s="4"/>
      <c r="WXN252" s="9"/>
      <c r="WXO252" s="4"/>
      <c r="WXP252" s="9"/>
      <c r="WXQ252" s="4"/>
      <c r="WXR252" s="9"/>
      <c r="WXS252" s="4"/>
      <c r="WXT252" s="9"/>
      <c r="WXU252" s="4"/>
      <c r="WXV252" s="9"/>
      <c r="WXW252" s="4"/>
      <c r="WXX252" s="9"/>
      <c r="WXY252" s="4"/>
      <c r="WXZ252" s="9"/>
      <c r="WYA252" s="4"/>
      <c r="WYB252" s="9"/>
      <c r="WYC252" s="4"/>
      <c r="WYD252" s="9"/>
      <c r="WYE252" s="4"/>
      <c r="WYF252" s="9"/>
      <c r="WYG252" s="4"/>
      <c r="WYH252" s="9"/>
      <c r="WYI252" s="4"/>
      <c r="WYJ252" s="9"/>
      <c r="WYK252" s="4"/>
      <c r="WYL252" s="9"/>
      <c r="WYM252" s="4"/>
      <c r="WYN252" s="9"/>
      <c r="WYO252" s="4"/>
      <c r="WYP252" s="9"/>
      <c r="WYQ252" s="4"/>
      <c r="WYR252" s="9"/>
      <c r="WYS252" s="4"/>
      <c r="WYT252" s="9"/>
      <c r="WYU252" s="4"/>
      <c r="WYV252" s="9"/>
      <c r="WYW252" s="4"/>
      <c r="WYX252" s="9"/>
      <c r="WYY252" s="4"/>
      <c r="WYZ252" s="9"/>
      <c r="WZA252" s="4"/>
      <c r="WZB252" s="9"/>
      <c r="WZC252" s="4"/>
      <c r="WZD252" s="9"/>
      <c r="WZE252" s="4"/>
      <c r="WZF252" s="9"/>
      <c r="WZG252" s="4"/>
      <c r="WZH252" s="9"/>
      <c r="WZI252" s="4"/>
      <c r="WZJ252" s="9"/>
      <c r="WZK252" s="4"/>
      <c r="WZL252" s="9"/>
      <c r="WZM252" s="4"/>
      <c r="WZN252" s="9"/>
      <c r="WZO252" s="4"/>
      <c r="WZP252" s="9"/>
      <c r="WZQ252" s="4"/>
      <c r="WZR252" s="9"/>
      <c r="WZS252" s="4"/>
      <c r="WZT252" s="9"/>
      <c r="WZU252" s="4"/>
      <c r="WZV252" s="9"/>
      <c r="WZW252" s="4"/>
      <c r="WZX252" s="9"/>
      <c r="WZY252" s="4"/>
      <c r="WZZ252" s="9"/>
      <c r="XAA252" s="4"/>
      <c r="XAB252" s="9"/>
      <c r="XAC252" s="4"/>
      <c r="XAD252" s="9"/>
      <c r="XAE252" s="4"/>
      <c r="XAF252" s="9"/>
      <c r="XAG252" s="4"/>
      <c r="XAH252" s="9"/>
      <c r="XAI252" s="4"/>
      <c r="XAJ252" s="9"/>
      <c r="XAK252" s="4"/>
      <c r="XAL252" s="9"/>
      <c r="XAM252" s="4"/>
      <c r="XAN252" s="9"/>
      <c r="XAO252" s="4"/>
      <c r="XAP252" s="9"/>
      <c r="XAQ252" s="4"/>
      <c r="XAR252" s="9"/>
      <c r="XAS252" s="4"/>
      <c r="XAT252" s="9"/>
      <c r="XAU252" s="4"/>
      <c r="XAV252" s="9"/>
      <c r="XAW252" s="4"/>
      <c r="XAX252" s="9"/>
      <c r="XAY252" s="4"/>
      <c r="XAZ252" s="9"/>
      <c r="XBA252" s="4"/>
      <c r="XBB252" s="9"/>
      <c r="XBC252" s="4"/>
      <c r="XBD252" s="9"/>
      <c r="XBE252" s="4"/>
      <c r="XBF252" s="9"/>
      <c r="XBG252" s="4"/>
      <c r="XBH252" s="9"/>
      <c r="XBI252" s="4"/>
      <c r="XBJ252" s="9"/>
      <c r="XBK252" s="4"/>
      <c r="XBL252" s="9"/>
      <c r="XBM252" s="4"/>
      <c r="XBN252" s="9"/>
      <c r="XBO252" s="4"/>
      <c r="XBP252" s="9"/>
      <c r="XBQ252" s="4"/>
      <c r="XBR252" s="9"/>
      <c r="XBS252" s="4"/>
      <c r="XBT252" s="9"/>
      <c r="XBU252" s="4"/>
      <c r="XBV252" s="9"/>
      <c r="XBW252" s="4"/>
      <c r="XBX252" s="9"/>
      <c r="XBY252" s="4"/>
      <c r="XBZ252" s="9"/>
      <c r="XCA252" s="4"/>
      <c r="XCB252" s="9"/>
      <c r="XCC252" s="4"/>
      <c r="XCD252" s="9"/>
      <c r="XCE252" s="4"/>
      <c r="XCF252" s="9"/>
      <c r="XCG252" s="4"/>
      <c r="XCH252" s="9"/>
      <c r="XCI252" s="4"/>
      <c r="XCJ252" s="9"/>
      <c r="XCK252" s="4"/>
      <c r="XCL252" s="9"/>
      <c r="XCM252" s="4"/>
      <c r="XCN252" s="9"/>
      <c r="XCO252" s="4"/>
      <c r="XCP252" s="9"/>
      <c r="XCQ252" s="4"/>
      <c r="XCR252" s="9"/>
      <c r="XCS252" s="4"/>
      <c r="XCT252" s="9"/>
      <c r="XCU252" s="4"/>
      <c r="XCV252" s="9"/>
      <c r="XCW252" s="4"/>
      <c r="XCX252" s="9"/>
      <c r="XCY252" s="4"/>
      <c r="XCZ252" s="9"/>
      <c r="XDA252" s="4"/>
      <c r="XDB252" s="9"/>
      <c r="XDC252" s="4"/>
      <c r="XDD252" s="9"/>
      <c r="XDE252" s="4"/>
      <c r="XDF252" s="9"/>
      <c r="XDG252" s="4"/>
      <c r="XDH252" s="9"/>
      <c r="XDI252" s="4"/>
      <c r="XDJ252" s="9"/>
      <c r="XDK252" s="4"/>
      <c r="XDL252" s="9"/>
      <c r="XDM252" s="4"/>
      <c r="XDN252" s="9"/>
      <c r="XDO252" s="4"/>
      <c r="XDP252" s="9"/>
      <c r="XDQ252" s="4"/>
      <c r="XDR252" s="9"/>
      <c r="XDS252" s="4"/>
      <c r="XDT252" s="9"/>
      <c r="XDU252" s="4"/>
      <c r="XDV252" s="9"/>
      <c r="XDW252" s="4"/>
      <c r="XDX252" s="9"/>
      <c r="XDY252" s="4"/>
      <c r="XDZ252" s="9"/>
      <c r="XEA252" s="4"/>
      <c r="XEB252" s="9"/>
      <c r="XEC252" s="4"/>
      <c r="XED252" s="9"/>
      <c r="XEE252" s="4"/>
      <c r="XEF252" s="9"/>
      <c r="XEG252" s="4"/>
      <c r="XEH252" s="9"/>
      <c r="XEI252" s="4"/>
      <c r="XEJ252" s="9"/>
      <c r="XEK252" s="4"/>
      <c r="XEL252" s="9"/>
      <c r="XEM252" s="4"/>
      <c r="XEN252" s="9"/>
      <c r="XEO252" s="4"/>
      <c r="XEP252" s="9"/>
      <c r="XEQ252" s="4"/>
      <c r="XER252" s="9"/>
      <c r="XES252" s="4"/>
      <c r="XET252" s="9"/>
      <c r="XEU252" s="4"/>
      <c r="XEV252" s="9"/>
      <c r="XEW252" s="4"/>
      <c r="XEX252" s="9"/>
      <c r="XEY252" s="4"/>
      <c r="XEZ252" s="9"/>
      <c r="XFA252" s="4"/>
      <c r="XFB252" s="9"/>
      <c r="XFC252" s="4"/>
    </row>
    <row r="253" spans="2:16383">
      <c r="B253" s="135" t="s">
        <v>162</v>
      </c>
      <c r="C253" s="4"/>
      <c r="D253" s="9"/>
      <c r="E253" s="4"/>
      <c r="F253" s="9"/>
      <c r="G253" s="159">
        <v>0</v>
      </c>
      <c r="H253" s="159">
        <v>0</v>
      </c>
      <c r="I253" s="159">
        <v>0</v>
      </c>
      <c r="J253" s="159">
        <v>0</v>
      </c>
      <c r="K253" s="159">
        <v>0</v>
      </c>
      <c r="L253" s="9"/>
      <c r="M253" s="4"/>
      <c r="N253" s="9"/>
      <c r="O253" s="4"/>
      <c r="P253" s="9"/>
      <c r="Q253" s="4"/>
      <c r="R253" s="9"/>
      <c r="S253" s="4"/>
      <c r="T253" s="9"/>
      <c r="U253" s="4"/>
      <c r="V253" s="9"/>
      <c r="W253" s="4"/>
      <c r="X253" s="9"/>
      <c r="Y253" s="4"/>
      <c r="Z253" s="9"/>
      <c r="AA253" s="4"/>
      <c r="AB253" s="9"/>
      <c r="AC253" s="4"/>
      <c r="AD253" s="9"/>
      <c r="AE253" s="4"/>
      <c r="AF253" s="9"/>
      <c r="AG253" s="4"/>
      <c r="AH253" s="9"/>
      <c r="AI253" s="4"/>
      <c r="AJ253" s="9"/>
      <c r="AK253" s="4"/>
      <c r="AL253" s="9"/>
      <c r="AM253" s="4"/>
      <c r="AN253" s="9"/>
      <c r="AO253" s="4"/>
      <c r="AP253" s="9"/>
      <c r="AQ253" s="4"/>
      <c r="AR253" s="9"/>
      <c r="AS253" s="4"/>
      <c r="AT253" s="9"/>
      <c r="AU253" s="4"/>
      <c r="AV253" s="9"/>
      <c r="AW253" s="4"/>
      <c r="AX253" s="9"/>
      <c r="AY253" s="4"/>
      <c r="AZ253" s="9"/>
      <c r="BA253" s="4"/>
      <c r="BB253" s="9"/>
      <c r="BC253" s="4"/>
      <c r="BD253" s="9"/>
      <c r="BE253" s="4"/>
      <c r="BF253" s="9"/>
      <c r="BG253" s="4"/>
      <c r="BH253" s="9"/>
      <c r="BI253" s="4"/>
      <c r="BJ253" s="9"/>
      <c r="BK253" s="4"/>
      <c r="BL253" s="9"/>
      <c r="BM253" s="4"/>
      <c r="BN253" s="9"/>
      <c r="BO253" s="4"/>
      <c r="BP253" s="9"/>
      <c r="BQ253" s="4"/>
      <c r="BR253" s="9"/>
      <c r="BS253" s="4"/>
      <c r="BT253" s="9"/>
      <c r="BU253" s="4"/>
      <c r="BV253" s="9"/>
      <c r="BW253" s="4"/>
      <c r="BX253" s="9"/>
      <c r="BY253" s="4"/>
      <c r="BZ253" s="9"/>
      <c r="CA253" s="4"/>
      <c r="CB253" s="9"/>
      <c r="CC253" s="4"/>
      <c r="CD253" s="9"/>
      <c r="CE253" s="4"/>
      <c r="CF253" s="9"/>
      <c r="CG253" s="4"/>
      <c r="CH253" s="9"/>
      <c r="CI253" s="4"/>
      <c r="CJ253" s="9"/>
      <c r="CK253" s="4"/>
      <c r="CL253" s="9"/>
      <c r="CM253" s="4"/>
      <c r="CN253" s="9"/>
      <c r="CO253" s="4"/>
      <c r="CP253" s="9"/>
      <c r="CQ253" s="4"/>
      <c r="CR253" s="9"/>
      <c r="CS253" s="4"/>
      <c r="CT253" s="9"/>
      <c r="CU253" s="4"/>
      <c r="CV253" s="9"/>
      <c r="CW253" s="4"/>
      <c r="CX253" s="9"/>
      <c r="CY253" s="4"/>
      <c r="CZ253" s="9"/>
      <c r="DA253" s="4"/>
      <c r="DB253" s="9"/>
      <c r="DC253" s="4"/>
      <c r="DD253" s="9"/>
      <c r="DE253" s="4"/>
      <c r="DF253" s="9"/>
      <c r="DG253" s="4"/>
      <c r="DH253" s="9"/>
      <c r="DI253" s="4"/>
      <c r="DJ253" s="9"/>
      <c r="DK253" s="4"/>
      <c r="DL253" s="9"/>
      <c r="DM253" s="4"/>
      <c r="DN253" s="9"/>
      <c r="DO253" s="4"/>
      <c r="DP253" s="9"/>
      <c r="DQ253" s="4"/>
      <c r="DR253" s="9"/>
      <c r="DS253" s="4"/>
      <c r="DT253" s="9"/>
      <c r="DU253" s="4"/>
      <c r="DV253" s="9"/>
      <c r="DW253" s="4"/>
      <c r="DX253" s="9"/>
      <c r="DY253" s="4"/>
      <c r="DZ253" s="9"/>
      <c r="EA253" s="4"/>
      <c r="EB253" s="9"/>
      <c r="EC253" s="4"/>
      <c r="ED253" s="9"/>
      <c r="EE253" s="4"/>
      <c r="EF253" s="9"/>
      <c r="EG253" s="4"/>
      <c r="EH253" s="9"/>
      <c r="EI253" s="4"/>
      <c r="EJ253" s="9"/>
      <c r="EK253" s="4"/>
      <c r="EL253" s="9"/>
      <c r="EM253" s="4"/>
      <c r="EN253" s="9"/>
      <c r="EO253" s="4"/>
      <c r="EP253" s="9"/>
      <c r="EQ253" s="4"/>
      <c r="ER253" s="9"/>
      <c r="ES253" s="4"/>
      <c r="ET253" s="9"/>
      <c r="EU253" s="4"/>
      <c r="EV253" s="9"/>
      <c r="EW253" s="4"/>
      <c r="EX253" s="9"/>
      <c r="EY253" s="4"/>
      <c r="EZ253" s="9"/>
      <c r="FA253" s="4"/>
      <c r="FB253" s="9"/>
      <c r="FC253" s="4"/>
      <c r="FD253" s="9"/>
      <c r="FE253" s="4"/>
      <c r="FF253" s="9"/>
      <c r="FG253" s="4"/>
      <c r="FH253" s="9"/>
      <c r="FI253" s="4"/>
      <c r="FJ253" s="9"/>
      <c r="FK253" s="4"/>
      <c r="FL253" s="9"/>
      <c r="FM253" s="4"/>
      <c r="FN253" s="9"/>
      <c r="FO253" s="4"/>
      <c r="FP253" s="9"/>
      <c r="FQ253" s="4"/>
      <c r="FR253" s="9"/>
      <c r="FS253" s="4"/>
      <c r="FT253" s="9"/>
      <c r="FU253" s="4"/>
      <c r="FV253" s="9"/>
      <c r="FW253" s="4"/>
      <c r="FX253" s="9"/>
      <c r="FY253" s="4"/>
      <c r="FZ253" s="9"/>
      <c r="GA253" s="4"/>
      <c r="GB253" s="9"/>
      <c r="GC253" s="4"/>
      <c r="GD253" s="9"/>
      <c r="GE253" s="4"/>
      <c r="GF253" s="9"/>
      <c r="GG253" s="4"/>
      <c r="GH253" s="9"/>
      <c r="GI253" s="4"/>
      <c r="GJ253" s="9"/>
      <c r="GK253" s="4"/>
      <c r="GL253" s="9"/>
      <c r="GM253" s="4"/>
      <c r="GN253" s="9"/>
      <c r="GO253" s="4"/>
      <c r="GP253" s="9"/>
      <c r="GQ253" s="4"/>
      <c r="GR253" s="9"/>
      <c r="GS253" s="4"/>
      <c r="GT253" s="9"/>
      <c r="GU253" s="4"/>
      <c r="GV253" s="9"/>
      <c r="GW253" s="4"/>
      <c r="GX253" s="9"/>
      <c r="GY253" s="4"/>
      <c r="GZ253" s="9"/>
      <c r="HA253" s="4"/>
      <c r="HB253" s="9"/>
      <c r="HC253" s="4"/>
      <c r="HD253" s="9"/>
      <c r="HE253" s="4"/>
      <c r="HF253" s="9"/>
      <c r="HG253" s="4"/>
      <c r="HH253" s="9"/>
      <c r="HI253" s="4"/>
      <c r="HJ253" s="9"/>
      <c r="HK253" s="4"/>
      <c r="HL253" s="9"/>
      <c r="HM253" s="4"/>
      <c r="HN253" s="9"/>
      <c r="HO253" s="4"/>
      <c r="HP253" s="9"/>
      <c r="HQ253" s="4"/>
      <c r="HR253" s="9"/>
      <c r="HS253" s="4"/>
      <c r="HT253" s="9"/>
      <c r="HU253" s="4"/>
      <c r="HV253" s="9"/>
      <c r="HW253" s="4"/>
      <c r="HX253" s="9"/>
      <c r="HY253" s="4"/>
      <c r="HZ253" s="9"/>
      <c r="IA253" s="4"/>
      <c r="IB253" s="9"/>
      <c r="IC253" s="4"/>
      <c r="ID253" s="9"/>
      <c r="IE253" s="4"/>
      <c r="IF253" s="9"/>
      <c r="IG253" s="4"/>
      <c r="IH253" s="9"/>
      <c r="II253" s="4"/>
      <c r="IJ253" s="9"/>
      <c r="IK253" s="4"/>
      <c r="IL253" s="9"/>
      <c r="IM253" s="4"/>
      <c r="IN253" s="9"/>
      <c r="IO253" s="4"/>
      <c r="IP253" s="9"/>
      <c r="IQ253" s="4"/>
      <c r="IR253" s="9"/>
      <c r="IS253" s="4"/>
      <c r="IT253" s="9"/>
      <c r="IU253" s="4"/>
      <c r="IV253" s="9"/>
      <c r="IW253" s="4"/>
      <c r="IX253" s="9"/>
      <c r="IY253" s="4"/>
      <c r="IZ253" s="9"/>
      <c r="JA253" s="4"/>
      <c r="JB253" s="9"/>
      <c r="JC253" s="4"/>
      <c r="JD253" s="9"/>
      <c r="JE253" s="4"/>
      <c r="JF253" s="9"/>
      <c r="JG253" s="4"/>
      <c r="JH253" s="9"/>
      <c r="JI253" s="4"/>
      <c r="JJ253" s="9"/>
      <c r="JK253" s="4"/>
      <c r="JL253" s="9"/>
      <c r="JM253" s="4"/>
      <c r="JN253" s="9"/>
      <c r="JO253" s="4"/>
      <c r="JP253" s="9"/>
      <c r="JQ253" s="4"/>
      <c r="JR253" s="9"/>
      <c r="JS253" s="4"/>
      <c r="JT253" s="9"/>
      <c r="JU253" s="4"/>
      <c r="JV253" s="9"/>
      <c r="JW253" s="4"/>
      <c r="JX253" s="9"/>
      <c r="JY253" s="4"/>
      <c r="JZ253" s="9"/>
      <c r="KA253" s="4"/>
      <c r="KB253" s="9"/>
      <c r="KC253" s="4"/>
      <c r="KD253" s="9"/>
      <c r="KE253" s="4"/>
      <c r="KF253" s="9"/>
      <c r="KG253" s="4"/>
      <c r="KH253" s="9"/>
      <c r="KI253" s="4"/>
      <c r="KJ253" s="9"/>
      <c r="KK253" s="4"/>
      <c r="KL253" s="9"/>
      <c r="KM253" s="4"/>
      <c r="KN253" s="9"/>
      <c r="KO253" s="4"/>
      <c r="KP253" s="9"/>
      <c r="KQ253" s="4"/>
      <c r="KR253" s="9"/>
      <c r="KS253" s="4"/>
      <c r="KT253" s="9"/>
      <c r="KU253" s="4"/>
      <c r="KV253" s="9"/>
      <c r="KW253" s="4"/>
      <c r="KX253" s="9"/>
      <c r="KY253" s="4"/>
      <c r="KZ253" s="9"/>
      <c r="LA253" s="4"/>
      <c r="LB253" s="9"/>
      <c r="LC253" s="4"/>
      <c r="LD253" s="9"/>
      <c r="LE253" s="4"/>
      <c r="LF253" s="9"/>
      <c r="LG253" s="4"/>
      <c r="LH253" s="9"/>
      <c r="LI253" s="4"/>
      <c r="LJ253" s="9"/>
      <c r="LK253" s="4"/>
      <c r="LL253" s="9"/>
      <c r="LM253" s="4"/>
      <c r="LN253" s="9"/>
      <c r="LO253" s="4"/>
      <c r="LP253" s="9"/>
      <c r="LQ253" s="4"/>
      <c r="LR253" s="9"/>
      <c r="LS253" s="4"/>
      <c r="LT253" s="9"/>
      <c r="LU253" s="4"/>
      <c r="LV253" s="9"/>
      <c r="LW253" s="4"/>
      <c r="LX253" s="9"/>
      <c r="LY253" s="4"/>
      <c r="LZ253" s="9"/>
      <c r="MA253" s="4"/>
      <c r="MB253" s="9"/>
      <c r="MC253" s="4"/>
      <c r="MD253" s="9"/>
      <c r="ME253" s="4"/>
      <c r="MF253" s="9"/>
      <c r="MG253" s="4"/>
      <c r="MH253" s="9"/>
      <c r="MI253" s="4"/>
      <c r="MJ253" s="9"/>
      <c r="MK253" s="4"/>
      <c r="ML253" s="9"/>
      <c r="MM253" s="4"/>
      <c r="MN253" s="9"/>
      <c r="MO253" s="4"/>
      <c r="MP253" s="9"/>
      <c r="MQ253" s="4"/>
      <c r="MR253" s="9"/>
      <c r="MS253" s="4"/>
      <c r="MT253" s="9"/>
      <c r="MU253" s="4"/>
      <c r="MV253" s="9"/>
      <c r="MW253" s="4"/>
      <c r="MX253" s="9"/>
      <c r="MY253" s="4"/>
      <c r="MZ253" s="9"/>
      <c r="NA253" s="4"/>
      <c r="NB253" s="9"/>
      <c r="NC253" s="4"/>
      <c r="ND253" s="9"/>
      <c r="NE253" s="4"/>
      <c r="NF253" s="9"/>
      <c r="NG253" s="4"/>
      <c r="NH253" s="9"/>
      <c r="NI253" s="4"/>
      <c r="NJ253" s="9"/>
      <c r="NK253" s="4"/>
      <c r="NL253" s="9"/>
      <c r="NM253" s="4"/>
      <c r="NN253" s="9"/>
      <c r="NO253" s="4"/>
      <c r="NP253" s="9"/>
      <c r="NQ253" s="4"/>
      <c r="NR253" s="9"/>
      <c r="NS253" s="4"/>
      <c r="NT253" s="9"/>
      <c r="NU253" s="4"/>
      <c r="NV253" s="9"/>
      <c r="NW253" s="4"/>
      <c r="NX253" s="9"/>
      <c r="NY253" s="4"/>
      <c r="NZ253" s="9"/>
      <c r="OA253" s="4"/>
      <c r="OB253" s="9"/>
      <c r="OC253" s="4"/>
      <c r="OD253" s="9"/>
      <c r="OE253" s="4"/>
      <c r="OF253" s="9"/>
      <c r="OG253" s="4"/>
      <c r="OH253" s="9"/>
      <c r="OI253" s="4"/>
      <c r="OJ253" s="9"/>
      <c r="OK253" s="4"/>
      <c r="OL253" s="9"/>
      <c r="OM253" s="4"/>
      <c r="ON253" s="9"/>
      <c r="OO253" s="4"/>
      <c r="OP253" s="9"/>
      <c r="OQ253" s="4"/>
      <c r="OR253" s="9"/>
      <c r="OS253" s="4"/>
      <c r="OT253" s="9"/>
      <c r="OU253" s="4"/>
      <c r="OV253" s="9"/>
      <c r="OW253" s="4"/>
      <c r="OX253" s="9"/>
      <c r="OY253" s="4"/>
      <c r="OZ253" s="9"/>
      <c r="PA253" s="4"/>
      <c r="PB253" s="9"/>
      <c r="PC253" s="4"/>
      <c r="PD253" s="9"/>
      <c r="PE253" s="4"/>
      <c r="PF253" s="9"/>
      <c r="PG253" s="4"/>
      <c r="PH253" s="9"/>
      <c r="PI253" s="4"/>
      <c r="PJ253" s="9"/>
      <c r="PK253" s="4"/>
      <c r="PL253" s="9"/>
      <c r="PM253" s="4"/>
      <c r="PN253" s="9"/>
      <c r="PO253" s="4"/>
      <c r="PP253" s="9"/>
      <c r="PQ253" s="4"/>
      <c r="PR253" s="9"/>
      <c r="PS253" s="4"/>
      <c r="PT253" s="9"/>
      <c r="PU253" s="4"/>
      <c r="PV253" s="9"/>
      <c r="PW253" s="4"/>
      <c r="PX253" s="9"/>
      <c r="PY253" s="4"/>
      <c r="PZ253" s="9"/>
      <c r="QA253" s="4"/>
      <c r="QB253" s="9"/>
      <c r="QC253" s="4"/>
      <c r="QD253" s="9"/>
      <c r="QE253" s="4"/>
      <c r="QF253" s="9"/>
      <c r="QG253" s="4"/>
      <c r="QH253" s="9"/>
      <c r="QI253" s="4"/>
      <c r="QJ253" s="9"/>
      <c r="QK253" s="4"/>
      <c r="QL253" s="9"/>
      <c r="QM253" s="4"/>
      <c r="QN253" s="9"/>
      <c r="QO253" s="4"/>
      <c r="QP253" s="9"/>
      <c r="QQ253" s="4"/>
      <c r="QR253" s="9"/>
      <c r="QS253" s="4"/>
      <c r="QT253" s="9"/>
      <c r="QU253" s="4"/>
      <c r="QV253" s="9"/>
      <c r="QW253" s="4"/>
      <c r="QX253" s="9"/>
      <c r="QY253" s="4"/>
      <c r="QZ253" s="9"/>
      <c r="RA253" s="4"/>
      <c r="RB253" s="9"/>
      <c r="RC253" s="4"/>
      <c r="RD253" s="9"/>
      <c r="RE253" s="4"/>
      <c r="RF253" s="9"/>
      <c r="RG253" s="4"/>
      <c r="RH253" s="9"/>
      <c r="RI253" s="4"/>
      <c r="RJ253" s="9"/>
      <c r="RK253" s="4"/>
      <c r="RL253" s="9"/>
      <c r="RM253" s="4"/>
      <c r="RN253" s="9"/>
      <c r="RO253" s="4"/>
      <c r="RP253" s="9"/>
      <c r="RQ253" s="4"/>
      <c r="RR253" s="9"/>
      <c r="RS253" s="4"/>
      <c r="RT253" s="9"/>
      <c r="RU253" s="4"/>
      <c r="RV253" s="9"/>
      <c r="RW253" s="4"/>
      <c r="RX253" s="9"/>
      <c r="RY253" s="4"/>
      <c r="RZ253" s="9"/>
      <c r="SA253" s="4"/>
      <c r="SB253" s="9"/>
      <c r="SC253" s="4"/>
      <c r="SD253" s="9"/>
      <c r="SE253" s="4"/>
      <c r="SF253" s="9"/>
      <c r="SG253" s="4"/>
      <c r="SH253" s="9"/>
      <c r="SI253" s="4"/>
      <c r="SJ253" s="9"/>
      <c r="SK253" s="4"/>
      <c r="SL253" s="9"/>
      <c r="SM253" s="4"/>
      <c r="SN253" s="9"/>
      <c r="SO253" s="4"/>
      <c r="SP253" s="9"/>
      <c r="SQ253" s="4"/>
      <c r="SR253" s="9"/>
      <c r="SS253" s="4"/>
      <c r="ST253" s="9"/>
      <c r="SU253" s="4"/>
      <c r="SV253" s="9"/>
      <c r="SW253" s="4"/>
      <c r="SX253" s="9"/>
      <c r="SY253" s="4"/>
      <c r="SZ253" s="9"/>
      <c r="TA253" s="4"/>
      <c r="TB253" s="9"/>
      <c r="TC253" s="4"/>
      <c r="TD253" s="9"/>
      <c r="TE253" s="4"/>
      <c r="TF253" s="9"/>
      <c r="TG253" s="4"/>
      <c r="TH253" s="9"/>
      <c r="TI253" s="4"/>
      <c r="TJ253" s="9"/>
      <c r="TK253" s="4"/>
      <c r="TL253" s="9"/>
      <c r="TM253" s="4"/>
      <c r="TN253" s="9"/>
      <c r="TO253" s="4"/>
      <c r="TP253" s="9"/>
      <c r="TQ253" s="4"/>
      <c r="TR253" s="9"/>
      <c r="TS253" s="4"/>
      <c r="TT253" s="9"/>
      <c r="TU253" s="4"/>
      <c r="TV253" s="9"/>
      <c r="TW253" s="4"/>
      <c r="TX253" s="9"/>
      <c r="TY253" s="4"/>
      <c r="TZ253" s="9"/>
      <c r="UA253" s="4"/>
      <c r="UB253" s="9"/>
      <c r="UC253" s="4"/>
      <c r="UD253" s="9"/>
      <c r="UE253" s="4"/>
      <c r="UF253" s="9"/>
      <c r="UG253" s="4"/>
      <c r="UH253" s="9"/>
      <c r="UI253" s="4"/>
      <c r="UJ253" s="9"/>
      <c r="UK253" s="4"/>
      <c r="UL253" s="9"/>
      <c r="UM253" s="4"/>
      <c r="UN253" s="9"/>
      <c r="UO253" s="4"/>
      <c r="UP253" s="9"/>
      <c r="UQ253" s="4"/>
      <c r="UR253" s="9"/>
      <c r="US253" s="4"/>
      <c r="UT253" s="9"/>
      <c r="UU253" s="4"/>
      <c r="UV253" s="9"/>
      <c r="UW253" s="4"/>
      <c r="UX253" s="9"/>
      <c r="UY253" s="4"/>
      <c r="UZ253" s="9"/>
      <c r="VA253" s="4"/>
      <c r="VB253" s="9"/>
      <c r="VC253" s="4"/>
      <c r="VD253" s="9"/>
      <c r="VE253" s="4"/>
      <c r="VF253" s="9"/>
      <c r="VG253" s="4"/>
      <c r="VH253" s="9"/>
      <c r="VI253" s="4"/>
      <c r="VJ253" s="9"/>
      <c r="VK253" s="4"/>
      <c r="VL253" s="9"/>
      <c r="VM253" s="4"/>
      <c r="VN253" s="9"/>
      <c r="VO253" s="4"/>
      <c r="VP253" s="9"/>
      <c r="VQ253" s="4"/>
      <c r="VR253" s="9"/>
      <c r="VS253" s="4"/>
      <c r="VT253" s="9"/>
      <c r="VU253" s="4"/>
      <c r="VV253" s="9"/>
      <c r="VW253" s="4"/>
      <c r="VX253" s="9"/>
      <c r="VY253" s="4"/>
      <c r="VZ253" s="9"/>
      <c r="WA253" s="4"/>
      <c r="WB253" s="9"/>
      <c r="WC253" s="4"/>
      <c r="WD253" s="9"/>
      <c r="WE253" s="4"/>
      <c r="WF253" s="9"/>
      <c r="WG253" s="4"/>
      <c r="WH253" s="9"/>
      <c r="WI253" s="4"/>
      <c r="WJ253" s="9"/>
      <c r="WK253" s="4"/>
      <c r="WL253" s="9"/>
      <c r="WM253" s="4"/>
      <c r="WN253" s="9"/>
      <c r="WO253" s="4"/>
      <c r="WP253" s="9"/>
      <c r="WQ253" s="4"/>
      <c r="WR253" s="9"/>
      <c r="WS253" s="4"/>
      <c r="WT253" s="9"/>
      <c r="WU253" s="4"/>
      <c r="WV253" s="9"/>
      <c r="WW253" s="4"/>
      <c r="WX253" s="9"/>
      <c r="WY253" s="4"/>
      <c r="WZ253" s="9"/>
      <c r="XA253" s="4"/>
      <c r="XB253" s="9"/>
      <c r="XC253" s="4"/>
      <c r="XD253" s="9"/>
      <c r="XE253" s="4"/>
      <c r="XF253" s="9"/>
      <c r="XG253" s="4"/>
      <c r="XH253" s="9"/>
      <c r="XI253" s="4"/>
      <c r="XJ253" s="9"/>
      <c r="XK253" s="4"/>
      <c r="XL253" s="9"/>
      <c r="XM253" s="4"/>
      <c r="XN253" s="9"/>
      <c r="XO253" s="4"/>
      <c r="XP253" s="9"/>
      <c r="XQ253" s="4"/>
      <c r="XR253" s="9"/>
      <c r="XS253" s="4"/>
      <c r="XT253" s="9"/>
      <c r="XU253" s="4"/>
      <c r="XV253" s="9"/>
      <c r="XW253" s="4"/>
      <c r="XX253" s="9"/>
      <c r="XY253" s="4"/>
      <c r="XZ253" s="9"/>
      <c r="YA253" s="4"/>
      <c r="YB253" s="9"/>
      <c r="YC253" s="4"/>
      <c r="YD253" s="9"/>
      <c r="YE253" s="4"/>
      <c r="YF253" s="9"/>
      <c r="YG253" s="4"/>
      <c r="YH253" s="9"/>
      <c r="YI253" s="4"/>
      <c r="YJ253" s="9"/>
      <c r="YK253" s="4"/>
      <c r="YL253" s="9"/>
      <c r="YM253" s="4"/>
      <c r="YN253" s="9"/>
      <c r="YO253" s="4"/>
      <c r="YP253" s="9"/>
      <c r="YQ253" s="4"/>
      <c r="YR253" s="9"/>
      <c r="YS253" s="4"/>
      <c r="YT253" s="9"/>
      <c r="YU253" s="4"/>
      <c r="YV253" s="9"/>
      <c r="YW253" s="4"/>
      <c r="YX253" s="9"/>
      <c r="YY253" s="4"/>
      <c r="YZ253" s="9"/>
      <c r="ZA253" s="4"/>
      <c r="ZB253" s="9"/>
      <c r="ZC253" s="4"/>
      <c r="ZD253" s="9"/>
      <c r="ZE253" s="4"/>
      <c r="ZF253" s="9"/>
      <c r="ZG253" s="4"/>
      <c r="ZH253" s="9"/>
      <c r="ZI253" s="4"/>
      <c r="ZJ253" s="9"/>
      <c r="ZK253" s="4"/>
      <c r="ZL253" s="9"/>
      <c r="ZM253" s="4"/>
      <c r="ZN253" s="9"/>
      <c r="ZO253" s="4"/>
      <c r="ZP253" s="9"/>
      <c r="ZQ253" s="4"/>
      <c r="ZR253" s="9"/>
      <c r="ZS253" s="4"/>
      <c r="ZT253" s="9"/>
      <c r="ZU253" s="4"/>
      <c r="ZV253" s="9"/>
      <c r="ZW253" s="4"/>
      <c r="ZX253" s="9"/>
      <c r="ZY253" s="4"/>
      <c r="ZZ253" s="9"/>
      <c r="AAA253" s="4"/>
      <c r="AAB253" s="9"/>
      <c r="AAC253" s="4"/>
      <c r="AAD253" s="9"/>
      <c r="AAE253" s="4"/>
      <c r="AAF253" s="9"/>
      <c r="AAG253" s="4"/>
      <c r="AAH253" s="9"/>
      <c r="AAI253" s="4"/>
      <c r="AAJ253" s="9"/>
      <c r="AAK253" s="4"/>
      <c r="AAL253" s="9"/>
      <c r="AAM253" s="4"/>
      <c r="AAN253" s="9"/>
      <c r="AAO253" s="4"/>
      <c r="AAP253" s="9"/>
      <c r="AAQ253" s="4"/>
      <c r="AAR253" s="9"/>
      <c r="AAS253" s="4"/>
      <c r="AAT253" s="9"/>
      <c r="AAU253" s="4"/>
      <c r="AAV253" s="9"/>
      <c r="AAW253" s="4"/>
      <c r="AAX253" s="9"/>
      <c r="AAY253" s="4"/>
      <c r="AAZ253" s="9"/>
      <c r="ABA253" s="4"/>
      <c r="ABB253" s="9"/>
      <c r="ABC253" s="4"/>
      <c r="ABD253" s="9"/>
      <c r="ABE253" s="4"/>
      <c r="ABF253" s="9"/>
      <c r="ABG253" s="4"/>
      <c r="ABH253" s="9"/>
      <c r="ABI253" s="4"/>
      <c r="ABJ253" s="9"/>
      <c r="ABK253" s="4"/>
      <c r="ABL253" s="9"/>
      <c r="ABM253" s="4"/>
      <c r="ABN253" s="9"/>
      <c r="ABO253" s="4"/>
      <c r="ABP253" s="9"/>
      <c r="ABQ253" s="4"/>
      <c r="ABR253" s="9"/>
      <c r="ABS253" s="4"/>
      <c r="ABT253" s="9"/>
      <c r="ABU253" s="4"/>
      <c r="ABV253" s="9"/>
      <c r="ABW253" s="4"/>
      <c r="ABX253" s="9"/>
      <c r="ABY253" s="4"/>
      <c r="ABZ253" s="9"/>
      <c r="ACA253" s="4"/>
      <c r="ACB253" s="9"/>
      <c r="ACC253" s="4"/>
      <c r="ACD253" s="9"/>
      <c r="ACE253" s="4"/>
      <c r="ACF253" s="9"/>
      <c r="ACG253" s="4"/>
      <c r="ACH253" s="9"/>
      <c r="ACI253" s="4"/>
      <c r="ACJ253" s="9"/>
      <c r="ACK253" s="4"/>
      <c r="ACL253" s="9"/>
      <c r="ACM253" s="4"/>
      <c r="ACN253" s="9"/>
      <c r="ACO253" s="4"/>
      <c r="ACP253" s="9"/>
      <c r="ACQ253" s="4"/>
      <c r="ACR253" s="9"/>
      <c r="ACS253" s="4"/>
      <c r="ACT253" s="9"/>
      <c r="ACU253" s="4"/>
      <c r="ACV253" s="9"/>
      <c r="ACW253" s="4"/>
      <c r="ACX253" s="9"/>
      <c r="ACY253" s="4"/>
      <c r="ACZ253" s="9"/>
      <c r="ADA253" s="4"/>
      <c r="ADB253" s="9"/>
      <c r="ADC253" s="4"/>
      <c r="ADD253" s="9"/>
      <c r="ADE253" s="4"/>
      <c r="ADF253" s="9"/>
      <c r="ADG253" s="4"/>
      <c r="ADH253" s="9"/>
      <c r="ADI253" s="4"/>
      <c r="ADJ253" s="9"/>
      <c r="ADK253" s="4"/>
      <c r="ADL253" s="9"/>
      <c r="ADM253" s="4"/>
      <c r="ADN253" s="9"/>
      <c r="ADO253" s="4"/>
      <c r="ADP253" s="9"/>
      <c r="ADQ253" s="4"/>
      <c r="ADR253" s="9"/>
      <c r="ADS253" s="4"/>
      <c r="ADT253" s="9"/>
      <c r="ADU253" s="4"/>
      <c r="ADV253" s="9"/>
      <c r="ADW253" s="4"/>
      <c r="ADX253" s="9"/>
      <c r="ADY253" s="4"/>
      <c r="ADZ253" s="9"/>
      <c r="AEA253" s="4"/>
      <c r="AEB253" s="9"/>
      <c r="AEC253" s="4"/>
      <c r="AED253" s="9"/>
      <c r="AEE253" s="4"/>
      <c r="AEF253" s="9"/>
      <c r="AEG253" s="4"/>
      <c r="AEH253" s="9"/>
      <c r="AEI253" s="4"/>
      <c r="AEJ253" s="9"/>
      <c r="AEK253" s="4"/>
      <c r="AEL253" s="9"/>
      <c r="AEM253" s="4"/>
      <c r="AEN253" s="9"/>
      <c r="AEO253" s="4"/>
      <c r="AEP253" s="9"/>
      <c r="AEQ253" s="4"/>
      <c r="AER253" s="9"/>
      <c r="AES253" s="4"/>
      <c r="AET253" s="9"/>
      <c r="AEU253" s="4"/>
      <c r="AEV253" s="9"/>
      <c r="AEW253" s="4"/>
      <c r="AEX253" s="9"/>
      <c r="AEY253" s="4"/>
      <c r="AEZ253" s="9"/>
      <c r="AFA253" s="4"/>
      <c r="AFB253" s="9"/>
      <c r="AFC253" s="4"/>
      <c r="AFD253" s="9"/>
      <c r="AFE253" s="4"/>
      <c r="AFF253" s="9"/>
      <c r="AFG253" s="4"/>
      <c r="AFH253" s="9"/>
      <c r="AFI253" s="4"/>
      <c r="AFJ253" s="9"/>
      <c r="AFK253" s="4"/>
      <c r="AFL253" s="9"/>
      <c r="AFM253" s="4"/>
      <c r="AFN253" s="9"/>
      <c r="AFO253" s="4"/>
      <c r="AFP253" s="9"/>
      <c r="AFQ253" s="4"/>
      <c r="AFR253" s="9"/>
      <c r="AFS253" s="4"/>
      <c r="AFT253" s="9"/>
      <c r="AFU253" s="4"/>
      <c r="AFV253" s="9"/>
      <c r="AFW253" s="4"/>
      <c r="AFX253" s="9"/>
      <c r="AFY253" s="4"/>
      <c r="AFZ253" s="9"/>
      <c r="AGA253" s="4"/>
      <c r="AGB253" s="9"/>
      <c r="AGC253" s="4"/>
      <c r="AGD253" s="9"/>
      <c r="AGE253" s="4"/>
      <c r="AGF253" s="9"/>
      <c r="AGG253" s="4"/>
      <c r="AGH253" s="9"/>
      <c r="AGI253" s="4"/>
      <c r="AGJ253" s="9"/>
      <c r="AGK253" s="4"/>
      <c r="AGL253" s="9"/>
      <c r="AGM253" s="4"/>
      <c r="AGN253" s="9"/>
      <c r="AGO253" s="4"/>
      <c r="AGP253" s="9"/>
      <c r="AGQ253" s="4"/>
      <c r="AGR253" s="9"/>
      <c r="AGS253" s="4"/>
      <c r="AGT253" s="9"/>
      <c r="AGU253" s="4"/>
      <c r="AGV253" s="9"/>
      <c r="AGW253" s="4"/>
      <c r="AGX253" s="9"/>
      <c r="AGY253" s="4"/>
      <c r="AGZ253" s="9"/>
      <c r="AHA253" s="4"/>
      <c r="AHB253" s="9"/>
      <c r="AHC253" s="4"/>
      <c r="AHD253" s="9"/>
      <c r="AHE253" s="4"/>
      <c r="AHF253" s="9"/>
      <c r="AHG253" s="4"/>
      <c r="AHH253" s="9"/>
      <c r="AHI253" s="4"/>
      <c r="AHJ253" s="9"/>
      <c r="AHK253" s="4"/>
      <c r="AHL253" s="9"/>
      <c r="AHM253" s="4"/>
      <c r="AHN253" s="9"/>
      <c r="AHO253" s="4"/>
      <c r="AHP253" s="9"/>
      <c r="AHQ253" s="4"/>
      <c r="AHR253" s="9"/>
      <c r="AHS253" s="4"/>
      <c r="AHT253" s="9"/>
      <c r="AHU253" s="4"/>
      <c r="AHV253" s="9"/>
      <c r="AHW253" s="4"/>
      <c r="AHX253" s="9"/>
      <c r="AHY253" s="4"/>
      <c r="AHZ253" s="9"/>
      <c r="AIA253" s="4"/>
      <c r="AIB253" s="9"/>
      <c r="AIC253" s="4"/>
      <c r="AID253" s="9"/>
      <c r="AIE253" s="4"/>
      <c r="AIF253" s="9"/>
      <c r="AIG253" s="4"/>
      <c r="AIH253" s="9"/>
      <c r="AII253" s="4"/>
      <c r="AIJ253" s="9"/>
      <c r="AIK253" s="4"/>
      <c r="AIL253" s="9"/>
      <c r="AIM253" s="4"/>
      <c r="AIN253" s="9"/>
      <c r="AIO253" s="4"/>
      <c r="AIP253" s="9"/>
      <c r="AIQ253" s="4"/>
      <c r="AIR253" s="9"/>
      <c r="AIS253" s="4"/>
      <c r="AIT253" s="9"/>
      <c r="AIU253" s="4"/>
      <c r="AIV253" s="9"/>
      <c r="AIW253" s="4"/>
      <c r="AIX253" s="9"/>
      <c r="AIY253" s="4"/>
      <c r="AIZ253" s="9"/>
      <c r="AJA253" s="4"/>
      <c r="AJB253" s="9"/>
      <c r="AJC253" s="4"/>
      <c r="AJD253" s="9"/>
      <c r="AJE253" s="4"/>
      <c r="AJF253" s="9"/>
      <c r="AJG253" s="4"/>
      <c r="AJH253" s="9"/>
      <c r="AJI253" s="4"/>
      <c r="AJJ253" s="9"/>
      <c r="AJK253" s="4"/>
      <c r="AJL253" s="9"/>
      <c r="AJM253" s="4"/>
      <c r="AJN253" s="9"/>
      <c r="AJO253" s="4"/>
      <c r="AJP253" s="9"/>
      <c r="AJQ253" s="4"/>
      <c r="AJR253" s="9"/>
      <c r="AJS253" s="4"/>
      <c r="AJT253" s="9"/>
      <c r="AJU253" s="4"/>
      <c r="AJV253" s="9"/>
      <c r="AJW253" s="4"/>
      <c r="AJX253" s="9"/>
      <c r="AJY253" s="4"/>
      <c r="AJZ253" s="9"/>
      <c r="AKA253" s="4"/>
      <c r="AKB253" s="9"/>
      <c r="AKC253" s="4"/>
      <c r="AKD253" s="9"/>
      <c r="AKE253" s="4"/>
      <c r="AKF253" s="9"/>
      <c r="AKG253" s="4"/>
      <c r="AKH253" s="9"/>
      <c r="AKI253" s="4"/>
      <c r="AKJ253" s="9"/>
      <c r="AKK253" s="4"/>
      <c r="AKL253" s="9"/>
      <c r="AKM253" s="4"/>
      <c r="AKN253" s="9"/>
      <c r="AKO253" s="4"/>
      <c r="AKP253" s="9"/>
      <c r="AKQ253" s="4"/>
      <c r="AKR253" s="9"/>
      <c r="AKS253" s="4"/>
      <c r="AKT253" s="9"/>
      <c r="AKU253" s="4"/>
      <c r="AKV253" s="9"/>
      <c r="AKW253" s="4"/>
      <c r="AKX253" s="9"/>
      <c r="AKY253" s="4"/>
      <c r="AKZ253" s="9"/>
      <c r="ALA253" s="4"/>
      <c r="ALB253" s="9"/>
      <c r="ALC253" s="4"/>
      <c r="ALD253" s="9"/>
      <c r="ALE253" s="4"/>
      <c r="ALF253" s="9"/>
      <c r="ALG253" s="4"/>
      <c r="ALH253" s="9"/>
      <c r="ALI253" s="4"/>
      <c r="ALJ253" s="9"/>
      <c r="ALK253" s="4"/>
      <c r="ALL253" s="9"/>
      <c r="ALM253" s="4"/>
      <c r="ALN253" s="9"/>
      <c r="ALO253" s="4"/>
      <c r="ALP253" s="9"/>
      <c r="ALQ253" s="4"/>
      <c r="ALR253" s="9"/>
      <c r="ALS253" s="4"/>
      <c r="ALT253" s="9"/>
      <c r="ALU253" s="4"/>
      <c r="ALV253" s="9"/>
      <c r="ALW253" s="4"/>
      <c r="ALX253" s="9"/>
      <c r="ALY253" s="4"/>
      <c r="ALZ253" s="9"/>
      <c r="AMA253" s="4"/>
      <c r="AMB253" s="9"/>
      <c r="AMC253" s="4"/>
      <c r="AMD253" s="9"/>
      <c r="AME253" s="4"/>
      <c r="AMF253" s="9"/>
      <c r="AMG253" s="4"/>
      <c r="AMH253" s="9"/>
      <c r="AMI253" s="4"/>
      <c r="AMJ253" s="9"/>
      <c r="AMK253" s="4"/>
      <c r="AML253" s="9"/>
      <c r="AMM253" s="4"/>
      <c r="AMN253" s="9"/>
      <c r="AMO253" s="4"/>
      <c r="AMP253" s="9"/>
      <c r="AMQ253" s="4"/>
      <c r="AMR253" s="9"/>
      <c r="AMS253" s="4"/>
      <c r="AMT253" s="9"/>
      <c r="AMU253" s="4"/>
      <c r="AMV253" s="9"/>
      <c r="AMW253" s="4"/>
      <c r="AMX253" s="9"/>
      <c r="AMY253" s="4"/>
      <c r="AMZ253" s="9"/>
      <c r="ANA253" s="4"/>
      <c r="ANB253" s="9"/>
      <c r="ANC253" s="4"/>
      <c r="AND253" s="9"/>
      <c r="ANE253" s="4"/>
      <c r="ANF253" s="9"/>
      <c r="ANG253" s="4"/>
      <c r="ANH253" s="9"/>
      <c r="ANI253" s="4"/>
      <c r="ANJ253" s="9"/>
      <c r="ANK253" s="4"/>
      <c r="ANL253" s="9"/>
      <c r="ANM253" s="4"/>
      <c r="ANN253" s="9"/>
      <c r="ANO253" s="4"/>
      <c r="ANP253" s="9"/>
      <c r="ANQ253" s="4"/>
      <c r="ANR253" s="9"/>
      <c r="ANS253" s="4"/>
      <c r="ANT253" s="9"/>
      <c r="ANU253" s="4"/>
      <c r="ANV253" s="9"/>
      <c r="ANW253" s="4"/>
      <c r="ANX253" s="9"/>
      <c r="ANY253" s="4"/>
      <c r="ANZ253" s="9"/>
      <c r="AOA253" s="4"/>
      <c r="AOB253" s="9"/>
      <c r="AOC253" s="4"/>
      <c r="AOD253" s="9"/>
      <c r="AOE253" s="4"/>
      <c r="AOF253" s="9"/>
      <c r="AOG253" s="4"/>
      <c r="AOH253" s="9"/>
      <c r="AOI253" s="4"/>
      <c r="AOJ253" s="9"/>
      <c r="AOK253" s="4"/>
      <c r="AOL253" s="9"/>
      <c r="AOM253" s="4"/>
      <c r="AON253" s="9"/>
      <c r="AOO253" s="4"/>
      <c r="AOP253" s="9"/>
      <c r="AOQ253" s="4"/>
      <c r="AOR253" s="9"/>
      <c r="AOS253" s="4"/>
      <c r="AOT253" s="9"/>
      <c r="AOU253" s="4"/>
      <c r="AOV253" s="9"/>
      <c r="AOW253" s="4"/>
      <c r="AOX253" s="9"/>
      <c r="AOY253" s="4"/>
      <c r="AOZ253" s="9"/>
      <c r="APA253" s="4"/>
      <c r="APB253" s="9"/>
      <c r="APC253" s="4"/>
      <c r="APD253" s="9"/>
      <c r="APE253" s="4"/>
      <c r="APF253" s="9"/>
      <c r="APG253" s="4"/>
      <c r="APH253" s="9"/>
      <c r="API253" s="4"/>
      <c r="APJ253" s="9"/>
      <c r="APK253" s="4"/>
      <c r="APL253" s="9"/>
      <c r="APM253" s="4"/>
      <c r="APN253" s="9"/>
      <c r="APO253" s="4"/>
      <c r="APP253" s="9"/>
      <c r="APQ253" s="4"/>
      <c r="APR253" s="9"/>
      <c r="APS253" s="4"/>
      <c r="APT253" s="9"/>
      <c r="APU253" s="4"/>
      <c r="APV253" s="9"/>
      <c r="APW253" s="4"/>
      <c r="APX253" s="9"/>
      <c r="APY253" s="4"/>
      <c r="APZ253" s="9"/>
      <c r="AQA253" s="4"/>
      <c r="AQB253" s="9"/>
      <c r="AQC253" s="4"/>
      <c r="AQD253" s="9"/>
      <c r="AQE253" s="4"/>
      <c r="AQF253" s="9"/>
      <c r="AQG253" s="4"/>
      <c r="AQH253" s="9"/>
      <c r="AQI253" s="4"/>
      <c r="AQJ253" s="9"/>
      <c r="AQK253" s="4"/>
      <c r="AQL253" s="9"/>
      <c r="AQM253" s="4"/>
      <c r="AQN253" s="9"/>
      <c r="AQO253" s="4"/>
      <c r="AQP253" s="9"/>
      <c r="AQQ253" s="4"/>
      <c r="AQR253" s="9"/>
      <c r="AQS253" s="4"/>
      <c r="AQT253" s="9"/>
      <c r="AQU253" s="4"/>
      <c r="AQV253" s="9"/>
      <c r="AQW253" s="4"/>
      <c r="AQX253" s="9"/>
      <c r="AQY253" s="4"/>
      <c r="AQZ253" s="9"/>
      <c r="ARA253" s="4"/>
      <c r="ARB253" s="9"/>
      <c r="ARC253" s="4"/>
      <c r="ARD253" s="9"/>
      <c r="ARE253" s="4"/>
      <c r="ARF253" s="9"/>
      <c r="ARG253" s="4"/>
      <c r="ARH253" s="9"/>
      <c r="ARI253" s="4"/>
      <c r="ARJ253" s="9"/>
      <c r="ARK253" s="4"/>
      <c r="ARL253" s="9"/>
      <c r="ARM253" s="4"/>
      <c r="ARN253" s="9"/>
      <c r="ARO253" s="4"/>
      <c r="ARP253" s="9"/>
      <c r="ARQ253" s="4"/>
      <c r="ARR253" s="9"/>
      <c r="ARS253" s="4"/>
      <c r="ART253" s="9"/>
      <c r="ARU253" s="4"/>
      <c r="ARV253" s="9"/>
      <c r="ARW253" s="4"/>
      <c r="ARX253" s="9"/>
      <c r="ARY253" s="4"/>
      <c r="ARZ253" s="9"/>
      <c r="ASA253" s="4"/>
      <c r="ASB253" s="9"/>
      <c r="ASC253" s="4"/>
      <c r="ASD253" s="9"/>
      <c r="ASE253" s="4"/>
      <c r="ASF253" s="9"/>
      <c r="ASG253" s="4"/>
      <c r="ASH253" s="9"/>
      <c r="ASI253" s="4"/>
      <c r="ASJ253" s="9"/>
      <c r="ASK253" s="4"/>
      <c r="ASL253" s="9"/>
      <c r="ASM253" s="4"/>
      <c r="ASN253" s="9"/>
      <c r="ASO253" s="4"/>
      <c r="ASP253" s="9"/>
      <c r="ASQ253" s="4"/>
      <c r="ASR253" s="9"/>
      <c r="ASS253" s="4"/>
      <c r="AST253" s="9"/>
      <c r="ASU253" s="4"/>
      <c r="ASV253" s="9"/>
      <c r="ASW253" s="4"/>
      <c r="ASX253" s="9"/>
      <c r="ASY253" s="4"/>
      <c r="ASZ253" s="9"/>
      <c r="ATA253" s="4"/>
      <c r="ATB253" s="9"/>
      <c r="ATC253" s="4"/>
      <c r="ATD253" s="9"/>
      <c r="ATE253" s="4"/>
      <c r="ATF253" s="9"/>
      <c r="ATG253" s="4"/>
      <c r="ATH253" s="9"/>
      <c r="ATI253" s="4"/>
      <c r="ATJ253" s="9"/>
      <c r="ATK253" s="4"/>
      <c r="ATL253" s="9"/>
      <c r="ATM253" s="4"/>
      <c r="ATN253" s="9"/>
      <c r="ATO253" s="4"/>
      <c r="ATP253" s="9"/>
      <c r="ATQ253" s="4"/>
      <c r="ATR253" s="9"/>
      <c r="ATS253" s="4"/>
      <c r="ATT253" s="9"/>
      <c r="ATU253" s="4"/>
      <c r="ATV253" s="9"/>
      <c r="ATW253" s="4"/>
      <c r="ATX253" s="9"/>
      <c r="ATY253" s="4"/>
      <c r="ATZ253" s="9"/>
      <c r="AUA253" s="4"/>
      <c r="AUB253" s="9"/>
      <c r="AUC253" s="4"/>
      <c r="AUD253" s="9"/>
      <c r="AUE253" s="4"/>
      <c r="AUF253" s="9"/>
      <c r="AUG253" s="4"/>
      <c r="AUH253" s="9"/>
      <c r="AUI253" s="4"/>
      <c r="AUJ253" s="9"/>
      <c r="AUK253" s="4"/>
      <c r="AUL253" s="9"/>
      <c r="AUM253" s="4"/>
      <c r="AUN253" s="9"/>
      <c r="AUO253" s="4"/>
      <c r="AUP253" s="9"/>
      <c r="AUQ253" s="4"/>
      <c r="AUR253" s="9"/>
      <c r="AUS253" s="4"/>
      <c r="AUT253" s="9"/>
      <c r="AUU253" s="4"/>
      <c r="AUV253" s="9"/>
      <c r="AUW253" s="4"/>
      <c r="AUX253" s="9"/>
      <c r="AUY253" s="4"/>
      <c r="AUZ253" s="9"/>
      <c r="AVA253" s="4"/>
      <c r="AVB253" s="9"/>
      <c r="AVC253" s="4"/>
      <c r="AVD253" s="9"/>
      <c r="AVE253" s="4"/>
      <c r="AVF253" s="9"/>
      <c r="AVG253" s="4"/>
      <c r="AVH253" s="9"/>
      <c r="AVI253" s="4"/>
      <c r="AVJ253" s="9"/>
      <c r="AVK253" s="4"/>
      <c r="AVL253" s="9"/>
      <c r="AVM253" s="4"/>
      <c r="AVN253" s="9"/>
      <c r="AVO253" s="4"/>
      <c r="AVP253" s="9"/>
      <c r="AVQ253" s="4"/>
      <c r="AVR253" s="9"/>
      <c r="AVS253" s="4"/>
      <c r="AVT253" s="9"/>
      <c r="AVU253" s="4"/>
      <c r="AVV253" s="9"/>
      <c r="AVW253" s="4"/>
      <c r="AVX253" s="9"/>
      <c r="AVY253" s="4"/>
      <c r="AVZ253" s="9"/>
      <c r="AWA253" s="4"/>
      <c r="AWB253" s="9"/>
      <c r="AWC253" s="4"/>
      <c r="AWD253" s="9"/>
      <c r="AWE253" s="4"/>
      <c r="AWF253" s="9"/>
      <c r="AWG253" s="4"/>
      <c r="AWH253" s="9"/>
      <c r="AWI253" s="4"/>
      <c r="AWJ253" s="9"/>
      <c r="AWK253" s="4"/>
      <c r="AWL253" s="9"/>
      <c r="AWM253" s="4"/>
      <c r="AWN253" s="9"/>
      <c r="AWO253" s="4"/>
      <c r="AWP253" s="9"/>
      <c r="AWQ253" s="4"/>
      <c r="AWR253" s="9"/>
      <c r="AWS253" s="4"/>
      <c r="AWT253" s="9"/>
      <c r="AWU253" s="4"/>
      <c r="AWV253" s="9"/>
      <c r="AWW253" s="4"/>
      <c r="AWX253" s="9"/>
      <c r="AWY253" s="4"/>
      <c r="AWZ253" s="9"/>
      <c r="AXA253" s="4"/>
      <c r="AXB253" s="9"/>
      <c r="AXC253" s="4"/>
      <c r="AXD253" s="9"/>
      <c r="AXE253" s="4"/>
      <c r="AXF253" s="9"/>
      <c r="AXG253" s="4"/>
      <c r="AXH253" s="9"/>
      <c r="AXI253" s="4"/>
      <c r="AXJ253" s="9"/>
      <c r="AXK253" s="4"/>
      <c r="AXL253" s="9"/>
      <c r="AXM253" s="4"/>
      <c r="AXN253" s="9"/>
      <c r="AXO253" s="4"/>
      <c r="AXP253" s="9"/>
      <c r="AXQ253" s="4"/>
      <c r="AXR253" s="9"/>
      <c r="AXS253" s="4"/>
      <c r="AXT253" s="9"/>
      <c r="AXU253" s="4"/>
      <c r="AXV253" s="9"/>
      <c r="AXW253" s="4"/>
      <c r="AXX253" s="9"/>
      <c r="AXY253" s="4"/>
      <c r="AXZ253" s="9"/>
      <c r="AYA253" s="4"/>
      <c r="AYB253" s="9"/>
      <c r="AYC253" s="4"/>
      <c r="AYD253" s="9"/>
      <c r="AYE253" s="4"/>
      <c r="AYF253" s="9"/>
      <c r="AYG253" s="4"/>
      <c r="AYH253" s="9"/>
      <c r="AYI253" s="4"/>
      <c r="AYJ253" s="9"/>
      <c r="AYK253" s="4"/>
      <c r="AYL253" s="9"/>
      <c r="AYM253" s="4"/>
      <c r="AYN253" s="9"/>
      <c r="AYO253" s="4"/>
      <c r="AYP253" s="9"/>
      <c r="AYQ253" s="4"/>
      <c r="AYR253" s="9"/>
      <c r="AYS253" s="4"/>
      <c r="AYT253" s="9"/>
      <c r="AYU253" s="4"/>
      <c r="AYV253" s="9"/>
      <c r="AYW253" s="4"/>
      <c r="AYX253" s="9"/>
      <c r="AYY253" s="4"/>
      <c r="AYZ253" s="9"/>
      <c r="AZA253" s="4"/>
      <c r="AZB253" s="9"/>
      <c r="AZC253" s="4"/>
      <c r="AZD253" s="9"/>
      <c r="AZE253" s="4"/>
      <c r="AZF253" s="9"/>
      <c r="AZG253" s="4"/>
      <c r="AZH253" s="9"/>
      <c r="AZI253" s="4"/>
      <c r="AZJ253" s="9"/>
      <c r="AZK253" s="4"/>
      <c r="AZL253" s="9"/>
      <c r="AZM253" s="4"/>
      <c r="AZN253" s="9"/>
      <c r="AZO253" s="4"/>
      <c r="AZP253" s="9"/>
      <c r="AZQ253" s="4"/>
      <c r="AZR253" s="9"/>
      <c r="AZS253" s="4"/>
      <c r="AZT253" s="9"/>
      <c r="AZU253" s="4"/>
      <c r="AZV253" s="9"/>
      <c r="AZW253" s="4"/>
      <c r="AZX253" s="9"/>
      <c r="AZY253" s="4"/>
      <c r="AZZ253" s="9"/>
      <c r="BAA253" s="4"/>
      <c r="BAB253" s="9"/>
      <c r="BAC253" s="4"/>
      <c r="BAD253" s="9"/>
      <c r="BAE253" s="4"/>
      <c r="BAF253" s="9"/>
      <c r="BAG253" s="4"/>
      <c r="BAH253" s="9"/>
      <c r="BAI253" s="4"/>
      <c r="BAJ253" s="9"/>
      <c r="BAK253" s="4"/>
      <c r="BAL253" s="9"/>
      <c r="BAM253" s="4"/>
      <c r="BAN253" s="9"/>
      <c r="BAO253" s="4"/>
      <c r="BAP253" s="9"/>
      <c r="BAQ253" s="4"/>
      <c r="BAR253" s="9"/>
      <c r="BAS253" s="4"/>
      <c r="BAT253" s="9"/>
      <c r="BAU253" s="4"/>
      <c r="BAV253" s="9"/>
      <c r="BAW253" s="4"/>
      <c r="BAX253" s="9"/>
      <c r="BAY253" s="4"/>
      <c r="BAZ253" s="9"/>
      <c r="BBA253" s="4"/>
      <c r="BBB253" s="9"/>
      <c r="BBC253" s="4"/>
      <c r="BBD253" s="9"/>
      <c r="BBE253" s="4"/>
      <c r="BBF253" s="9"/>
      <c r="BBG253" s="4"/>
      <c r="BBH253" s="9"/>
      <c r="BBI253" s="4"/>
      <c r="BBJ253" s="9"/>
      <c r="BBK253" s="4"/>
      <c r="BBL253" s="9"/>
      <c r="BBM253" s="4"/>
      <c r="BBN253" s="9"/>
      <c r="BBO253" s="4"/>
      <c r="BBP253" s="9"/>
      <c r="BBQ253" s="4"/>
      <c r="BBR253" s="9"/>
      <c r="BBS253" s="4"/>
      <c r="BBT253" s="9"/>
      <c r="BBU253" s="4"/>
      <c r="BBV253" s="9"/>
      <c r="BBW253" s="4"/>
      <c r="BBX253" s="9"/>
      <c r="BBY253" s="4"/>
      <c r="BBZ253" s="9"/>
      <c r="BCA253" s="4"/>
      <c r="BCB253" s="9"/>
      <c r="BCC253" s="4"/>
      <c r="BCD253" s="9"/>
      <c r="BCE253" s="4"/>
      <c r="BCF253" s="9"/>
      <c r="BCG253" s="4"/>
      <c r="BCH253" s="9"/>
      <c r="BCI253" s="4"/>
      <c r="BCJ253" s="9"/>
      <c r="BCK253" s="4"/>
      <c r="BCL253" s="9"/>
      <c r="BCM253" s="4"/>
      <c r="BCN253" s="9"/>
      <c r="BCO253" s="4"/>
      <c r="BCP253" s="9"/>
      <c r="BCQ253" s="4"/>
      <c r="BCR253" s="9"/>
      <c r="BCS253" s="4"/>
      <c r="BCT253" s="9"/>
      <c r="BCU253" s="4"/>
      <c r="BCV253" s="9"/>
      <c r="BCW253" s="4"/>
      <c r="BCX253" s="9"/>
      <c r="BCY253" s="4"/>
      <c r="BCZ253" s="9"/>
      <c r="BDA253" s="4"/>
      <c r="BDB253" s="9"/>
      <c r="BDC253" s="4"/>
      <c r="BDD253" s="9"/>
      <c r="BDE253" s="4"/>
      <c r="BDF253" s="9"/>
      <c r="BDG253" s="4"/>
      <c r="BDH253" s="9"/>
      <c r="BDI253" s="4"/>
      <c r="BDJ253" s="9"/>
      <c r="BDK253" s="4"/>
      <c r="BDL253" s="9"/>
      <c r="BDM253" s="4"/>
      <c r="BDN253" s="9"/>
      <c r="BDO253" s="4"/>
      <c r="BDP253" s="9"/>
      <c r="BDQ253" s="4"/>
      <c r="BDR253" s="9"/>
      <c r="BDS253" s="4"/>
      <c r="BDT253" s="9"/>
      <c r="BDU253" s="4"/>
      <c r="BDV253" s="9"/>
      <c r="BDW253" s="4"/>
      <c r="BDX253" s="9"/>
      <c r="BDY253" s="4"/>
      <c r="BDZ253" s="9"/>
      <c r="BEA253" s="4"/>
      <c r="BEB253" s="9"/>
      <c r="BEC253" s="4"/>
      <c r="BED253" s="9"/>
      <c r="BEE253" s="4"/>
      <c r="BEF253" s="9"/>
      <c r="BEG253" s="4"/>
      <c r="BEH253" s="9"/>
      <c r="BEI253" s="4"/>
      <c r="BEJ253" s="9"/>
      <c r="BEK253" s="4"/>
      <c r="BEL253" s="9"/>
      <c r="BEM253" s="4"/>
      <c r="BEN253" s="9"/>
      <c r="BEO253" s="4"/>
      <c r="BEP253" s="9"/>
      <c r="BEQ253" s="4"/>
      <c r="BER253" s="9"/>
      <c r="BES253" s="4"/>
      <c r="BET253" s="9"/>
      <c r="BEU253" s="4"/>
      <c r="BEV253" s="9"/>
      <c r="BEW253" s="4"/>
      <c r="BEX253" s="9"/>
      <c r="BEY253" s="4"/>
      <c r="BEZ253" s="9"/>
      <c r="BFA253" s="4"/>
      <c r="BFB253" s="9"/>
      <c r="BFC253" s="4"/>
      <c r="BFD253" s="9"/>
      <c r="BFE253" s="4"/>
      <c r="BFF253" s="9"/>
      <c r="BFG253" s="4"/>
      <c r="BFH253" s="9"/>
      <c r="BFI253" s="4"/>
      <c r="BFJ253" s="9"/>
      <c r="BFK253" s="4"/>
      <c r="BFL253" s="9"/>
      <c r="BFM253" s="4"/>
      <c r="BFN253" s="9"/>
      <c r="BFO253" s="4"/>
      <c r="BFP253" s="9"/>
      <c r="BFQ253" s="4"/>
      <c r="BFR253" s="9"/>
      <c r="BFS253" s="4"/>
      <c r="BFT253" s="9"/>
      <c r="BFU253" s="4"/>
      <c r="BFV253" s="9"/>
      <c r="BFW253" s="4"/>
      <c r="BFX253" s="9"/>
      <c r="BFY253" s="4"/>
      <c r="BFZ253" s="9"/>
      <c r="BGA253" s="4"/>
      <c r="BGB253" s="9"/>
      <c r="BGC253" s="4"/>
      <c r="BGD253" s="9"/>
      <c r="BGE253" s="4"/>
      <c r="BGF253" s="9"/>
      <c r="BGG253" s="4"/>
      <c r="BGH253" s="9"/>
      <c r="BGI253" s="4"/>
      <c r="BGJ253" s="9"/>
      <c r="BGK253" s="4"/>
      <c r="BGL253" s="9"/>
      <c r="BGM253" s="4"/>
      <c r="BGN253" s="9"/>
      <c r="BGO253" s="4"/>
      <c r="BGP253" s="9"/>
      <c r="BGQ253" s="4"/>
      <c r="BGR253" s="9"/>
      <c r="BGS253" s="4"/>
      <c r="BGT253" s="9"/>
      <c r="BGU253" s="4"/>
      <c r="BGV253" s="9"/>
      <c r="BGW253" s="4"/>
      <c r="BGX253" s="9"/>
      <c r="BGY253" s="4"/>
      <c r="BGZ253" s="9"/>
      <c r="BHA253" s="4"/>
      <c r="BHB253" s="9"/>
      <c r="BHC253" s="4"/>
      <c r="BHD253" s="9"/>
      <c r="BHE253" s="4"/>
      <c r="BHF253" s="9"/>
      <c r="BHG253" s="4"/>
      <c r="BHH253" s="9"/>
      <c r="BHI253" s="4"/>
      <c r="BHJ253" s="9"/>
      <c r="BHK253" s="4"/>
      <c r="BHL253" s="9"/>
      <c r="BHM253" s="4"/>
      <c r="BHN253" s="9"/>
      <c r="BHO253" s="4"/>
      <c r="BHP253" s="9"/>
      <c r="BHQ253" s="4"/>
      <c r="BHR253" s="9"/>
      <c r="BHS253" s="4"/>
      <c r="BHT253" s="9"/>
      <c r="BHU253" s="4"/>
      <c r="BHV253" s="9"/>
      <c r="BHW253" s="4"/>
      <c r="BHX253" s="9"/>
      <c r="BHY253" s="4"/>
      <c r="BHZ253" s="9"/>
      <c r="BIA253" s="4"/>
      <c r="BIB253" s="9"/>
      <c r="BIC253" s="4"/>
      <c r="BID253" s="9"/>
      <c r="BIE253" s="4"/>
      <c r="BIF253" s="9"/>
      <c r="BIG253" s="4"/>
      <c r="BIH253" s="9"/>
      <c r="BII253" s="4"/>
      <c r="BIJ253" s="9"/>
      <c r="BIK253" s="4"/>
      <c r="BIL253" s="9"/>
      <c r="BIM253" s="4"/>
      <c r="BIN253" s="9"/>
      <c r="BIO253" s="4"/>
      <c r="BIP253" s="9"/>
      <c r="BIQ253" s="4"/>
      <c r="BIR253" s="9"/>
      <c r="BIS253" s="4"/>
      <c r="BIT253" s="9"/>
      <c r="BIU253" s="4"/>
      <c r="BIV253" s="9"/>
      <c r="BIW253" s="4"/>
      <c r="BIX253" s="9"/>
      <c r="BIY253" s="4"/>
      <c r="BIZ253" s="9"/>
      <c r="BJA253" s="4"/>
      <c r="BJB253" s="9"/>
      <c r="BJC253" s="4"/>
      <c r="BJD253" s="9"/>
      <c r="BJE253" s="4"/>
      <c r="BJF253" s="9"/>
      <c r="BJG253" s="4"/>
      <c r="BJH253" s="9"/>
      <c r="BJI253" s="4"/>
      <c r="BJJ253" s="9"/>
      <c r="BJK253" s="4"/>
      <c r="BJL253" s="9"/>
      <c r="BJM253" s="4"/>
      <c r="BJN253" s="9"/>
      <c r="BJO253" s="4"/>
      <c r="BJP253" s="9"/>
      <c r="BJQ253" s="4"/>
      <c r="BJR253" s="9"/>
      <c r="BJS253" s="4"/>
      <c r="BJT253" s="9"/>
      <c r="BJU253" s="4"/>
      <c r="BJV253" s="9"/>
      <c r="BJW253" s="4"/>
      <c r="BJX253" s="9"/>
      <c r="BJY253" s="4"/>
      <c r="BJZ253" s="9"/>
      <c r="BKA253" s="4"/>
      <c r="BKB253" s="9"/>
      <c r="BKC253" s="4"/>
      <c r="BKD253" s="9"/>
      <c r="BKE253" s="4"/>
      <c r="BKF253" s="9"/>
      <c r="BKG253" s="4"/>
      <c r="BKH253" s="9"/>
      <c r="BKI253" s="4"/>
      <c r="BKJ253" s="9"/>
      <c r="BKK253" s="4"/>
      <c r="BKL253" s="9"/>
      <c r="BKM253" s="4"/>
      <c r="BKN253" s="9"/>
      <c r="BKO253" s="4"/>
      <c r="BKP253" s="9"/>
      <c r="BKQ253" s="4"/>
      <c r="BKR253" s="9"/>
      <c r="BKS253" s="4"/>
      <c r="BKT253" s="9"/>
      <c r="BKU253" s="4"/>
      <c r="BKV253" s="9"/>
      <c r="BKW253" s="4"/>
      <c r="BKX253" s="9"/>
      <c r="BKY253" s="4"/>
      <c r="BKZ253" s="9"/>
      <c r="BLA253" s="4"/>
      <c r="BLB253" s="9"/>
      <c r="BLC253" s="4"/>
      <c r="BLD253" s="9"/>
      <c r="BLE253" s="4"/>
      <c r="BLF253" s="9"/>
      <c r="BLG253" s="4"/>
      <c r="BLH253" s="9"/>
      <c r="BLI253" s="4"/>
      <c r="BLJ253" s="9"/>
      <c r="BLK253" s="4"/>
      <c r="BLL253" s="9"/>
      <c r="BLM253" s="4"/>
      <c r="BLN253" s="9"/>
      <c r="BLO253" s="4"/>
      <c r="BLP253" s="9"/>
      <c r="BLQ253" s="4"/>
      <c r="BLR253" s="9"/>
      <c r="BLS253" s="4"/>
      <c r="BLT253" s="9"/>
      <c r="BLU253" s="4"/>
      <c r="BLV253" s="9"/>
      <c r="BLW253" s="4"/>
      <c r="BLX253" s="9"/>
      <c r="BLY253" s="4"/>
      <c r="BLZ253" s="9"/>
      <c r="BMA253" s="4"/>
      <c r="BMB253" s="9"/>
      <c r="BMC253" s="4"/>
      <c r="BMD253" s="9"/>
      <c r="BME253" s="4"/>
      <c r="BMF253" s="9"/>
      <c r="BMG253" s="4"/>
      <c r="BMH253" s="9"/>
      <c r="BMI253" s="4"/>
      <c r="BMJ253" s="9"/>
      <c r="BMK253" s="4"/>
      <c r="BML253" s="9"/>
      <c r="BMM253" s="4"/>
      <c r="BMN253" s="9"/>
      <c r="BMO253" s="4"/>
      <c r="BMP253" s="9"/>
      <c r="BMQ253" s="4"/>
      <c r="BMR253" s="9"/>
      <c r="BMS253" s="4"/>
      <c r="BMT253" s="9"/>
      <c r="BMU253" s="4"/>
      <c r="BMV253" s="9"/>
      <c r="BMW253" s="4"/>
      <c r="BMX253" s="9"/>
      <c r="BMY253" s="4"/>
      <c r="BMZ253" s="9"/>
      <c r="BNA253" s="4"/>
      <c r="BNB253" s="9"/>
      <c r="BNC253" s="4"/>
      <c r="BND253" s="9"/>
      <c r="BNE253" s="4"/>
      <c r="BNF253" s="9"/>
      <c r="BNG253" s="4"/>
      <c r="BNH253" s="9"/>
      <c r="BNI253" s="4"/>
      <c r="BNJ253" s="9"/>
      <c r="BNK253" s="4"/>
      <c r="BNL253" s="9"/>
      <c r="BNM253" s="4"/>
      <c r="BNN253" s="9"/>
      <c r="BNO253" s="4"/>
      <c r="BNP253" s="9"/>
      <c r="BNQ253" s="4"/>
      <c r="BNR253" s="9"/>
      <c r="BNS253" s="4"/>
      <c r="BNT253" s="9"/>
      <c r="BNU253" s="4"/>
      <c r="BNV253" s="9"/>
      <c r="BNW253" s="4"/>
      <c r="BNX253" s="9"/>
      <c r="BNY253" s="4"/>
      <c r="BNZ253" s="9"/>
      <c r="BOA253" s="4"/>
      <c r="BOB253" s="9"/>
      <c r="BOC253" s="4"/>
      <c r="BOD253" s="9"/>
      <c r="BOE253" s="4"/>
      <c r="BOF253" s="9"/>
      <c r="BOG253" s="4"/>
      <c r="BOH253" s="9"/>
      <c r="BOI253" s="4"/>
      <c r="BOJ253" s="9"/>
      <c r="BOK253" s="4"/>
      <c r="BOL253" s="9"/>
      <c r="BOM253" s="4"/>
      <c r="BON253" s="9"/>
      <c r="BOO253" s="4"/>
      <c r="BOP253" s="9"/>
      <c r="BOQ253" s="4"/>
      <c r="BOR253" s="9"/>
      <c r="BOS253" s="4"/>
      <c r="BOT253" s="9"/>
      <c r="BOU253" s="4"/>
      <c r="BOV253" s="9"/>
      <c r="BOW253" s="4"/>
      <c r="BOX253" s="9"/>
      <c r="BOY253" s="4"/>
      <c r="BOZ253" s="9"/>
      <c r="BPA253" s="4"/>
      <c r="BPB253" s="9"/>
      <c r="BPC253" s="4"/>
      <c r="BPD253" s="9"/>
      <c r="BPE253" s="4"/>
      <c r="BPF253" s="9"/>
      <c r="BPG253" s="4"/>
      <c r="BPH253" s="9"/>
      <c r="BPI253" s="4"/>
      <c r="BPJ253" s="9"/>
      <c r="BPK253" s="4"/>
      <c r="BPL253" s="9"/>
      <c r="BPM253" s="4"/>
      <c r="BPN253" s="9"/>
      <c r="BPO253" s="4"/>
      <c r="BPP253" s="9"/>
      <c r="BPQ253" s="4"/>
      <c r="BPR253" s="9"/>
      <c r="BPS253" s="4"/>
      <c r="BPT253" s="9"/>
      <c r="BPU253" s="4"/>
      <c r="BPV253" s="9"/>
      <c r="BPW253" s="4"/>
      <c r="BPX253" s="9"/>
      <c r="BPY253" s="4"/>
      <c r="BPZ253" s="9"/>
      <c r="BQA253" s="4"/>
      <c r="BQB253" s="9"/>
      <c r="BQC253" s="4"/>
      <c r="BQD253" s="9"/>
      <c r="BQE253" s="4"/>
      <c r="BQF253" s="9"/>
      <c r="BQG253" s="4"/>
      <c r="BQH253" s="9"/>
      <c r="BQI253" s="4"/>
      <c r="BQJ253" s="9"/>
      <c r="BQK253" s="4"/>
      <c r="BQL253" s="9"/>
      <c r="BQM253" s="4"/>
      <c r="BQN253" s="9"/>
      <c r="BQO253" s="4"/>
      <c r="BQP253" s="9"/>
      <c r="BQQ253" s="4"/>
      <c r="BQR253" s="9"/>
      <c r="BQS253" s="4"/>
      <c r="BQT253" s="9"/>
      <c r="BQU253" s="4"/>
      <c r="BQV253" s="9"/>
      <c r="BQW253" s="4"/>
      <c r="BQX253" s="9"/>
      <c r="BQY253" s="4"/>
      <c r="BQZ253" s="9"/>
      <c r="BRA253" s="4"/>
      <c r="BRB253" s="9"/>
      <c r="BRC253" s="4"/>
      <c r="BRD253" s="9"/>
      <c r="BRE253" s="4"/>
      <c r="BRF253" s="9"/>
      <c r="BRG253" s="4"/>
      <c r="BRH253" s="9"/>
      <c r="BRI253" s="4"/>
      <c r="BRJ253" s="9"/>
      <c r="BRK253" s="4"/>
      <c r="BRL253" s="9"/>
      <c r="BRM253" s="4"/>
      <c r="BRN253" s="9"/>
      <c r="BRO253" s="4"/>
      <c r="BRP253" s="9"/>
      <c r="BRQ253" s="4"/>
      <c r="BRR253" s="9"/>
      <c r="BRS253" s="4"/>
      <c r="BRT253" s="9"/>
      <c r="BRU253" s="4"/>
      <c r="BRV253" s="9"/>
      <c r="BRW253" s="4"/>
      <c r="BRX253" s="9"/>
      <c r="BRY253" s="4"/>
      <c r="BRZ253" s="9"/>
      <c r="BSA253" s="4"/>
      <c r="BSB253" s="9"/>
      <c r="BSC253" s="4"/>
      <c r="BSD253" s="9"/>
      <c r="BSE253" s="4"/>
      <c r="BSF253" s="9"/>
      <c r="BSG253" s="4"/>
      <c r="BSH253" s="9"/>
      <c r="BSI253" s="4"/>
      <c r="BSJ253" s="9"/>
      <c r="BSK253" s="4"/>
      <c r="BSL253" s="9"/>
      <c r="BSM253" s="4"/>
      <c r="BSN253" s="9"/>
      <c r="BSO253" s="4"/>
      <c r="BSP253" s="9"/>
      <c r="BSQ253" s="4"/>
      <c r="BSR253" s="9"/>
      <c r="BSS253" s="4"/>
      <c r="BST253" s="9"/>
      <c r="BSU253" s="4"/>
      <c r="BSV253" s="9"/>
      <c r="BSW253" s="4"/>
      <c r="BSX253" s="9"/>
      <c r="BSY253" s="4"/>
      <c r="BSZ253" s="9"/>
      <c r="BTA253" s="4"/>
      <c r="BTB253" s="9"/>
      <c r="BTC253" s="4"/>
      <c r="BTD253" s="9"/>
      <c r="BTE253" s="4"/>
      <c r="BTF253" s="9"/>
      <c r="BTG253" s="4"/>
      <c r="BTH253" s="9"/>
      <c r="BTI253" s="4"/>
      <c r="BTJ253" s="9"/>
      <c r="BTK253" s="4"/>
      <c r="BTL253" s="9"/>
      <c r="BTM253" s="4"/>
      <c r="BTN253" s="9"/>
      <c r="BTO253" s="4"/>
      <c r="BTP253" s="9"/>
      <c r="BTQ253" s="4"/>
      <c r="BTR253" s="9"/>
      <c r="BTS253" s="4"/>
      <c r="BTT253" s="9"/>
      <c r="BTU253" s="4"/>
      <c r="BTV253" s="9"/>
      <c r="BTW253" s="4"/>
      <c r="BTX253" s="9"/>
      <c r="BTY253" s="4"/>
      <c r="BTZ253" s="9"/>
      <c r="BUA253" s="4"/>
      <c r="BUB253" s="9"/>
      <c r="BUC253" s="4"/>
      <c r="BUD253" s="9"/>
      <c r="BUE253" s="4"/>
      <c r="BUF253" s="9"/>
      <c r="BUG253" s="4"/>
      <c r="BUH253" s="9"/>
      <c r="BUI253" s="4"/>
      <c r="BUJ253" s="9"/>
      <c r="BUK253" s="4"/>
      <c r="BUL253" s="9"/>
      <c r="BUM253" s="4"/>
      <c r="BUN253" s="9"/>
      <c r="BUO253" s="4"/>
      <c r="BUP253" s="9"/>
      <c r="BUQ253" s="4"/>
      <c r="BUR253" s="9"/>
      <c r="BUS253" s="4"/>
      <c r="BUT253" s="9"/>
      <c r="BUU253" s="4"/>
      <c r="BUV253" s="9"/>
      <c r="BUW253" s="4"/>
      <c r="BUX253" s="9"/>
      <c r="BUY253" s="4"/>
      <c r="BUZ253" s="9"/>
      <c r="BVA253" s="4"/>
      <c r="BVB253" s="9"/>
      <c r="BVC253" s="4"/>
      <c r="BVD253" s="9"/>
      <c r="BVE253" s="4"/>
      <c r="BVF253" s="9"/>
      <c r="BVG253" s="4"/>
      <c r="BVH253" s="9"/>
      <c r="BVI253" s="4"/>
      <c r="BVJ253" s="9"/>
      <c r="BVK253" s="4"/>
      <c r="BVL253" s="9"/>
      <c r="BVM253" s="4"/>
      <c r="BVN253" s="9"/>
      <c r="BVO253" s="4"/>
      <c r="BVP253" s="9"/>
      <c r="BVQ253" s="4"/>
      <c r="BVR253" s="9"/>
      <c r="BVS253" s="4"/>
      <c r="BVT253" s="9"/>
      <c r="BVU253" s="4"/>
      <c r="BVV253" s="9"/>
      <c r="BVW253" s="4"/>
      <c r="BVX253" s="9"/>
      <c r="BVY253" s="4"/>
      <c r="BVZ253" s="9"/>
      <c r="BWA253" s="4"/>
      <c r="BWB253" s="9"/>
      <c r="BWC253" s="4"/>
      <c r="BWD253" s="9"/>
      <c r="BWE253" s="4"/>
      <c r="BWF253" s="9"/>
      <c r="BWG253" s="4"/>
      <c r="BWH253" s="9"/>
      <c r="BWI253" s="4"/>
      <c r="BWJ253" s="9"/>
      <c r="BWK253" s="4"/>
      <c r="BWL253" s="9"/>
      <c r="BWM253" s="4"/>
      <c r="BWN253" s="9"/>
      <c r="BWO253" s="4"/>
      <c r="BWP253" s="9"/>
      <c r="BWQ253" s="4"/>
      <c r="BWR253" s="9"/>
      <c r="BWS253" s="4"/>
      <c r="BWT253" s="9"/>
      <c r="BWU253" s="4"/>
      <c r="BWV253" s="9"/>
      <c r="BWW253" s="4"/>
      <c r="BWX253" s="9"/>
      <c r="BWY253" s="4"/>
      <c r="BWZ253" s="9"/>
      <c r="BXA253" s="4"/>
      <c r="BXB253" s="9"/>
      <c r="BXC253" s="4"/>
      <c r="BXD253" s="9"/>
      <c r="BXE253" s="4"/>
      <c r="BXF253" s="9"/>
      <c r="BXG253" s="4"/>
      <c r="BXH253" s="9"/>
      <c r="BXI253" s="4"/>
      <c r="BXJ253" s="9"/>
      <c r="BXK253" s="4"/>
      <c r="BXL253" s="9"/>
      <c r="BXM253" s="4"/>
      <c r="BXN253" s="9"/>
      <c r="BXO253" s="4"/>
      <c r="BXP253" s="9"/>
      <c r="BXQ253" s="4"/>
      <c r="BXR253" s="9"/>
      <c r="BXS253" s="4"/>
      <c r="BXT253" s="9"/>
      <c r="BXU253" s="4"/>
      <c r="BXV253" s="9"/>
      <c r="BXW253" s="4"/>
      <c r="BXX253" s="9"/>
      <c r="BXY253" s="4"/>
      <c r="BXZ253" s="9"/>
      <c r="BYA253" s="4"/>
      <c r="BYB253" s="9"/>
      <c r="BYC253" s="4"/>
      <c r="BYD253" s="9"/>
      <c r="BYE253" s="4"/>
      <c r="BYF253" s="9"/>
      <c r="BYG253" s="4"/>
      <c r="BYH253" s="9"/>
      <c r="BYI253" s="4"/>
      <c r="BYJ253" s="9"/>
      <c r="BYK253" s="4"/>
      <c r="BYL253" s="9"/>
      <c r="BYM253" s="4"/>
      <c r="BYN253" s="9"/>
      <c r="BYO253" s="4"/>
      <c r="BYP253" s="9"/>
      <c r="BYQ253" s="4"/>
      <c r="BYR253" s="9"/>
      <c r="BYS253" s="4"/>
      <c r="BYT253" s="9"/>
      <c r="BYU253" s="4"/>
      <c r="BYV253" s="9"/>
      <c r="BYW253" s="4"/>
      <c r="BYX253" s="9"/>
      <c r="BYY253" s="4"/>
      <c r="BYZ253" s="9"/>
      <c r="BZA253" s="4"/>
      <c r="BZB253" s="9"/>
      <c r="BZC253" s="4"/>
      <c r="BZD253" s="9"/>
      <c r="BZE253" s="4"/>
      <c r="BZF253" s="9"/>
      <c r="BZG253" s="4"/>
      <c r="BZH253" s="9"/>
      <c r="BZI253" s="4"/>
      <c r="BZJ253" s="9"/>
      <c r="BZK253" s="4"/>
      <c r="BZL253" s="9"/>
      <c r="BZM253" s="4"/>
      <c r="BZN253" s="9"/>
      <c r="BZO253" s="4"/>
      <c r="BZP253" s="9"/>
      <c r="BZQ253" s="4"/>
      <c r="BZR253" s="9"/>
      <c r="BZS253" s="4"/>
      <c r="BZT253" s="9"/>
      <c r="BZU253" s="4"/>
      <c r="BZV253" s="9"/>
      <c r="BZW253" s="4"/>
      <c r="BZX253" s="9"/>
      <c r="BZY253" s="4"/>
      <c r="BZZ253" s="9"/>
      <c r="CAA253" s="4"/>
      <c r="CAB253" s="9"/>
      <c r="CAC253" s="4"/>
      <c r="CAD253" s="9"/>
      <c r="CAE253" s="4"/>
      <c r="CAF253" s="9"/>
      <c r="CAG253" s="4"/>
      <c r="CAH253" s="9"/>
      <c r="CAI253" s="4"/>
      <c r="CAJ253" s="9"/>
      <c r="CAK253" s="4"/>
      <c r="CAL253" s="9"/>
      <c r="CAM253" s="4"/>
      <c r="CAN253" s="9"/>
      <c r="CAO253" s="4"/>
      <c r="CAP253" s="9"/>
      <c r="CAQ253" s="4"/>
      <c r="CAR253" s="9"/>
      <c r="CAS253" s="4"/>
      <c r="CAT253" s="9"/>
      <c r="CAU253" s="4"/>
      <c r="CAV253" s="9"/>
      <c r="CAW253" s="4"/>
      <c r="CAX253" s="9"/>
      <c r="CAY253" s="4"/>
      <c r="CAZ253" s="9"/>
      <c r="CBA253" s="4"/>
      <c r="CBB253" s="9"/>
      <c r="CBC253" s="4"/>
      <c r="CBD253" s="9"/>
      <c r="CBE253" s="4"/>
      <c r="CBF253" s="9"/>
      <c r="CBG253" s="4"/>
      <c r="CBH253" s="9"/>
      <c r="CBI253" s="4"/>
      <c r="CBJ253" s="9"/>
      <c r="CBK253" s="4"/>
      <c r="CBL253" s="9"/>
      <c r="CBM253" s="4"/>
      <c r="CBN253" s="9"/>
      <c r="CBO253" s="4"/>
      <c r="CBP253" s="9"/>
      <c r="CBQ253" s="4"/>
      <c r="CBR253" s="9"/>
      <c r="CBS253" s="4"/>
      <c r="CBT253" s="9"/>
      <c r="CBU253" s="4"/>
      <c r="CBV253" s="9"/>
      <c r="CBW253" s="4"/>
      <c r="CBX253" s="9"/>
      <c r="CBY253" s="4"/>
      <c r="CBZ253" s="9"/>
      <c r="CCA253" s="4"/>
      <c r="CCB253" s="9"/>
      <c r="CCC253" s="4"/>
      <c r="CCD253" s="9"/>
      <c r="CCE253" s="4"/>
      <c r="CCF253" s="9"/>
      <c r="CCG253" s="4"/>
      <c r="CCH253" s="9"/>
      <c r="CCI253" s="4"/>
      <c r="CCJ253" s="9"/>
      <c r="CCK253" s="4"/>
      <c r="CCL253" s="9"/>
      <c r="CCM253" s="4"/>
      <c r="CCN253" s="9"/>
      <c r="CCO253" s="4"/>
      <c r="CCP253" s="9"/>
      <c r="CCQ253" s="4"/>
      <c r="CCR253" s="9"/>
      <c r="CCS253" s="4"/>
      <c r="CCT253" s="9"/>
      <c r="CCU253" s="4"/>
      <c r="CCV253" s="9"/>
      <c r="CCW253" s="4"/>
      <c r="CCX253" s="9"/>
      <c r="CCY253" s="4"/>
      <c r="CCZ253" s="9"/>
      <c r="CDA253" s="4"/>
      <c r="CDB253" s="9"/>
      <c r="CDC253" s="4"/>
      <c r="CDD253" s="9"/>
      <c r="CDE253" s="4"/>
      <c r="CDF253" s="9"/>
      <c r="CDG253" s="4"/>
      <c r="CDH253" s="9"/>
      <c r="CDI253" s="4"/>
      <c r="CDJ253" s="9"/>
      <c r="CDK253" s="4"/>
      <c r="CDL253" s="9"/>
      <c r="CDM253" s="4"/>
      <c r="CDN253" s="9"/>
      <c r="CDO253" s="4"/>
      <c r="CDP253" s="9"/>
      <c r="CDQ253" s="4"/>
      <c r="CDR253" s="9"/>
      <c r="CDS253" s="4"/>
      <c r="CDT253" s="9"/>
      <c r="CDU253" s="4"/>
      <c r="CDV253" s="9"/>
      <c r="CDW253" s="4"/>
      <c r="CDX253" s="9"/>
      <c r="CDY253" s="4"/>
      <c r="CDZ253" s="9"/>
      <c r="CEA253" s="4"/>
      <c r="CEB253" s="9"/>
      <c r="CEC253" s="4"/>
      <c r="CED253" s="9"/>
      <c r="CEE253" s="4"/>
      <c r="CEF253" s="9"/>
      <c r="CEG253" s="4"/>
      <c r="CEH253" s="9"/>
      <c r="CEI253" s="4"/>
      <c r="CEJ253" s="9"/>
      <c r="CEK253" s="4"/>
      <c r="CEL253" s="9"/>
      <c r="CEM253" s="4"/>
      <c r="CEN253" s="9"/>
      <c r="CEO253" s="4"/>
      <c r="CEP253" s="9"/>
      <c r="CEQ253" s="4"/>
      <c r="CER253" s="9"/>
      <c r="CES253" s="4"/>
      <c r="CET253" s="9"/>
      <c r="CEU253" s="4"/>
      <c r="CEV253" s="9"/>
      <c r="CEW253" s="4"/>
      <c r="CEX253" s="9"/>
      <c r="CEY253" s="4"/>
      <c r="CEZ253" s="9"/>
      <c r="CFA253" s="4"/>
      <c r="CFB253" s="9"/>
      <c r="CFC253" s="4"/>
      <c r="CFD253" s="9"/>
      <c r="CFE253" s="4"/>
      <c r="CFF253" s="9"/>
      <c r="CFG253" s="4"/>
      <c r="CFH253" s="9"/>
      <c r="CFI253" s="4"/>
      <c r="CFJ253" s="9"/>
      <c r="CFK253" s="4"/>
      <c r="CFL253" s="9"/>
      <c r="CFM253" s="4"/>
      <c r="CFN253" s="9"/>
      <c r="CFO253" s="4"/>
      <c r="CFP253" s="9"/>
      <c r="CFQ253" s="4"/>
      <c r="CFR253" s="9"/>
      <c r="CFS253" s="4"/>
      <c r="CFT253" s="9"/>
      <c r="CFU253" s="4"/>
      <c r="CFV253" s="9"/>
      <c r="CFW253" s="4"/>
      <c r="CFX253" s="9"/>
      <c r="CFY253" s="4"/>
      <c r="CFZ253" s="9"/>
      <c r="CGA253" s="4"/>
      <c r="CGB253" s="9"/>
      <c r="CGC253" s="4"/>
      <c r="CGD253" s="9"/>
      <c r="CGE253" s="4"/>
      <c r="CGF253" s="9"/>
      <c r="CGG253" s="4"/>
      <c r="CGH253" s="9"/>
      <c r="CGI253" s="4"/>
      <c r="CGJ253" s="9"/>
      <c r="CGK253" s="4"/>
      <c r="CGL253" s="9"/>
      <c r="CGM253" s="4"/>
      <c r="CGN253" s="9"/>
      <c r="CGO253" s="4"/>
      <c r="CGP253" s="9"/>
      <c r="CGQ253" s="4"/>
      <c r="CGR253" s="9"/>
      <c r="CGS253" s="4"/>
      <c r="CGT253" s="9"/>
      <c r="CGU253" s="4"/>
      <c r="CGV253" s="9"/>
      <c r="CGW253" s="4"/>
      <c r="CGX253" s="9"/>
      <c r="CGY253" s="4"/>
      <c r="CGZ253" s="9"/>
      <c r="CHA253" s="4"/>
      <c r="CHB253" s="9"/>
      <c r="CHC253" s="4"/>
      <c r="CHD253" s="9"/>
      <c r="CHE253" s="4"/>
      <c r="CHF253" s="9"/>
      <c r="CHG253" s="4"/>
      <c r="CHH253" s="9"/>
      <c r="CHI253" s="4"/>
      <c r="CHJ253" s="9"/>
      <c r="CHK253" s="4"/>
      <c r="CHL253" s="9"/>
      <c r="CHM253" s="4"/>
      <c r="CHN253" s="9"/>
      <c r="CHO253" s="4"/>
      <c r="CHP253" s="9"/>
      <c r="CHQ253" s="4"/>
      <c r="CHR253" s="9"/>
      <c r="CHS253" s="4"/>
      <c r="CHT253" s="9"/>
      <c r="CHU253" s="4"/>
      <c r="CHV253" s="9"/>
      <c r="CHW253" s="4"/>
      <c r="CHX253" s="9"/>
      <c r="CHY253" s="4"/>
      <c r="CHZ253" s="9"/>
      <c r="CIA253" s="4"/>
      <c r="CIB253" s="9"/>
      <c r="CIC253" s="4"/>
      <c r="CID253" s="9"/>
      <c r="CIE253" s="4"/>
      <c r="CIF253" s="9"/>
      <c r="CIG253" s="4"/>
      <c r="CIH253" s="9"/>
      <c r="CII253" s="4"/>
      <c r="CIJ253" s="9"/>
      <c r="CIK253" s="4"/>
      <c r="CIL253" s="9"/>
      <c r="CIM253" s="4"/>
      <c r="CIN253" s="9"/>
      <c r="CIO253" s="4"/>
      <c r="CIP253" s="9"/>
      <c r="CIQ253" s="4"/>
      <c r="CIR253" s="9"/>
      <c r="CIS253" s="4"/>
      <c r="CIT253" s="9"/>
      <c r="CIU253" s="4"/>
      <c r="CIV253" s="9"/>
      <c r="CIW253" s="4"/>
      <c r="CIX253" s="9"/>
      <c r="CIY253" s="4"/>
      <c r="CIZ253" s="9"/>
      <c r="CJA253" s="4"/>
      <c r="CJB253" s="9"/>
      <c r="CJC253" s="4"/>
      <c r="CJD253" s="9"/>
      <c r="CJE253" s="4"/>
      <c r="CJF253" s="9"/>
      <c r="CJG253" s="4"/>
      <c r="CJH253" s="9"/>
      <c r="CJI253" s="4"/>
      <c r="CJJ253" s="9"/>
      <c r="CJK253" s="4"/>
      <c r="CJL253" s="9"/>
      <c r="CJM253" s="4"/>
      <c r="CJN253" s="9"/>
      <c r="CJO253" s="4"/>
      <c r="CJP253" s="9"/>
      <c r="CJQ253" s="4"/>
      <c r="CJR253" s="9"/>
      <c r="CJS253" s="4"/>
      <c r="CJT253" s="9"/>
      <c r="CJU253" s="4"/>
      <c r="CJV253" s="9"/>
      <c r="CJW253" s="4"/>
      <c r="CJX253" s="9"/>
      <c r="CJY253" s="4"/>
      <c r="CJZ253" s="9"/>
      <c r="CKA253" s="4"/>
      <c r="CKB253" s="9"/>
      <c r="CKC253" s="4"/>
      <c r="CKD253" s="9"/>
      <c r="CKE253" s="4"/>
      <c r="CKF253" s="9"/>
      <c r="CKG253" s="4"/>
      <c r="CKH253" s="9"/>
      <c r="CKI253" s="4"/>
      <c r="CKJ253" s="9"/>
      <c r="CKK253" s="4"/>
      <c r="CKL253" s="9"/>
      <c r="CKM253" s="4"/>
      <c r="CKN253" s="9"/>
      <c r="CKO253" s="4"/>
      <c r="CKP253" s="9"/>
      <c r="CKQ253" s="4"/>
      <c r="CKR253" s="9"/>
      <c r="CKS253" s="4"/>
      <c r="CKT253" s="9"/>
      <c r="CKU253" s="4"/>
      <c r="CKV253" s="9"/>
      <c r="CKW253" s="4"/>
      <c r="CKX253" s="9"/>
      <c r="CKY253" s="4"/>
      <c r="CKZ253" s="9"/>
      <c r="CLA253" s="4"/>
      <c r="CLB253" s="9"/>
      <c r="CLC253" s="4"/>
      <c r="CLD253" s="9"/>
      <c r="CLE253" s="4"/>
      <c r="CLF253" s="9"/>
      <c r="CLG253" s="4"/>
      <c r="CLH253" s="9"/>
      <c r="CLI253" s="4"/>
      <c r="CLJ253" s="9"/>
      <c r="CLK253" s="4"/>
      <c r="CLL253" s="9"/>
      <c r="CLM253" s="4"/>
      <c r="CLN253" s="9"/>
      <c r="CLO253" s="4"/>
      <c r="CLP253" s="9"/>
      <c r="CLQ253" s="4"/>
      <c r="CLR253" s="9"/>
      <c r="CLS253" s="4"/>
      <c r="CLT253" s="9"/>
      <c r="CLU253" s="4"/>
      <c r="CLV253" s="9"/>
      <c r="CLW253" s="4"/>
      <c r="CLX253" s="9"/>
      <c r="CLY253" s="4"/>
      <c r="CLZ253" s="9"/>
      <c r="CMA253" s="4"/>
      <c r="CMB253" s="9"/>
      <c r="CMC253" s="4"/>
      <c r="CMD253" s="9"/>
      <c r="CME253" s="4"/>
      <c r="CMF253" s="9"/>
      <c r="CMG253" s="4"/>
      <c r="CMH253" s="9"/>
      <c r="CMI253" s="4"/>
      <c r="CMJ253" s="9"/>
      <c r="CMK253" s="4"/>
      <c r="CML253" s="9"/>
      <c r="CMM253" s="4"/>
      <c r="CMN253" s="9"/>
      <c r="CMO253" s="4"/>
      <c r="CMP253" s="9"/>
      <c r="CMQ253" s="4"/>
      <c r="CMR253" s="9"/>
      <c r="CMS253" s="4"/>
      <c r="CMT253" s="9"/>
      <c r="CMU253" s="4"/>
      <c r="CMV253" s="9"/>
      <c r="CMW253" s="4"/>
      <c r="CMX253" s="9"/>
      <c r="CMY253" s="4"/>
      <c r="CMZ253" s="9"/>
      <c r="CNA253" s="4"/>
      <c r="CNB253" s="9"/>
      <c r="CNC253" s="4"/>
      <c r="CND253" s="9"/>
      <c r="CNE253" s="4"/>
      <c r="CNF253" s="9"/>
      <c r="CNG253" s="4"/>
      <c r="CNH253" s="9"/>
      <c r="CNI253" s="4"/>
      <c r="CNJ253" s="9"/>
      <c r="CNK253" s="4"/>
      <c r="CNL253" s="9"/>
      <c r="CNM253" s="4"/>
      <c r="CNN253" s="9"/>
      <c r="CNO253" s="4"/>
      <c r="CNP253" s="9"/>
      <c r="CNQ253" s="4"/>
      <c r="CNR253" s="9"/>
      <c r="CNS253" s="4"/>
      <c r="CNT253" s="9"/>
      <c r="CNU253" s="4"/>
      <c r="CNV253" s="9"/>
      <c r="CNW253" s="4"/>
      <c r="CNX253" s="9"/>
      <c r="CNY253" s="4"/>
      <c r="CNZ253" s="9"/>
      <c r="COA253" s="4"/>
      <c r="COB253" s="9"/>
      <c r="COC253" s="4"/>
      <c r="COD253" s="9"/>
      <c r="COE253" s="4"/>
      <c r="COF253" s="9"/>
      <c r="COG253" s="4"/>
      <c r="COH253" s="9"/>
      <c r="COI253" s="4"/>
      <c r="COJ253" s="9"/>
      <c r="COK253" s="4"/>
      <c r="COL253" s="9"/>
      <c r="COM253" s="4"/>
      <c r="CON253" s="9"/>
      <c r="COO253" s="4"/>
      <c r="COP253" s="9"/>
      <c r="COQ253" s="4"/>
      <c r="COR253" s="9"/>
      <c r="COS253" s="4"/>
      <c r="COT253" s="9"/>
      <c r="COU253" s="4"/>
      <c r="COV253" s="9"/>
      <c r="COW253" s="4"/>
      <c r="COX253" s="9"/>
      <c r="COY253" s="4"/>
      <c r="COZ253" s="9"/>
      <c r="CPA253" s="4"/>
      <c r="CPB253" s="9"/>
      <c r="CPC253" s="4"/>
      <c r="CPD253" s="9"/>
      <c r="CPE253" s="4"/>
      <c r="CPF253" s="9"/>
      <c r="CPG253" s="4"/>
      <c r="CPH253" s="9"/>
      <c r="CPI253" s="4"/>
      <c r="CPJ253" s="9"/>
      <c r="CPK253" s="4"/>
      <c r="CPL253" s="9"/>
      <c r="CPM253" s="4"/>
      <c r="CPN253" s="9"/>
      <c r="CPO253" s="4"/>
      <c r="CPP253" s="9"/>
      <c r="CPQ253" s="4"/>
      <c r="CPR253" s="9"/>
      <c r="CPS253" s="4"/>
      <c r="CPT253" s="9"/>
      <c r="CPU253" s="4"/>
      <c r="CPV253" s="9"/>
      <c r="CPW253" s="4"/>
      <c r="CPX253" s="9"/>
      <c r="CPY253" s="4"/>
      <c r="CPZ253" s="9"/>
      <c r="CQA253" s="4"/>
      <c r="CQB253" s="9"/>
      <c r="CQC253" s="4"/>
      <c r="CQD253" s="9"/>
      <c r="CQE253" s="4"/>
      <c r="CQF253" s="9"/>
      <c r="CQG253" s="4"/>
      <c r="CQH253" s="9"/>
      <c r="CQI253" s="4"/>
      <c r="CQJ253" s="9"/>
      <c r="CQK253" s="4"/>
      <c r="CQL253" s="9"/>
      <c r="CQM253" s="4"/>
      <c r="CQN253" s="9"/>
      <c r="CQO253" s="4"/>
      <c r="CQP253" s="9"/>
      <c r="CQQ253" s="4"/>
      <c r="CQR253" s="9"/>
      <c r="CQS253" s="4"/>
      <c r="CQT253" s="9"/>
      <c r="CQU253" s="4"/>
      <c r="CQV253" s="9"/>
      <c r="CQW253" s="4"/>
      <c r="CQX253" s="9"/>
      <c r="CQY253" s="4"/>
      <c r="CQZ253" s="9"/>
      <c r="CRA253" s="4"/>
      <c r="CRB253" s="9"/>
      <c r="CRC253" s="4"/>
      <c r="CRD253" s="9"/>
      <c r="CRE253" s="4"/>
      <c r="CRF253" s="9"/>
      <c r="CRG253" s="4"/>
      <c r="CRH253" s="9"/>
      <c r="CRI253" s="4"/>
      <c r="CRJ253" s="9"/>
      <c r="CRK253" s="4"/>
      <c r="CRL253" s="9"/>
      <c r="CRM253" s="4"/>
      <c r="CRN253" s="9"/>
      <c r="CRO253" s="4"/>
      <c r="CRP253" s="9"/>
      <c r="CRQ253" s="4"/>
      <c r="CRR253" s="9"/>
      <c r="CRS253" s="4"/>
      <c r="CRT253" s="9"/>
      <c r="CRU253" s="4"/>
      <c r="CRV253" s="9"/>
      <c r="CRW253" s="4"/>
      <c r="CRX253" s="9"/>
      <c r="CRY253" s="4"/>
      <c r="CRZ253" s="9"/>
      <c r="CSA253" s="4"/>
      <c r="CSB253" s="9"/>
      <c r="CSC253" s="4"/>
      <c r="CSD253" s="9"/>
      <c r="CSE253" s="4"/>
      <c r="CSF253" s="9"/>
      <c r="CSG253" s="4"/>
      <c r="CSH253" s="9"/>
      <c r="CSI253" s="4"/>
      <c r="CSJ253" s="9"/>
      <c r="CSK253" s="4"/>
      <c r="CSL253" s="9"/>
      <c r="CSM253" s="4"/>
      <c r="CSN253" s="9"/>
      <c r="CSO253" s="4"/>
      <c r="CSP253" s="9"/>
      <c r="CSQ253" s="4"/>
      <c r="CSR253" s="9"/>
      <c r="CSS253" s="4"/>
      <c r="CST253" s="9"/>
      <c r="CSU253" s="4"/>
      <c r="CSV253" s="9"/>
      <c r="CSW253" s="4"/>
      <c r="CSX253" s="9"/>
      <c r="CSY253" s="4"/>
      <c r="CSZ253" s="9"/>
      <c r="CTA253" s="4"/>
      <c r="CTB253" s="9"/>
      <c r="CTC253" s="4"/>
      <c r="CTD253" s="9"/>
      <c r="CTE253" s="4"/>
      <c r="CTF253" s="9"/>
      <c r="CTG253" s="4"/>
      <c r="CTH253" s="9"/>
      <c r="CTI253" s="4"/>
      <c r="CTJ253" s="9"/>
      <c r="CTK253" s="4"/>
      <c r="CTL253" s="9"/>
      <c r="CTM253" s="4"/>
      <c r="CTN253" s="9"/>
      <c r="CTO253" s="4"/>
      <c r="CTP253" s="9"/>
      <c r="CTQ253" s="4"/>
      <c r="CTR253" s="9"/>
      <c r="CTS253" s="4"/>
      <c r="CTT253" s="9"/>
      <c r="CTU253" s="4"/>
      <c r="CTV253" s="9"/>
      <c r="CTW253" s="4"/>
      <c r="CTX253" s="9"/>
      <c r="CTY253" s="4"/>
      <c r="CTZ253" s="9"/>
      <c r="CUA253" s="4"/>
      <c r="CUB253" s="9"/>
      <c r="CUC253" s="4"/>
      <c r="CUD253" s="9"/>
      <c r="CUE253" s="4"/>
      <c r="CUF253" s="9"/>
      <c r="CUG253" s="4"/>
      <c r="CUH253" s="9"/>
      <c r="CUI253" s="4"/>
      <c r="CUJ253" s="9"/>
      <c r="CUK253" s="4"/>
      <c r="CUL253" s="9"/>
      <c r="CUM253" s="4"/>
      <c r="CUN253" s="9"/>
      <c r="CUO253" s="4"/>
      <c r="CUP253" s="9"/>
      <c r="CUQ253" s="4"/>
      <c r="CUR253" s="9"/>
      <c r="CUS253" s="4"/>
      <c r="CUT253" s="9"/>
      <c r="CUU253" s="4"/>
      <c r="CUV253" s="9"/>
      <c r="CUW253" s="4"/>
      <c r="CUX253" s="9"/>
      <c r="CUY253" s="4"/>
      <c r="CUZ253" s="9"/>
      <c r="CVA253" s="4"/>
      <c r="CVB253" s="9"/>
      <c r="CVC253" s="4"/>
      <c r="CVD253" s="9"/>
      <c r="CVE253" s="4"/>
      <c r="CVF253" s="9"/>
      <c r="CVG253" s="4"/>
      <c r="CVH253" s="9"/>
      <c r="CVI253" s="4"/>
      <c r="CVJ253" s="9"/>
      <c r="CVK253" s="4"/>
      <c r="CVL253" s="9"/>
      <c r="CVM253" s="4"/>
      <c r="CVN253" s="9"/>
      <c r="CVO253" s="4"/>
      <c r="CVP253" s="9"/>
      <c r="CVQ253" s="4"/>
      <c r="CVR253" s="9"/>
      <c r="CVS253" s="4"/>
      <c r="CVT253" s="9"/>
      <c r="CVU253" s="4"/>
      <c r="CVV253" s="9"/>
      <c r="CVW253" s="4"/>
      <c r="CVX253" s="9"/>
      <c r="CVY253" s="4"/>
      <c r="CVZ253" s="9"/>
      <c r="CWA253" s="4"/>
      <c r="CWB253" s="9"/>
      <c r="CWC253" s="4"/>
      <c r="CWD253" s="9"/>
      <c r="CWE253" s="4"/>
      <c r="CWF253" s="9"/>
      <c r="CWG253" s="4"/>
      <c r="CWH253" s="9"/>
      <c r="CWI253" s="4"/>
      <c r="CWJ253" s="9"/>
      <c r="CWK253" s="4"/>
      <c r="CWL253" s="9"/>
      <c r="CWM253" s="4"/>
      <c r="CWN253" s="9"/>
      <c r="CWO253" s="4"/>
      <c r="CWP253" s="9"/>
      <c r="CWQ253" s="4"/>
      <c r="CWR253" s="9"/>
      <c r="CWS253" s="4"/>
      <c r="CWT253" s="9"/>
      <c r="CWU253" s="4"/>
      <c r="CWV253" s="9"/>
      <c r="CWW253" s="4"/>
      <c r="CWX253" s="9"/>
      <c r="CWY253" s="4"/>
      <c r="CWZ253" s="9"/>
      <c r="CXA253" s="4"/>
      <c r="CXB253" s="9"/>
      <c r="CXC253" s="4"/>
      <c r="CXD253" s="9"/>
      <c r="CXE253" s="4"/>
      <c r="CXF253" s="9"/>
      <c r="CXG253" s="4"/>
      <c r="CXH253" s="9"/>
      <c r="CXI253" s="4"/>
      <c r="CXJ253" s="9"/>
      <c r="CXK253" s="4"/>
      <c r="CXL253" s="9"/>
      <c r="CXM253" s="4"/>
      <c r="CXN253" s="9"/>
      <c r="CXO253" s="4"/>
      <c r="CXP253" s="9"/>
      <c r="CXQ253" s="4"/>
      <c r="CXR253" s="9"/>
      <c r="CXS253" s="4"/>
      <c r="CXT253" s="9"/>
      <c r="CXU253" s="4"/>
      <c r="CXV253" s="9"/>
      <c r="CXW253" s="4"/>
      <c r="CXX253" s="9"/>
      <c r="CXY253" s="4"/>
      <c r="CXZ253" s="9"/>
      <c r="CYA253" s="4"/>
      <c r="CYB253" s="9"/>
      <c r="CYC253" s="4"/>
      <c r="CYD253" s="9"/>
      <c r="CYE253" s="4"/>
      <c r="CYF253" s="9"/>
      <c r="CYG253" s="4"/>
      <c r="CYH253" s="9"/>
      <c r="CYI253" s="4"/>
      <c r="CYJ253" s="9"/>
      <c r="CYK253" s="4"/>
      <c r="CYL253" s="9"/>
      <c r="CYM253" s="4"/>
      <c r="CYN253" s="9"/>
      <c r="CYO253" s="4"/>
      <c r="CYP253" s="9"/>
      <c r="CYQ253" s="4"/>
      <c r="CYR253" s="9"/>
      <c r="CYS253" s="4"/>
      <c r="CYT253" s="9"/>
      <c r="CYU253" s="4"/>
      <c r="CYV253" s="9"/>
      <c r="CYW253" s="4"/>
      <c r="CYX253" s="9"/>
      <c r="CYY253" s="4"/>
      <c r="CYZ253" s="9"/>
      <c r="CZA253" s="4"/>
      <c r="CZB253" s="9"/>
      <c r="CZC253" s="4"/>
      <c r="CZD253" s="9"/>
      <c r="CZE253" s="4"/>
      <c r="CZF253" s="9"/>
      <c r="CZG253" s="4"/>
      <c r="CZH253" s="9"/>
      <c r="CZI253" s="4"/>
      <c r="CZJ253" s="9"/>
      <c r="CZK253" s="4"/>
      <c r="CZL253" s="9"/>
      <c r="CZM253" s="4"/>
      <c r="CZN253" s="9"/>
      <c r="CZO253" s="4"/>
      <c r="CZP253" s="9"/>
      <c r="CZQ253" s="4"/>
      <c r="CZR253" s="9"/>
      <c r="CZS253" s="4"/>
      <c r="CZT253" s="9"/>
      <c r="CZU253" s="4"/>
      <c r="CZV253" s="9"/>
      <c r="CZW253" s="4"/>
      <c r="CZX253" s="9"/>
      <c r="CZY253" s="4"/>
      <c r="CZZ253" s="9"/>
      <c r="DAA253" s="4"/>
      <c r="DAB253" s="9"/>
      <c r="DAC253" s="4"/>
      <c r="DAD253" s="9"/>
      <c r="DAE253" s="4"/>
      <c r="DAF253" s="9"/>
      <c r="DAG253" s="4"/>
      <c r="DAH253" s="9"/>
      <c r="DAI253" s="4"/>
      <c r="DAJ253" s="9"/>
      <c r="DAK253" s="4"/>
      <c r="DAL253" s="9"/>
      <c r="DAM253" s="4"/>
      <c r="DAN253" s="9"/>
      <c r="DAO253" s="4"/>
      <c r="DAP253" s="9"/>
      <c r="DAQ253" s="4"/>
      <c r="DAR253" s="9"/>
      <c r="DAS253" s="4"/>
      <c r="DAT253" s="9"/>
      <c r="DAU253" s="4"/>
      <c r="DAV253" s="9"/>
      <c r="DAW253" s="4"/>
      <c r="DAX253" s="9"/>
      <c r="DAY253" s="4"/>
      <c r="DAZ253" s="9"/>
      <c r="DBA253" s="4"/>
      <c r="DBB253" s="9"/>
      <c r="DBC253" s="4"/>
      <c r="DBD253" s="9"/>
      <c r="DBE253" s="4"/>
      <c r="DBF253" s="9"/>
      <c r="DBG253" s="4"/>
      <c r="DBH253" s="9"/>
      <c r="DBI253" s="4"/>
      <c r="DBJ253" s="9"/>
      <c r="DBK253" s="4"/>
      <c r="DBL253" s="9"/>
      <c r="DBM253" s="4"/>
      <c r="DBN253" s="9"/>
      <c r="DBO253" s="4"/>
      <c r="DBP253" s="9"/>
      <c r="DBQ253" s="4"/>
      <c r="DBR253" s="9"/>
      <c r="DBS253" s="4"/>
      <c r="DBT253" s="9"/>
      <c r="DBU253" s="4"/>
      <c r="DBV253" s="9"/>
      <c r="DBW253" s="4"/>
      <c r="DBX253" s="9"/>
      <c r="DBY253" s="4"/>
      <c r="DBZ253" s="9"/>
      <c r="DCA253" s="4"/>
      <c r="DCB253" s="9"/>
      <c r="DCC253" s="4"/>
      <c r="DCD253" s="9"/>
      <c r="DCE253" s="4"/>
      <c r="DCF253" s="9"/>
      <c r="DCG253" s="4"/>
      <c r="DCH253" s="9"/>
      <c r="DCI253" s="4"/>
      <c r="DCJ253" s="9"/>
      <c r="DCK253" s="4"/>
      <c r="DCL253" s="9"/>
      <c r="DCM253" s="4"/>
      <c r="DCN253" s="9"/>
      <c r="DCO253" s="4"/>
      <c r="DCP253" s="9"/>
      <c r="DCQ253" s="4"/>
      <c r="DCR253" s="9"/>
      <c r="DCS253" s="4"/>
      <c r="DCT253" s="9"/>
      <c r="DCU253" s="4"/>
      <c r="DCV253" s="9"/>
      <c r="DCW253" s="4"/>
      <c r="DCX253" s="9"/>
      <c r="DCY253" s="4"/>
      <c r="DCZ253" s="9"/>
      <c r="DDA253" s="4"/>
      <c r="DDB253" s="9"/>
      <c r="DDC253" s="4"/>
      <c r="DDD253" s="9"/>
      <c r="DDE253" s="4"/>
      <c r="DDF253" s="9"/>
      <c r="DDG253" s="4"/>
      <c r="DDH253" s="9"/>
      <c r="DDI253" s="4"/>
      <c r="DDJ253" s="9"/>
      <c r="DDK253" s="4"/>
      <c r="DDL253" s="9"/>
      <c r="DDM253" s="4"/>
      <c r="DDN253" s="9"/>
      <c r="DDO253" s="4"/>
      <c r="DDP253" s="9"/>
      <c r="DDQ253" s="4"/>
      <c r="DDR253" s="9"/>
      <c r="DDS253" s="4"/>
      <c r="DDT253" s="9"/>
      <c r="DDU253" s="4"/>
      <c r="DDV253" s="9"/>
      <c r="DDW253" s="4"/>
      <c r="DDX253" s="9"/>
      <c r="DDY253" s="4"/>
      <c r="DDZ253" s="9"/>
      <c r="DEA253" s="4"/>
      <c r="DEB253" s="9"/>
      <c r="DEC253" s="4"/>
      <c r="DED253" s="9"/>
      <c r="DEE253" s="4"/>
      <c r="DEF253" s="9"/>
      <c r="DEG253" s="4"/>
      <c r="DEH253" s="9"/>
      <c r="DEI253" s="4"/>
      <c r="DEJ253" s="9"/>
      <c r="DEK253" s="4"/>
      <c r="DEL253" s="9"/>
      <c r="DEM253" s="4"/>
      <c r="DEN253" s="9"/>
      <c r="DEO253" s="4"/>
      <c r="DEP253" s="9"/>
      <c r="DEQ253" s="4"/>
      <c r="DER253" s="9"/>
      <c r="DES253" s="4"/>
      <c r="DET253" s="9"/>
      <c r="DEU253" s="4"/>
      <c r="DEV253" s="9"/>
      <c r="DEW253" s="4"/>
      <c r="DEX253" s="9"/>
      <c r="DEY253" s="4"/>
      <c r="DEZ253" s="9"/>
      <c r="DFA253" s="4"/>
      <c r="DFB253" s="9"/>
      <c r="DFC253" s="4"/>
      <c r="DFD253" s="9"/>
      <c r="DFE253" s="4"/>
      <c r="DFF253" s="9"/>
      <c r="DFG253" s="4"/>
      <c r="DFH253" s="9"/>
      <c r="DFI253" s="4"/>
      <c r="DFJ253" s="9"/>
      <c r="DFK253" s="4"/>
      <c r="DFL253" s="9"/>
      <c r="DFM253" s="4"/>
      <c r="DFN253" s="9"/>
      <c r="DFO253" s="4"/>
      <c r="DFP253" s="9"/>
      <c r="DFQ253" s="4"/>
      <c r="DFR253" s="9"/>
      <c r="DFS253" s="4"/>
      <c r="DFT253" s="9"/>
      <c r="DFU253" s="4"/>
      <c r="DFV253" s="9"/>
      <c r="DFW253" s="4"/>
      <c r="DFX253" s="9"/>
      <c r="DFY253" s="4"/>
      <c r="DFZ253" s="9"/>
      <c r="DGA253" s="4"/>
      <c r="DGB253" s="9"/>
      <c r="DGC253" s="4"/>
      <c r="DGD253" s="9"/>
      <c r="DGE253" s="4"/>
      <c r="DGF253" s="9"/>
      <c r="DGG253" s="4"/>
      <c r="DGH253" s="9"/>
      <c r="DGI253" s="4"/>
      <c r="DGJ253" s="9"/>
      <c r="DGK253" s="4"/>
      <c r="DGL253" s="9"/>
      <c r="DGM253" s="4"/>
      <c r="DGN253" s="9"/>
      <c r="DGO253" s="4"/>
      <c r="DGP253" s="9"/>
      <c r="DGQ253" s="4"/>
      <c r="DGR253" s="9"/>
      <c r="DGS253" s="4"/>
      <c r="DGT253" s="9"/>
      <c r="DGU253" s="4"/>
      <c r="DGV253" s="9"/>
      <c r="DGW253" s="4"/>
      <c r="DGX253" s="9"/>
      <c r="DGY253" s="4"/>
      <c r="DGZ253" s="9"/>
      <c r="DHA253" s="4"/>
      <c r="DHB253" s="9"/>
      <c r="DHC253" s="4"/>
      <c r="DHD253" s="9"/>
      <c r="DHE253" s="4"/>
      <c r="DHF253" s="9"/>
      <c r="DHG253" s="4"/>
      <c r="DHH253" s="9"/>
      <c r="DHI253" s="4"/>
      <c r="DHJ253" s="9"/>
      <c r="DHK253" s="4"/>
      <c r="DHL253" s="9"/>
      <c r="DHM253" s="4"/>
      <c r="DHN253" s="9"/>
      <c r="DHO253" s="4"/>
      <c r="DHP253" s="9"/>
      <c r="DHQ253" s="4"/>
      <c r="DHR253" s="9"/>
      <c r="DHS253" s="4"/>
      <c r="DHT253" s="9"/>
      <c r="DHU253" s="4"/>
      <c r="DHV253" s="9"/>
      <c r="DHW253" s="4"/>
      <c r="DHX253" s="9"/>
      <c r="DHY253" s="4"/>
      <c r="DHZ253" s="9"/>
      <c r="DIA253" s="4"/>
      <c r="DIB253" s="9"/>
      <c r="DIC253" s="4"/>
      <c r="DID253" s="9"/>
      <c r="DIE253" s="4"/>
      <c r="DIF253" s="9"/>
      <c r="DIG253" s="4"/>
      <c r="DIH253" s="9"/>
      <c r="DII253" s="4"/>
      <c r="DIJ253" s="9"/>
      <c r="DIK253" s="4"/>
      <c r="DIL253" s="9"/>
      <c r="DIM253" s="4"/>
      <c r="DIN253" s="9"/>
      <c r="DIO253" s="4"/>
      <c r="DIP253" s="9"/>
      <c r="DIQ253" s="4"/>
      <c r="DIR253" s="9"/>
      <c r="DIS253" s="4"/>
      <c r="DIT253" s="9"/>
      <c r="DIU253" s="4"/>
      <c r="DIV253" s="9"/>
      <c r="DIW253" s="4"/>
      <c r="DIX253" s="9"/>
      <c r="DIY253" s="4"/>
      <c r="DIZ253" s="9"/>
      <c r="DJA253" s="4"/>
      <c r="DJB253" s="9"/>
      <c r="DJC253" s="4"/>
      <c r="DJD253" s="9"/>
      <c r="DJE253" s="4"/>
      <c r="DJF253" s="9"/>
      <c r="DJG253" s="4"/>
      <c r="DJH253" s="9"/>
      <c r="DJI253" s="4"/>
      <c r="DJJ253" s="9"/>
      <c r="DJK253" s="4"/>
      <c r="DJL253" s="9"/>
      <c r="DJM253" s="4"/>
      <c r="DJN253" s="9"/>
      <c r="DJO253" s="4"/>
      <c r="DJP253" s="9"/>
      <c r="DJQ253" s="4"/>
      <c r="DJR253" s="9"/>
      <c r="DJS253" s="4"/>
      <c r="DJT253" s="9"/>
      <c r="DJU253" s="4"/>
      <c r="DJV253" s="9"/>
      <c r="DJW253" s="4"/>
      <c r="DJX253" s="9"/>
      <c r="DJY253" s="4"/>
      <c r="DJZ253" s="9"/>
      <c r="DKA253" s="4"/>
      <c r="DKB253" s="9"/>
      <c r="DKC253" s="4"/>
      <c r="DKD253" s="9"/>
      <c r="DKE253" s="4"/>
      <c r="DKF253" s="9"/>
      <c r="DKG253" s="4"/>
      <c r="DKH253" s="9"/>
      <c r="DKI253" s="4"/>
      <c r="DKJ253" s="9"/>
      <c r="DKK253" s="4"/>
      <c r="DKL253" s="9"/>
      <c r="DKM253" s="4"/>
      <c r="DKN253" s="9"/>
      <c r="DKO253" s="4"/>
      <c r="DKP253" s="9"/>
      <c r="DKQ253" s="4"/>
      <c r="DKR253" s="9"/>
      <c r="DKS253" s="4"/>
      <c r="DKT253" s="9"/>
      <c r="DKU253" s="4"/>
      <c r="DKV253" s="9"/>
      <c r="DKW253" s="4"/>
      <c r="DKX253" s="9"/>
      <c r="DKY253" s="4"/>
      <c r="DKZ253" s="9"/>
      <c r="DLA253" s="4"/>
      <c r="DLB253" s="9"/>
      <c r="DLC253" s="4"/>
      <c r="DLD253" s="9"/>
      <c r="DLE253" s="4"/>
      <c r="DLF253" s="9"/>
      <c r="DLG253" s="4"/>
      <c r="DLH253" s="9"/>
      <c r="DLI253" s="4"/>
      <c r="DLJ253" s="9"/>
      <c r="DLK253" s="4"/>
      <c r="DLL253" s="9"/>
      <c r="DLM253" s="4"/>
      <c r="DLN253" s="9"/>
      <c r="DLO253" s="4"/>
      <c r="DLP253" s="9"/>
      <c r="DLQ253" s="4"/>
      <c r="DLR253" s="9"/>
      <c r="DLS253" s="4"/>
      <c r="DLT253" s="9"/>
      <c r="DLU253" s="4"/>
      <c r="DLV253" s="9"/>
      <c r="DLW253" s="4"/>
      <c r="DLX253" s="9"/>
      <c r="DLY253" s="4"/>
      <c r="DLZ253" s="9"/>
      <c r="DMA253" s="4"/>
      <c r="DMB253" s="9"/>
      <c r="DMC253" s="4"/>
      <c r="DMD253" s="9"/>
      <c r="DME253" s="4"/>
      <c r="DMF253" s="9"/>
      <c r="DMG253" s="4"/>
      <c r="DMH253" s="9"/>
      <c r="DMI253" s="4"/>
      <c r="DMJ253" s="9"/>
      <c r="DMK253" s="4"/>
      <c r="DML253" s="9"/>
      <c r="DMM253" s="4"/>
      <c r="DMN253" s="9"/>
      <c r="DMO253" s="4"/>
      <c r="DMP253" s="9"/>
      <c r="DMQ253" s="4"/>
      <c r="DMR253" s="9"/>
      <c r="DMS253" s="4"/>
      <c r="DMT253" s="9"/>
      <c r="DMU253" s="4"/>
      <c r="DMV253" s="9"/>
      <c r="DMW253" s="4"/>
      <c r="DMX253" s="9"/>
      <c r="DMY253" s="4"/>
      <c r="DMZ253" s="9"/>
      <c r="DNA253" s="4"/>
      <c r="DNB253" s="9"/>
      <c r="DNC253" s="4"/>
      <c r="DND253" s="9"/>
      <c r="DNE253" s="4"/>
      <c r="DNF253" s="9"/>
      <c r="DNG253" s="4"/>
      <c r="DNH253" s="9"/>
      <c r="DNI253" s="4"/>
      <c r="DNJ253" s="9"/>
      <c r="DNK253" s="4"/>
      <c r="DNL253" s="9"/>
      <c r="DNM253" s="4"/>
      <c r="DNN253" s="9"/>
      <c r="DNO253" s="4"/>
      <c r="DNP253" s="9"/>
      <c r="DNQ253" s="4"/>
      <c r="DNR253" s="9"/>
      <c r="DNS253" s="4"/>
      <c r="DNT253" s="9"/>
      <c r="DNU253" s="4"/>
      <c r="DNV253" s="9"/>
      <c r="DNW253" s="4"/>
      <c r="DNX253" s="9"/>
      <c r="DNY253" s="4"/>
      <c r="DNZ253" s="9"/>
      <c r="DOA253" s="4"/>
      <c r="DOB253" s="9"/>
      <c r="DOC253" s="4"/>
      <c r="DOD253" s="9"/>
      <c r="DOE253" s="4"/>
      <c r="DOF253" s="9"/>
      <c r="DOG253" s="4"/>
      <c r="DOH253" s="9"/>
      <c r="DOI253" s="4"/>
      <c r="DOJ253" s="9"/>
      <c r="DOK253" s="4"/>
      <c r="DOL253" s="9"/>
      <c r="DOM253" s="4"/>
      <c r="DON253" s="9"/>
      <c r="DOO253" s="4"/>
      <c r="DOP253" s="9"/>
      <c r="DOQ253" s="4"/>
      <c r="DOR253" s="9"/>
      <c r="DOS253" s="4"/>
      <c r="DOT253" s="9"/>
      <c r="DOU253" s="4"/>
      <c r="DOV253" s="9"/>
      <c r="DOW253" s="4"/>
      <c r="DOX253" s="9"/>
      <c r="DOY253" s="4"/>
      <c r="DOZ253" s="9"/>
      <c r="DPA253" s="4"/>
      <c r="DPB253" s="9"/>
      <c r="DPC253" s="4"/>
      <c r="DPD253" s="9"/>
      <c r="DPE253" s="4"/>
      <c r="DPF253" s="9"/>
      <c r="DPG253" s="4"/>
      <c r="DPH253" s="9"/>
      <c r="DPI253" s="4"/>
      <c r="DPJ253" s="9"/>
      <c r="DPK253" s="4"/>
      <c r="DPL253" s="9"/>
      <c r="DPM253" s="4"/>
      <c r="DPN253" s="9"/>
      <c r="DPO253" s="4"/>
      <c r="DPP253" s="9"/>
      <c r="DPQ253" s="4"/>
      <c r="DPR253" s="9"/>
      <c r="DPS253" s="4"/>
      <c r="DPT253" s="9"/>
      <c r="DPU253" s="4"/>
      <c r="DPV253" s="9"/>
      <c r="DPW253" s="4"/>
      <c r="DPX253" s="9"/>
      <c r="DPY253" s="4"/>
      <c r="DPZ253" s="9"/>
      <c r="DQA253" s="4"/>
      <c r="DQB253" s="9"/>
      <c r="DQC253" s="4"/>
      <c r="DQD253" s="9"/>
      <c r="DQE253" s="4"/>
      <c r="DQF253" s="9"/>
      <c r="DQG253" s="4"/>
      <c r="DQH253" s="9"/>
      <c r="DQI253" s="4"/>
      <c r="DQJ253" s="9"/>
      <c r="DQK253" s="4"/>
      <c r="DQL253" s="9"/>
      <c r="DQM253" s="4"/>
      <c r="DQN253" s="9"/>
      <c r="DQO253" s="4"/>
      <c r="DQP253" s="9"/>
      <c r="DQQ253" s="4"/>
      <c r="DQR253" s="9"/>
      <c r="DQS253" s="4"/>
      <c r="DQT253" s="9"/>
      <c r="DQU253" s="4"/>
      <c r="DQV253" s="9"/>
      <c r="DQW253" s="4"/>
      <c r="DQX253" s="9"/>
      <c r="DQY253" s="4"/>
      <c r="DQZ253" s="9"/>
      <c r="DRA253" s="4"/>
      <c r="DRB253" s="9"/>
      <c r="DRC253" s="4"/>
      <c r="DRD253" s="9"/>
      <c r="DRE253" s="4"/>
      <c r="DRF253" s="9"/>
      <c r="DRG253" s="4"/>
      <c r="DRH253" s="9"/>
      <c r="DRI253" s="4"/>
      <c r="DRJ253" s="9"/>
      <c r="DRK253" s="4"/>
      <c r="DRL253" s="9"/>
      <c r="DRM253" s="4"/>
      <c r="DRN253" s="9"/>
      <c r="DRO253" s="4"/>
      <c r="DRP253" s="9"/>
      <c r="DRQ253" s="4"/>
      <c r="DRR253" s="9"/>
      <c r="DRS253" s="4"/>
      <c r="DRT253" s="9"/>
      <c r="DRU253" s="4"/>
      <c r="DRV253" s="9"/>
      <c r="DRW253" s="4"/>
      <c r="DRX253" s="9"/>
      <c r="DRY253" s="4"/>
      <c r="DRZ253" s="9"/>
      <c r="DSA253" s="4"/>
      <c r="DSB253" s="9"/>
      <c r="DSC253" s="4"/>
      <c r="DSD253" s="9"/>
      <c r="DSE253" s="4"/>
      <c r="DSF253" s="9"/>
      <c r="DSG253" s="4"/>
      <c r="DSH253" s="9"/>
      <c r="DSI253" s="4"/>
      <c r="DSJ253" s="9"/>
      <c r="DSK253" s="4"/>
      <c r="DSL253" s="9"/>
      <c r="DSM253" s="4"/>
      <c r="DSN253" s="9"/>
      <c r="DSO253" s="4"/>
      <c r="DSP253" s="9"/>
      <c r="DSQ253" s="4"/>
      <c r="DSR253" s="9"/>
      <c r="DSS253" s="4"/>
      <c r="DST253" s="9"/>
      <c r="DSU253" s="4"/>
      <c r="DSV253" s="9"/>
      <c r="DSW253" s="4"/>
      <c r="DSX253" s="9"/>
      <c r="DSY253" s="4"/>
      <c r="DSZ253" s="9"/>
      <c r="DTA253" s="4"/>
      <c r="DTB253" s="9"/>
      <c r="DTC253" s="4"/>
      <c r="DTD253" s="9"/>
      <c r="DTE253" s="4"/>
      <c r="DTF253" s="9"/>
      <c r="DTG253" s="4"/>
      <c r="DTH253" s="9"/>
      <c r="DTI253" s="4"/>
      <c r="DTJ253" s="9"/>
      <c r="DTK253" s="4"/>
      <c r="DTL253" s="9"/>
      <c r="DTM253" s="4"/>
      <c r="DTN253" s="9"/>
      <c r="DTO253" s="4"/>
      <c r="DTP253" s="9"/>
      <c r="DTQ253" s="4"/>
      <c r="DTR253" s="9"/>
      <c r="DTS253" s="4"/>
      <c r="DTT253" s="9"/>
      <c r="DTU253" s="4"/>
      <c r="DTV253" s="9"/>
      <c r="DTW253" s="4"/>
      <c r="DTX253" s="9"/>
      <c r="DTY253" s="4"/>
      <c r="DTZ253" s="9"/>
      <c r="DUA253" s="4"/>
      <c r="DUB253" s="9"/>
      <c r="DUC253" s="4"/>
      <c r="DUD253" s="9"/>
      <c r="DUE253" s="4"/>
      <c r="DUF253" s="9"/>
      <c r="DUG253" s="4"/>
      <c r="DUH253" s="9"/>
      <c r="DUI253" s="4"/>
      <c r="DUJ253" s="9"/>
      <c r="DUK253" s="4"/>
      <c r="DUL253" s="9"/>
      <c r="DUM253" s="4"/>
      <c r="DUN253" s="9"/>
      <c r="DUO253" s="4"/>
      <c r="DUP253" s="9"/>
      <c r="DUQ253" s="4"/>
      <c r="DUR253" s="9"/>
      <c r="DUS253" s="4"/>
      <c r="DUT253" s="9"/>
      <c r="DUU253" s="4"/>
      <c r="DUV253" s="9"/>
      <c r="DUW253" s="4"/>
      <c r="DUX253" s="9"/>
      <c r="DUY253" s="4"/>
      <c r="DUZ253" s="9"/>
      <c r="DVA253" s="4"/>
      <c r="DVB253" s="9"/>
      <c r="DVC253" s="4"/>
      <c r="DVD253" s="9"/>
      <c r="DVE253" s="4"/>
      <c r="DVF253" s="9"/>
      <c r="DVG253" s="4"/>
      <c r="DVH253" s="9"/>
      <c r="DVI253" s="4"/>
      <c r="DVJ253" s="9"/>
      <c r="DVK253" s="4"/>
      <c r="DVL253" s="9"/>
      <c r="DVM253" s="4"/>
      <c r="DVN253" s="9"/>
      <c r="DVO253" s="4"/>
      <c r="DVP253" s="9"/>
      <c r="DVQ253" s="4"/>
      <c r="DVR253" s="9"/>
      <c r="DVS253" s="4"/>
      <c r="DVT253" s="9"/>
      <c r="DVU253" s="4"/>
      <c r="DVV253" s="9"/>
      <c r="DVW253" s="4"/>
      <c r="DVX253" s="9"/>
      <c r="DVY253" s="4"/>
      <c r="DVZ253" s="9"/>
      <c r="DWA253" s="4"/>
      <c r="DWB253" s="9"/>
      <c r="DWC253" s="4"/>
      <c r="DWD253" s="9"/>
      <c r="DWE253" s="4"/>
      <c r="DWF253" s="9"/>
      <c r="DWG253" s="4"/>
      <c r="DWH253" s="9"/>
      <c r="DWI253" s="4"/>
      <c r="DWJ253" s="9"/>
      <c r="DWK253" s="4"/>
      <c r="DWL253" s="9"/>
      <c r="DWM253" s="4"/>
      <c r="DWN253" s="9"/>
      <c r="DWO253" s="4"/>
      <c r="DWP253" s="9"/>
      <c r="DWQ253" s="4"/>
      <c r="DWR253" s="9"/>
      <c r="DWS253" s="4"/>
      <c r="DWT253" s="9"/>
      <c r="DWU253" s="4"/>
      <c r="DWV253" s="9"/>
      <c r="DWW253" s="4"/>
      <c r="DWX253" s="9"/>
      <c r="DWY253" s="4"/>
      <c r="DWZ253" s="9"/>
      <c r="DXA253" s="4"/>
      <c r="DXB253" s="9"/>
      <c r="DXC253" s="4"/>
      <c r="DXD253" s="9"/>
      <c r="DXE253" s="4"/>
      <c r="DXF253" s="9"/>
      <c r="DXG253" s="4"/>
      <c r="DXH253" s="9"/>
      <c r="DXI253" s="4"/>
      <c r="DXJ253" s="9"/>
      <c r="DXK253" s="4"/>
      <c r="DXL253" s="9"/>
      <c r="DXM253" s="4"/>
      <c r="DXN253" s="9"/>
      <c r="DXO253" s="4"/>
      <c r="DXP253" s="9"/>
      <c r="DXQ253" s="4"/>
      <c r="DXR253" s="9"/>
      <c r="DXS253" s="4"/>
      <c r="DXT253" s="9"/>
      <c r="DXU253" s="4"/>
      <c r="DXV253" s="9"/>
      <c r="DXW253" s="4"/>
      <c r="DXX253" s="9"/>
      <c r="DXY253" s="4"/>
      <c r="DXZ253" s="9"/>
      <c r="DYA253" s="4"/>
      <c r="DYB253" s="9"/>
      <c r="DYC253" s="4"/>
      <c r="DYD253" s="9"/>
      <c r="DYE253" s="4"/>
      <c r="DYF253" s="9"/>
      <c r="DYG253" s="4"/>
      <c r="DYH253" s="9"/>
      <c r="DYI253" s="4"/>
      <c r="DYJ253" s="9"/>
      <c r="DYK253" s="4"/>
      <c r="DYL253" s="9"/>
      <c r="DYM253" s="4"/>
      <c r="DYN253" s="9"/>
      <c r="DYO253" s="4"/>
      <c r="DYP253" s="9"/>
      <c r="DYQ253" s="4"/>
      <c r="DYR253" s="9"/>
      <c r="DYS253" s="4"/>
      <c r="DYT253" s="9"/>
      <c r="DYU253" s="4"/>
      <c r="DYV253" s="9"/>
      <c r="DYW253" s="4"/>
      <c r="DYX253" s="9"/>
      <c r="DYY253" s="4"/>
      <c r="DYZ253" s="9"/>
      <c r="DZA253" s="4"/>
      <c r="DZB253" s="9"/>
      <c r="DZC253" s="4"/>
      <c r="DZD253" s="9"/>
      <c r="DZE253" s="4"/>
      <c r="DZF253" s="9"/>
      <c r="DZG253" s="4"/>
      <c r="DZH253" s="9"/>
      <c r="DZI253" s="4"/>
      <c r="DZJ253" s="9"/>
      <c r="DZK253" s="4"/>
      <c r="DZL253" s="9"/>
      <c r="DZM253" s="4"/>
      <c r="DZN253" s="9"/>
      <c r="DZO253" s="4"/>
      <c r="DZP253" s="9"/>
      <c r="DZQ253" s="4"/>
      <c r="DZR253" s="9"/>
      <c r="DZS253" s="4"/>
      <c r="DZT253" s="9"/>
      <c r="DZU253" s="4"/>
      <c r="DZV253" s="9"/>
      <c r="DZW253" s="4"/>
      <c r="DZX253" s="9"/>
      <c r="DZY253" s="4"/>
      <c r="DZZ253" s="9"/>
      <c r="EAA253" s="4"/>
      <c r="EAB253" s="9"/>
      <c r="EAC253" s="4"/>
      <c r="EAD253" s="9"/>
      <c r="EAE253" s="4"/>
      <c r="EAF253" s="9"/>
      <c r="EAG253" s="4"/>
      <c r="EAH253" s="9"/>
      <c r="EAI253" s="4"/>
      <c r="EAJ253" s="9"/>
      <c r="EAK253" s="4"/>
      <c r="EAL253" s="9"/>
      <c r="EAM253" s="4"/>
      <c r="EAN253" s="9"/>
      <c r="EAO253" s="4"/>
      <c r="EAP253" s="9"/>
      <c r="EAQ253" s="4"/>
      <c r="EAR253" s="9"/>
      <c r="EAS253" s="4"/>
      <c r="EAT253" s="9"/>
      <c r="EAU253" s="4"/>
      <c r="EAV253" s="9"/>
      <c r="EAW253" s="4"/>
      <c r="EAX253" s="9"/>
      <c r="EAY253" s="4"/>
      <c r="EAZ253" s="9"/>
      <c r="EBA253" s="4"/>
      <c r="EBB253" s="9"/>
      <c r="EBC253" s="4"/>
      <c r="EBD253" s="9"/>
      <c r="EBE253" s="4"/>
      <c r="EBF253" s="9"/>
      <c r="EBG253" s="4"/>
      <c r="EBH253" s="9"/>
      <c r="EBI253" s="4"/>
      <c r="EBJ253" s="9"/>
      <c r="EBK253" s="4"/>
      <c r="EBL253" s="9"/>
      <c r="EBM253" s="4"/>
      <c r="EBN253" s="9"/>
      <c r="EBO253" s="4"/>
      <c r="EBP253" s="9"/>
      <c r="EBQ253" s="4"/>
      <c r="EBR253" s="9"/>
      <c r="EBS253" s="4"/>
      <c r="EBT253" s="9"/>
      <c r="EBU253" s="4"/>
      <c r="EBV253" s="9"/>
      <c r="EBW253" s="4"/>
      <c r="EBX253" s="9"/>
      <c r="EBY253" s="4"/>
      <c r="EBZ253" s="9"/>
      <c r="ECA253" s="4"/>
      <c r="ECB253" s="9"/>
      <c r="ECC253" s="4"/>
      <c r="ECD253" s="9"/>
      <c r="ECE253" s="4"/>
      <c r="ECF253" s="9"/>
      <c r="ECG253" s="4"/>
      <c r="ECH253" s="9"/>
      <c r="ECI253" s="4"/>
      <c r="ECJ253" s="9"/>
      <c r="ECK253" s="4"/>
      <c r="ECL253" s="9"/>
      <c r="ECM253" s="4"/>
      <c r="ECN253" s="9"/>
      <c r="ECO253" s="4"/>
      <c r="ECP253" s="9"/>
      <c r="ECQ253" s="4"/>
      <c r="ECR253" s="9"/>
      <c r="ECS253" s="4"/>
      <c r="ECT253" s="9"/>
      <c r="ECU253" s="4"/>
      <c r="ECV253" s="9"/>
      <c r="ECW253" s="4"/>
      <c r="ECX253" s="9"/>
      <c r="ECY253" s="4"/>
      <c r="ECZ253" s="9"/>
      <c r="EDA253" s="4"/>
      <c r="EDB253" s="9"/>
      <c r="EDC253" s="4"/>
      <c r="EDD253" s="9"/>
      <c r="EDE253" s="4"/>
      <c r="EDF253" s="9"/>
      <c r="EDG253" s="4"/>
      <c r="EDH253" s="9"/>
      <c r="EDI253" s="4"/>
      <c r="EDJ253" s="9"/>
      <c r="EDK253" s="4"/>
      <c r="EDL253" s="9"/>
      <c r="EDM253" s="4"/>
      <c r="EDN253" s="9"/>
      <c r="EDO253" s="4"/>
      <c r="EDP253" s="9"/>
      <c r="EDQ253" s="4"/>
      <c r="EDR253" s="9"/>
      <c r="EDS253" s="4"/>
      <c r="EDT253" s="9"/>
      <c r="EDU253" s="4"/>
      <c r="EDV253" s="9"/>
      <c r="EDW253" s="4"/>
      <c r="EDX253" s="9"/>
      <c r="EDY253" s="4"/>
      <c r="EDZ253" s="9"/>
      <c r="EEA253" s="4"/>
      <c r="EEB253" s="9"/>
      <c r="EEC253" s="4"/>
      <c r="EED253" s="9"/>
      <c r="EEE253" s="4"/>
      <c r="EEF253" s="9"/>
      <c r="EEG253" s="4"/>
      <c r="EEH253" s="9"/>
      <c r="EEI253" s="4"/>
      <c r="EEJ253" s="9"/>
      <c r="EEK253" s="4"/>
      <c r="EEL253" s="9"/>
      <c r="EEM253" s="4"/>
      <c r="EEN253" s="9"/>
      <c r="EEO253" s="4"/>
      <c r="EEP253" s="9"/>
      <c r="EEQ253" s="4"/>
      <c r="EER253" s="9"/>
      <c r="EES253" s="4"/>
      <c r="EET253" s="9"/>
      <c r="EEU253" s="4"/>
      <c r="EEV253" s="9"/>
      <c r="EEW253" s="4"/>
      <c r="EEX253" s="9"/>
      <c r="EEY253" s="4"/>
      <c r="EEZ253" s="9"/>
      <c r="EFA253" s="4"/>
      <c r="EFB253" s="9"/>
      <c r="EFC253" s="4"/>
      <c r="EFD253" s="9"/>
      <c r="EFE253" s="4"/>
      <c r="EFF253" s="9"/>
      <c r="EFG253" s="4"/>
      <c r="EFH253" s="9"/>
      <c r="EFI253" s="4"/>
      <c r="EFJ253" s="9"/>
      <c r="EFK253" s="4"/>
      <c r="EFL253" s="9"/>
      <c r="EFM253" s="4"/>
      <c r="EFN253" s="9"/>
      <c r="EFO253" s="4"/>
      <c r="EFP253" s="9"/>
      <c r="EFQ253" s="4"/>
      <c r="EFR253" s="9"/>
      <c r="EFS253" s="4"/>
      <c r="EFT253" s="9"/>
      <c r="EFU253" s="4"/>
      <c r="EFV253" s="9"/>
      <c r="EFW253" s="4"/>
      <c r="EFX253" s="9"/>
      <c r="EFY253" s="4"/>
      <c r="EFZ253" s="9"/>
      <c r="EGA253" s="4"/>
      <c r="EGB253" s="9"/>
      <c r="EGC253" s="4"/>
      <c r="EGD253" s="9"/>
      <c r="EGE253" s="4"/>
      <c r="EGF253" s="9"/>
      <c r="EGG253" s="4"/>
      <c r="EGH253" s="9"/>
      <c r="EGI253" s="4"/>
      <c r="EGJ253" s="9"/>
      <c r="EGK253" s="4"/>
      <c r="EGL253" s="9"/>
      <c r="EGM253" s="4"/>
      <c r="EGN253" s="9"/>
      <c r="EGO253" s="4"/>
      <c r="EGP253" s="9"/>
      <c r="EGQ253" s="4"/>
      <c r="EGR253" s="9"/>
      <c r="EGS253" s="4"/>
      <c r="EGT253" s="9"/>
      <c r="EGU253" s="4"/>
      <c r="EGV253" s="9"/>
      <c r="EGW253" s="4"/>
      <c r="EGX253" s="9"/>
      <c r="EGY253" s="4"/>
      <c r="EGZ253" s="9"/>
      <c r="EHA253" s="4"/>
      <c r="EHB253" s="9"/>
      <c r="EHC253" s="4"/>
      <c r="EHD253" s="9"/>
      <c r="EHE253" s="4"/>
      <c r="EHF253" s="9"/>
      <c r="EHG253" s="4"/>
      <c r="EHH253" s="9"/>
      <c r="EHI253" s="4"/>
      <c r="EHJ253" s="9"/>
      <c r="EHK253" s="4"/>
      <c r="EHL253" s="9"/>
      <c r="EHM253" s="4"/>
      <c r="EHN253" s="9"/>
      <c r="EHO253" s="4"/>
      <c r="EHP253" s="9"/>
      <c r="EHQ253" s="4"/>
      <c r="EHR253" s="9"/>
      <c r="EHS253" s="4"/>
      <c r="EHT253" s="9"/>
      <c r="EHU253" s="4"/>
      <c r="EHV253" s="9"/>
      <c r="EHW253" s="4"/>
      <c r="EHX253" s="9"/>
      <c r="EHY253" s="4"/>
      <c r="EHZ253" s="9"/>
      <c r="EIA253" s="4"/>
      <c r="EIB253" s="9"/>
      <c r="EIC253" s="4"/>
      <c r="EID253" s="9"/>
      <c r="EIE253" s="4"/>
      <c r="EIF253" s="9"/>
      <c r="EIG253" s="4"/>
      <c r="EIH253" s="9"/>
      <c r="EII253" s="4"/>
      <c r="EIJ253" s="9"/>
      <c r="EIK253" s="4"/>
      <c r="EIL253" s="9"/>
      <c r="EIM253" s="4"/>
      <c r="EIN253" s="9"/>
      <c r="EIO253" s="4"/>
      <c r="EIP253" s="9"/>
      <c r="EIQ253" s="4"/>
      <c r="EIR253" s="9"/>
      <c r="EIS253" s="4"/>
      <c r="EIT253" s="9"/>
      <c r="EIU253" s="4"/>
      <c r="EIV253" s="9"/>
      <c r="EIW253" s="4"/>
      <c r="EIX253" s="9"/>
      <c r="EIY253" s="4"/>
      <c r="EIZ253" s="9"/>
      <c r="EJA253" s="4"/>
      <c r="EJB253" s="9"/>
      <c r="EJC253" s="4"/>
      <c r="EJD253" s="9"/>
      <c r="EJE253" s="4"/>
      <c r="EJF253" s="9"/>
      <c r="EJG253" s="4"/>
      <c r="EJH253" s="9"/>
      <c r="EJI253" s="4"/>
      <c r="EJJ253" s="9"/>
      <c r="EJK253" s="4"/>
      <c r="EJL253" s="9"/>
      <c r="EJM253" s="4"/>
      <c r="EJN253" s="9"/>
      <c r="EJO253" s="4"/>
      <c r="EJP253" s="9"/>
      <c r="EJQ253" s="4"/>
      <c r="EJR253" s="9"/>
      <c r="EJS253" s="4"/>
      <c r="EJT253" s="9"/>
      <c r="EJU253" s="4"/>
      <c r="EJV253" s="9"/>
      <c r="EJW253" s="4"/>
      <c r="EJX253" s="9"/>
      <c r="EJY253" s="4"/>
      <c r="EJZ253" s="9"/>
      <c r="EKA253" s="4"/>
      <c r="EKB253" s="9"/>
      <c r="EKC253" s="4"/>
      <c r="EKD253" s="9"/>
      <c r="EKE253" s="4"/>
      <c r="EKF253" s="9"/>
      <c r="EKG253" s="4"/>
      <c r="EKH253" s="9"/>
      <c r="EKI253" s="4"/>
      <c r="EKJ253" s="9"/>
      <c r="EKK253" s="4"/>
      <c r="EKL253" s="9"/>
      <c r="EKM253" s="4"/>
      <c r="EKN253" s="9"/>
      <c r="EKO253" s="4"/>
      <c r="EKP253" s="9"/>
      <c r="EKQ253" s="4"/>
      <c r="EKR253" s="9"/>
      <c r="EKS253" s="4"/>
      <c r="EKT253" s="9"/>
      <c r="EKU253" s="4"/>
      <c r="EKV253" s="9"/>
      <c r="EKW253" s="4"/>
      <c r="EKX253" s="9"/>
      <c r="EKY253" s="4"/>
      <c r="EKZ253" s="9"/>
      <c r="ELA253" s="4"/>
      <c r="ELB253" s="9"/>
      <c r="ELC253" s="4"/>
      <c r="ELD253" s="9"/>
      <c r="ELE253" s="4"/>
      <c r="ELF253" s="9"/>
      <c r="ELG253" s="4"/>
      <c r="ELH253" s="9"/>
      <c r="ELI253" s="4"/>
      <c r="ELJ253" s="9"/>
      <c r="ELK253" s="4"/>
      <c r="ELL253" s="9"/>
      <c r="ELM253" s="4"/>
      <c r="ELN253" s="9"/>
      <c r="ELO253" s="4"/>
      <c r="ELP253" s="9"/>
      <c r="ELQ253" s="4"/>
      <c r="ELR253" s="9"/>
      <c r="ELS253" s="4"/>
      <c r="ELT253" s="9"/>
      <c r="ELU253" s="4"/>
      <c r="ELV253" s="9"/>
      <c r="ELW253" s="4"/>
      <c r="ELX253" s="9"/>
      <c r="ELY253" s="4"/>
      <c r="ELZ253" s="9"/>
      <c r="EMA253" s="4"/>
      <c r="EMB253" s="9"/>
      <c r="EMC253" s="4"/>
      <c r="EMD253" s="9"/>
      <c r="EME253" s="4"/>
      <c r="EMF253" s="9"/>
      <c r="EMG253" s="4"/>
      <c r="EMH253" s="9"/>
      <c r="EMI253" s="4"/>
      <c r="EMJ253" s="9"/>
      <c r="EMK253" s="4"/>
      <c r="EML253" s="9"/>
      <c r="EMM253" s="4"/>
      <c r="EMN253" s="9"/>
      <c r="EMO253" s="4"/>
      <c r="EMP253" s="9"/>
      <c r="EMQ253" s="4"/>
      <c r="EMR253" s="9"/>
      <c r="EMS253" s="4"/>
      <c r="EMT253" s="9"/>
      <c r="EMU253" s="4"/>
      <c r="EMV253" s="9"/>
      <c r="EMW253" s="4"/>
      <c r="EMX253" s="9"/>
      <c r="EMY253" s="4"/>
      <c r="EMZ253" s="9"/>
      <c r="ENA253" s="4"/>
      <c r="ENB253" s="9"/>
      <c r="ENC253" s="4"/>
      <c r="END253" s="9"/>
      <c r="ENE253" s="4"/>
      <c r="ENF253" s="9"/>
      <c r="ENG253" s="4"/>
      <c r="ENH253" s="9"/>
      <c r="ENI253" s="4"/>
      <c r="ENJ253" s="9"/>
      <c r="ENK253" s="4"/>
      <c r="ENL253" s="9"/>
      <c r="ENM253" s="4"/>
      <c r="ENN253" s="9"/>
      <c r="ENO253" s="4"/>
      <c r="ENP253" s="9"/>
      <c r="ENQ253" s="4"/>
      <c r="ENR253" s="9"/>
      <c r="ENS253" s="4"/>
      <c r="ENT253" s="9"/>
      <c r="ENU253" s="4"/>
      <c r="ENV253" s="9"/>
      <c r="ENW253" s="4"/>
      <c r="ENX253" s="9"/>
      <c r="ENY253" s="4"/>
      <c r="ENZ253" s="9"/>
      <c r="EOA253" s="4"/>
      <c r="EOB253" s="9"/>
      <c r="EOC253" s="4"/>
      <c r="EOD253" s="9"/>
      <c r="EOE253" s="4"/>
      <c r="EOF253" s="9"/>
      <c r="EOG253" s="4"/>
      <c r="EOH253" s="9"/>
      <c r="EOI253" s="4"/>
      <c r="EOJ253" s="9"/>
      <c r="EOK253" s="4"/>
      <c r="EOL253" s="9"/>
      <c r="EOM253" s="4"/>
      <c r="EON253" s="9"/>
      <c r="EOO253" s="4"/>
      <c r="EOP253" s="9"/>
      <c r="EOQ253" s="4"/>
      <c r="EOR253" s="9"/>
      <c r="EOS253" s="4"/>
      <c r="EOT253" s="9"/>
      <c r="EOU253" s="4"/>
      <c r="EOV253" s="9"/>
      <c r="EOW253" s="4"/>
      <c r="EOX253" s="9"/>
      <c r="EOY253" s="4"/>
      <c r="EOZ253" s="9"/>
      <c r="EPA253" s="4"/>
      <c r="EPB253" s="9"/>
      <c r="EPC253" s="4"/>
      <c r="EPD253" s="9"/>
      <c r="EPE253" s="4"/>
      <c r="EPF253" s="9"/>
      <c r="EPG253" s="4"/>
      <c r="EPH253" s="9"/>
      <c r="EPI253" s="4"/>
      <c r="EPJ253" s="9"/>
      <c r="EPK253" s="4"/>
      <c r="EPL253" s="9"/>
      <c r="EPM253" s="4"/>
      <c r="EPN253" s="9"/>
      <c r="EPO253" s="4"/>
      <c r="EPP253" s="9"/>
      <c r="EPQ253" s="4"/>
      <c r="EPR253" s="9"/>
      <c r="EPS253" s="4"/>
      <c r="EPT253" s="9"/>
      <c r="EPU253" s="4"/>
      <c r="EPV253" s="9"/>
      <c r="EPW253" s="4"/>
      <c r="EPX253" s="9"/>
      <c r="EPY253" s="4"/>
      <c r="EPZ253" s="9"/>
      <c r="EQA253" s="4"/>
      <c r="EQB253" s="9"/>
      <c r="EQC253" s="4"/>
      <c r="EQD253" s="9"/>
      <c r="EQE253" s="4"/>
      <c r="EQF253" s="9"/>
      <c r="EQG253" s="4"/>
      <c r="EQH253" s="9"/>
      <c r="EQI253" s="4"/>
      <c r="EQJ253" s="9"/>
      <c r="EQK253" s="4"/>
      <c r="EQL253" s="9"/>
      <c r="EQM253" s="4"/>
      <c r="EQN253" s="9"/>
      <c r="EQO253" s="4"/>
      <c r="EQP253" s="9"/>
      <c r="EQQ253" s="4"/>
      <c r="EQR253" s="9"/>
      <c r="EQS253" s="4"/>
      <c r="EQT253" s="9"/>
      <c r="EQU253" s="4"/>
      <c r="EQV253" s="9"/>
      <c r="EQW253" s="4"/>
      <c r="EQX253" s="9"/>
      <c r="EQY253" s="4"/>
      <c r="EQZ253" s="9"/>
      <c r="ERA253" s="4"/>
      <c r="ERB253" s="9"/>
      <c r="ERC253" s="4"/>
      <c r="ERD253" s="9"/>
      <c r="ERE253" s="4"/>
      <c r="ERF253" s="9"/>
      <c r="ERG253" s="4"/>
      <c r="ERH253" s="9"/>
      <c r="ERI253" s="4"/>
      <c r="ERJ253" s="9"/>
      <c r="ERK253" s="4"/>
      <c r="ERL253" s="9"/>
      <c r="ERM253" s="4"/>
      <c r="ERN253" s="9"/>
      <c r="ERO253" s="4"/>
      <c r="ERP253" s="9"/>
      <c r="ERQ253" s="4"/>
      <c r="ERR253" s="9"/>
      <c r="ERS253" s="4"/>
      <c r="ERT253" s="9"/>
      <c r="ERU253" s="4"/>
      <c r="ERV253" s="9"/>
      <c r="ERW253" s="4"/>
      <c r="ERX253" s="9"/>
      <c r="ERY253" s="4"/>
      <c r="ERZ253" s="9"/>
      <c r="ESA253" s="4"/>
      <c r="ESB253" s="9"/>
      <c r="ESC253" s="4"/>
      <c r="ESD253" s="9"/>
      <c r="ESE253" s="4"/>
      <c r="ESF253" s="9"/>
      <c r="ESG253" s="4"/>
      <c r="ESH253" s="9"/>
      <c r="ESI253" s="4"/>
      <c r="ESJ253" s="9"/>
      <c r="ESK253" s="4"/>
      <c r="ESL253" s="9"/>
      <c r="ESM253" s="4"/>
      <c r="ESN253" s="9"/>
      <c r="ESO253" s="4"/>
      <c r="ESP253" s="9"/>
      <c r="ESQ253" s="4"/>
      <c r="ESR253" s="9"/>
      <c r="ESS253" s="4"/>
      <c r="EST253" s="9"/>
      <c r="ESU253" s="4"/>
      <c r="ESV253" s="9"/>
      <c r="ESW253" s="4"/>
      <c r="ESX253" s="9"/>
      <c r="ESY253" s="4"/>
      <c r="ESZ253" s="9"/>
      <c r="ETA253" s="4"/>
      <c r="ETB253" s="9"/>
      <c r="ETC253" s="4"/>
      <c r="ETD253" s="9"/>
      <c r="ETE253" s="4"/>
      <c r="ETF253" s="9"/>
      <c r="ETG253" s="4"/>
      <c r="ETH253" s="9"/>
      <c r="ETI253" s="4"/>
      <c r="ETJ253" s="9"/>
      <c r="ETK253" s="4"/>
      <c r="ETL253" s="9"/>
      <c r="ETM253" s="4"/>
      <c r="ETN253" s="9"/>
      <c r="ETO253" s="4"/>
      <c r="ETP253" s="9"/>
      <c r="ETQ253" s="4"/>
      <c r="ETR253" s="9"/>
      <c r="ETS253" s="4"/>
      <c r="ETT253" s="9"/>
      <c r="ETU253" s="4"/>
      <c r="ETV253" s="9"/>
      <c r="ETW253" s="4"/>
      <c r="ETX253" s="9"/>
      <c r="ETY253" s="4"/>
      <c r="ETZ253" s="9"/>
      <c r="EUA253" s="4"/>
      <c r="EUB253" s="9"/>
      <c r="EUC253" s="4"/>
      <c r="EUD253" s="9"/>
      <c r="EUE253" s="4"/>
      <c r="EUF253" s="9"/>
      <c r="EUG253" s="4"/>
      <c r="EUH253" s="9"/>
      <c r="EUI253" s="4"/>
      <c r="EUJ253" s="9"/>
      <c r="EUK253" s="4"/>
      <c r="EUL253" s="9"/>
      <c r="EUM253" s="4"/>
      <c r="EUN253" s="9"/>
      <c r="EUO253" s="4"/>
      <c r="EUP253" s="9"/>
      <c r="EUQ253" s="4"/>
      <c r="EUR253" s="9"/>
      <c r="EUS253" s="4"/>
      <c r="EUT253" s="9"/>
      <c r="EUU253" s="4"/>
      <c r="EUV253" s="9"/>
      <c r="EUW253" s="4"/>
      <c r="EUX253" s="9"/>
      <c r="EUY253" s="4"/>
      <c r="EUZ253" s="9"/>
      <c r="EVA253" s="4"/>
      <c r="EVB253" s="9"/>
      <c r="EVC253" s="4"/>
      <c r="EVD253" s="9"/>
      <c r="EVE253" s="4"/>
      <c r="EVF253" s="9"/>
      <c r="EVG253" s="4"/>
      <c r="EVH253" s="9"/>
      <c r="EVI253" s="4"/>
      <c r="EVJ253" s="9"/>
      <c r="EVK253" s="4"/>
      <c r="EVL253" s="9"/>
      <c r="EVM253" s="4"/>
      <c r="EVN253" s="9"/>
      <c r="EVO253" s="4"/>
      <c r="EVP253" s="9"/>
      <c r="EVQ253" s="4"/>
      <c r="EVR253" s="9"/>
      <c r="EVS253" s="4"/>
      <c r="EVT253" s="9"/>
      <c r="EVU253" s="4"/>
      <c r="EVV253" s="9"/>
      <c r="EVW253" s="4"/>
      <c r="EVX253" s="9"/>
      <c r="EVY253" s="4"/>
      <c r="EVZ253" s="9"/>
      <c r="EWA253" s="4"/>
      <c r="EWB253" s="9"/>
      <c r="EWC253" s="4"/>
      <c r="EWD253" s="9"/>
      <c r="EWE253" s="4"/>
      <c r="EWF253" s="9"/>
      <c r="EWG253" s="4"/>
      <c r="EWH253" s="9"/>
      <c r="EWI253" s="4"/>
      <c r="EWJ253" s="9"/>
      <c r="EWK253" s="4"/>
      <c r="EWL253" s="9"/>
      <c r="EWM253" s="4"/>
      <c r="EWN253" s="9"/>
      <c r="EWO253" s="4"/>
      <c r="EWP253" s="9"/>
      <c r="EWQ253" s="4"/>
      <c r="EWR253" s="9"/>
      <c r="EWS253" s="4"/>
      <c r="EWT253" s="9"/>
      <c r="EWU253" s="4"/>
      <c r="EWV253" s="9"/>
      <c r="EWW253" s="4"/>
      <c r="EWX253" s="9"/>
      <c r="EWY253" s="4"/>
      <c r="EWZ253" s="9"/>
      <c r="EXA253" s="4"/>
      <c r="EXB253" s="9"/>
      <c r="EXC253" s="4"/>
      <c r="EXD253" s="9"/>
      <c r="EXE253" s="4"/>
      <c r="EXF253" s="9"/>
      <c r="EXG253" s="4"/>
      <c r="EXH253" s="9"/>
      <c r="EXI253" s="4"/>
      <c r="EXJ253" s="9"/>
      <c r="EXK253" s="4"/>
      <c r="EXL253" s="9"/>
      <c r="EXM253" s="4"/>
      <c r="EXN253" s="9"/>
      <c r="EXO253" s="4"/>
      <c r="EXP253" s="9"/>
      <c r="EXQ253" s="4"/>
      <c r="EXR253" s="9"/>
      <c r="EXS253" s="4"/>
      <c r="EXT253" s="9"/>
      <c r="EXU253" s="4"/>
      <c r="EXV253" s="9"/>
      <c r="EXW253" s="4"/>
      <c r="EXX253" s="9"/>
      <c r="EXY253" s="4"/>
      <c r="EXZ253" s="9"/>
      <c r="EYA253" s="4"/>
      <c r="EYB253" s="9"/>
      <c r="EYC253" s="4"/>
      <c r="EYD253" s="9"/>
      <c r="EYE253" s="4"/>
      <c r="EYF253" s="9"/>
      <c r="EYG253" s="4"/>
      <c r="EYH253" s="9"/>
      <c r="EYI253" s="4"/>
      <c r="EYJ253" s="9"/>
      <c r="EYK253" s="4"/>
      <c r="EYL253" s="9"/>
      <c r="EYM253" s="4"/>
      <c r="EYN253" s="9"/>
      <c r="EYO253" s="4"/>
      <c r="EYP253" s="9"/>
      <c r="EYQ253" s="4"/>
      <c r="EYR253" s="9"/>
      <c r="EYS253" s="4"/>
      <c r="EYT253" s="9"/>
      <c r="EYU253" s="4"/>
      <c r="EYV253" s="9"/>
      <c r="EYW253" s="4"/>
      <c r="EYX253" s="9"/>
      <c r="EYY253" s="4"/>
      <c r="EYZ253" s="9"/>
      <c r="EZA253" s="4"/>
      <c r="EZB253" s="9"/>
      <c r="EZC253" s="4"/>
      <c r="EZD253" s="9"/>
      <c r="EZE253" s="4"/>
      <c r="EZF253" s="9"/>
      <c r="EZG253" s="4"/>
      <c r="EZH253" s="9"/>
      <c r="EZI253" s="4"/>
      <c r="EZJ253" s="9"/>
      <c r="EZK253" s="4"/>
      <c r="EZL253" s="9"/>
      <c r="EZM253" s="4"/>
      <c r="EZN253" s="9"/>
      <c r="EZO253" s="4"/>
      <c r="EZP253" s="9"/>
      <c r="EZQ253" s="4"/>
      <c r="EZR253" s="9"/>
      <c r="EZS253" s="4"/>
      <c r="EZT253" s="9"/>
      <c r="EZU253" s="4"/>
      <c r="EZV253" s="9"/>
      <c r="EZW253" s="4"/>
      <c r="EZX253" s="9"/>
      <c r="EZY253" s="4"/>
      <c r="EZZ253" s="9"/>
      <c r="FAA253" s="4"/>
      <c r="FAB253" s="9"/>
      <c r="FAC253" s="4"/>
      <c r="FAD253" s="9"/>
      <c r="FAE253" s="4"/>
      <c r="FAF253" s="9"/>
      <c r="FAG253" s="4"/>
      <c r="FAH253" s="9"/>
      <c r="FAI253" s="4"/>
      <c r="FAJ253" s="9"/>
      <c r="FAK253" s="4"/>
      <c r="FAL253" s="9"/>
      <c r="FAM253" s="4"/>
      <c r="FAN253" s="9"/>
      <c r="FAO253" s="4"/>
      <c r="FAP253" s="9"/>
      <c r="FAQ253" s="4"/>
      <c r="FAR253" s="9"/>
      <c r="FAS253" s="4"/>
      <c r="FAT253" s="9"/>
      <c r="FAU253" s="4"/>
      <c r="FAV253" s="9"/>
      <c r="FAW253" s="4"/>
      <c r="FAX253" s="9"/>
      <c r="FAY253" s="4"/>
      <c r="FAZ253" s="9"/>
      <c r="FBA253" s="4"/>
      <c r="FBB253" s="9"/>
      <c r="FBC253" s="4"/>
      <c r="FBD253" s="9"/>
      <c r="FBE253" s="4"/>
      <c r="FBF253" s="9"/>
      <c r="FBG253" s="4"/>
      <c r="FBH253" s="9"/>
      <c r="FBI253" s="4"/>
      <c r="FBJ253" s="9"/>
      <c r="FBK253" s="4"/>
      <c r="FBL253" s="9"/>
      <c r="FBM253" s="4"/>
      <c r="FBN253" s="9"/>
      <c r="FBO253" s="4"/>
      <c r="FBP253" s="9"/>
      <c r="FBQ253" s="4"/>
      <c r="FBR253" s="9"/>
      <c r="FBS253" s="4"/>
      <c r="FBT253" s="9"/>
      <c r="FBU253" s="4"/>
      <c r="FBV253" s="9"/>
      <c r="FBW253" s="4"/>
      <c r="FBX253" s="9"/>
      <c r="FBY253" s="4"/>
      <c r="FBZ253" s="9"/>
      <c r="FCA253" s="4"/>
      <c r="FCB253" s="9"/>
      <c r="FCC253" s="4"/>
      <c r="FCD253" s="9"/>
      <c r="FCE253" s="4"/>
      <c r="FCF253" s="9"/>
      <c r="FCG253" s="4"/>
      <c r="FCH253" s="9"/>
      <c r="FCI253" s="4"/>
      <c r="FCJ253" s="9"/>
      <c r="FCK253" s="4"/>
      <c r="FCL253" s="9"/>
      <c r="FCM253" s="4"/>
      <c r="FCN253" s="9"/>
      <c r="FCO253" s="4"/>
      <c r="FCP253" s="9"/>
      <c r="FCQ253" s="4"/>
      <c r="FCR253" s="9"/>
      <c r="FCS253" s="4"/>
      <c r="FCT253" s="9"/>
      <c r="FCU253" s="4"/>
      <c r="FCV253" s="9"/>
      <c r="FCW253" s="4"/>
      <c r="FCX253" s="9"/>
      <c r="FCY253" s="4"/>
      <c r="FCZ253" s="9"/>
      <c r="FDA253" s="4"/>
      <c r="FDB253" s="9"/>
      <c r="FDC253" s="4"/>
      <c r="FDD253" s="9"/>
      <c r="FDE253" s="4"/>
      <c r="FDF253" s="9"/>
      <c r="FDG253" s="4"/>
      <c r="FDH253" s="9"/>
      <c r="FDI253" s="4"/>
      <c r="FDJ253" s="9"/>
      <c r="FDK253" s="4"/>
      <c r="FDL253" s="9"/>
      <c r="FDM253" s="4"/>
      <c r="FDN253" s="9"/>
      <c r="FDO253" s="4"/>
      <c r="FDP253" s="9"/>
      <c r="FDQ253" s="4"/>
      <c r="FDR253" s="9"/>
      <c r="FDS253" s="4"/>
      <c r="FDT253" s="9"/>
      <c r="FDU253" s="4"/>
      <c r="FDV253" s="9"/>
      <c r="FDW253" s="4"/>
      <c r="FDX253" s="9"/>
      <c r="FDY253" s="4"/>
      <c r="FDZ253" s="9"/>
      <c r="FEA253" s="4"/>
      <c r="FEB253" s="9"/>
      <c r="FEC253" s="4"/>
      <c r="FED253" s="9"/>
      <c r="FEE253" s="4"/>
      <c r="FEF253" s="9"/>
      <c r="FEG253" s="4"/>
      <c r="FEH253" s="9"/>
      <c r="FEI253" s="4"/>
      <c r="FEJ253" s="9"/>
      <c r="FEK253" s="4"/>
      <c r="FEL253" s="9"/>
      <c r="FEM253" s="4"/>
      <c r="FEN253" s="9"/>
      <c r="FEO253" s="4"/>
      <c r="FEP253" s="9"/>
      <c r="FEQ253" s="4"/>
      <c r="FER253" s="9"/>
      <c r="FES253" s="4"/>
      <c r="FET253" s="9"/>
      <c r="FEU253" s="4"/>
      <c r="FEV253" s="9"/>
      <c r="FEW253" s="4"/>
      <c r="FEX253" s="9"/>
      <c r="FEY253" s="4"/>
      <c r="FEZ253" s="9"/>
      <c r="FFA253" s="4"/>
      <c r="FFB253" s="9"/>
      <c r="FFC253" s="4"/>
      <c r="FFD253" s="9"/>
      <c r="FFE253" s="4"/>
      <c r="FFF253" s="9"/>
      <c r="FFG253" s="4"/>
      <c r="FFH253" s="9"/>
      <c r="FFI253" s="4"/>
      <c r="FFJ253" s="9"/>
      <c r="FFK253" s="4"/>
      <c r="FFL253" s="9"/>
      <c r="FFM253" s="4"/>
      <c r="FFN253" s="9"/>
      <c r="FFO253" s="4"/>
      <c r="FFP253" s="9"/>
      <c r="FFQ253" s="4"/>
      <c r="FFR253" s="9"/>
      <c r="FFS253" s="4"/>
      <c r="FFT253" s="9"/>
      <c r="FFU253" s="4"/>
      <c r="FFV253" s="9"/>
      <c r="FFW253" s="4"/>
      <c r="FFX253" s="9"/>
      <c r="FFY253" s="4"/>
      <c r="FFZ253" s="9"/>
      <c r="FGA253" s="4"/>
      <c r="FGB253" s="9"/>
      <c r="FGC253" s="4"/>
      <c r="FGD253" s="9"/>
      <c r="FGE253" s="4"/>
      <c r="FGF253" s="9"/>
      <c r="FGG253" s="4"/>
      <c r="FGH253" s="9"/>
      <c r="FGI253" s="4"/>
      <c r="FGJ253" s="9"/>
      <c r="FGK253" s="4"/>
      <c r="FGL253" s="9"/>
      <c r="FGM253" s="4"/>
      <c r="FGN253" s="9"/>
      <c r="FGO253" s="4"/>
      <c r="FGP253" s="9"/>
      <c r="FGQ253" s="4"/>
      <c r="FGR253" s="9"/>
      <c r="FGS253" s="4"/>
      <c r="FGT253" s="9"/>
      <c r="FGU253" s="4"/>
      <c r="FGV253" s="9"/>
      <c r="FGW253" s="4"/>
      <c r="FGX253" s="9"/>
      <c r="FGY253" s="4"/>
      <c r="FGZ253" s="9"/>
      <c r="FHA253" s="4"/>
      <c r="FHB253" s="9"/>
      <c r="FHC253" s="4"/>
      <c r="FHD253" s="9"/>
      <c r="FHE253" s="4"/>
      <c r="FHF253" s="9"/>
      <c r="FHG253" s="4"/>
      <c r="FHH253" s="9"/>
      <c r="FHI253" s="4"/>
      <c r="FHJ253" s="9"/>
      <c r="FHK253" s="4"/>
      <c r="FHL253" s="9"/>
      <c r="FHM253" s="4"/>
      <c r="FHN253" s="9"/>
      <c r="FHO253" s="4"/>
      <c r="FHP253" s="9"/>
      <c r="FHQ253" s="4"/>
      <c r="FHR253" s="9"/>
      <c r="FHS253" s="4"/>
      <c r="FHT253" s="9"/>
      <c r="FHU253" s="4"/>
      <c r="FHV253" s="9"/>
      <c r="FHW253" s="4"/>
      <c r="FHX253" s="9"/>
      <c r="FHY253" s="4"/>
      <c r="FHZ253" s="9"/>
      <c r="FIA253" s="4"/>
      <c r="FIB253" s="9"/>
      <c r="FIC253" s="4"/>
      <c r="FID253" s="9"/>
      <c r="FIE253" s="4"/>
      <c r="FIF253" s="9"/>
      <c r="FIG253" s="4"/>
      <c r="FIH253" s="9"/>
      <c r="FII253" s="4"/>
      <c r="FIJ253" s="9"/>
      <c r="FIK253" s="4"/>
      <c r="FIL253" s="9"/>
      <c r="FIM253" s="4"/>
      <c r="FIN253" s="9"/>
      <c r="FIO253" s="4"/>
      <c r="FIP253" s="9"/>
      <c r="FIQ253" s="4"/>
      <c r="FIR253" s="9"/>
      <c r="FIS253" s="4"/>
      <c r="FIT253" s="9"/>
      <c r="FIU253" s="4"/>
      <c r="FIV253" s="9"/>
      <c r="FIW253" s="4"/>
      <c r="FIX253" s="9"/>
      <c r="FIY253" s="4"/>
      <c r="FIZ253" s="9"/>
      <c r="FJA253" s="4"/>
      <c r="FJB253" s="9"/>
      <c r="FJC253" s="4"/>
      <c r="FJD253" s="9"/>
      <c r="FJE253" s="4"/>
      <c r="FJF253" s="9"/>
      <c r="FJG253" s="4"/>
      <c r="FJH253" s="9"/>
      <c r="FJI253" s="4"/>
      <c r="FJJ253" s="9"/>
      <c r="FJK253" s="4"/>
      <c r="FJL253" s="9"/>
      <c r="FJM253" s="4"/>
      <c r="FJN253" s="9"/>
      <c r="FJO253" s="4"/>
      <c r="FJP253" s="9"/>
      <c r="FJQ253" s="4"/>
      <c r="FJR253" s="9"/>
      <c r="FJS253" s="4"/>
      <c r="FJT253" s="9"/>
      <c r="FJU253" s="4"/>
      <c r="FJV253" s="9"/>
      <c r="FJW253" s="4"/>
      <c r="FJX253" s="9"/>
      <c r="FJY253" s="4"/>
      <c r="FJZ253" s="9"/>
      <c r="FKA253" s="4"/>
      <c r="FKB253" s="9"/>
      <c r="FKC253" s="4"/>
      <c r="FKD253" s="9"/>
      <c r="FKE253" s="4"/>
      <c r="FKF253" s="9"/>
      <c r="FKG253" s="4"/>
      <c r="FKH253" s="9"/>
      <c r="FKI253" s="4"/>
      <c r="FKJ253" s="9"/>
      <c r="FKK253" s="4"/>
      <c r="FKL253" s="9"/>
      <c r="FKM253" s="4"/>
      <c r="FKN253" s="9"/>
      <c r="FKO253" s="4"/>
      <c r="FKP253" s="9"/>
      <c r="FKQ253" s="4"/>
      <c r="FKR253" s="9"/>
      <c r="FKS253" s="4"/>
      <c r="FKT253" s="9"/>
      <c r="FKU253" s="4"/>
      <c r="FKV253" s="9"/>
      <c r="FKW253" s="4"/>
      <c r="FKX253" s="9"/>
      <c r="FKY253" s="4"/>
      <c r="FKZ253" s="9"/>
      <c r="FLA253" s="4"/>
      <c r="FLB253" s="9"/>
      <c r="FLC253" s="4"/>
      <c r="FLD253" s="9"/>
      <c r="FLE253" s="4"/>
      <c r="FLF253" s="9"/>
      <c r="FLG253" s="4"/>
      <c r="FLH253" s="9"/>
      <c r="FLI253" s="4"/>
      <c r="FLJ253" s="9"/>
      <c r="FLK253" s="4"/>
      <c r="FLL253" s="9"/>
      <c r="FLM253" s="4"/>
      <c r="FLN253" s="9"/>
      <c r="FLO253" s="4"/>
      <c r="FLP253" s="9"/>
      <c r="FLQ253" s="4"/>
      <c r="FLR253" s="9"/>
      <c r="FLS253" s="4"/>
      <c r="FLT253" s="9"/>
      <c r="FLU253" s="4"/>
      <c r="FLV253" s="9"/>
      <c r="FLW253" s="4"/>
      <c r="FLX253" s="9"/>
      <c r="FLY253" s="4"/>
      <c r="FLZ253" s="9"/>
      <c r="FMA253" s="4"/>
      <c r="FMB253" s="9"/>
      <c r="FMC253" s="4"/>
      <c r="FMD253" s="9"/>
      <c r="FME253" s="4"/>
      <c r="FMF253" s="9"/>
      <c r="FMG253" s="4"/>
      <c r="FMH253" s="9"/>
      <c r="FMI253" s="4"/>
      <c r="FMJ253" s="9"/>
      <c r="FMK253" s="4"/>
      <c r="FML253" s="9"/>
      <c r="FMM253" s="4"/>
      <c r="FMN253" s="9"/>
      <c r="FMO253" s="4"/>
      <c r="FMP253" s="9"/>
      <c r="FMQ253" s="4"/>
      <c r="FMR253" s="9"/>
      <c r="FMS253" s="4"/>
      <c r="FMT253" s="9"/>
      <c r="FMU253" s="4"/>
      <c r="FMV253" s="9"/>
      <c r="FMW253" s="4"/>
      <c r="FMX253" s="9"/>
      <c r="FMY253" s="4"/>
      <c r="FMZ253" s="9"/>
      <c r="FNA253" s="4"/>
      <c r="FNB253" s="9"/>
      <c r="FNC253" s="4"/>
      <c r="FND253" s="9"/>
      <c r="FNE253" s="4"/>
      <c r="FNF253" s="9"/>
      <c r="FNG253" s="4"/>
      <c r="FNH253" s="9"/>
      <c r="FNI253" s="4"/>
      <c r="FNJ253" s="9"/>
      <c r="FNK253" s="4"/>
      <c r="FNL253" s="9"/>
      <c r="FNM253" s="4"/>
      <c r="FNN253" s="9"/>
      <c r="FNO253" s="4"/>
      <c r="FNP253" s="9"/>
      <c r="FNQ253" s="4"/>
      <c r="FNR253" s="9"/>
      <c r="FNS253" s="4"/>
      <c r="FNT253" s="9"/>
      <c r="FNU253" s="4"/>
      <c r="FNV253" s="9"/>
      <c r="FNW253" s="4"/>
      <c r="FNX253" s="9"/>
      <c r="FNY253" s="4"/>
      <c r="FNZ253" s="9"/>
      <c r="FOA253" s="4"/>
      <c r="FOB253" s="9"/>
      <c r="FOC253" s="4"/>
      <c r="FOD253" s="9"/>
      <c r="FOE253" s="4"/>
      <c r="FOF253" s="9"/>
      <c r="FOG253" s="4"/>
      <c r="FOH253" s="9"/>
      <c r="FOI253" s="4"/>
      <c r="FOJ253" s="9"/>
      <c r="FOK253" s="4"/>
      <c r="FOL253" s="9"/>
      <c r="FOM253" s="4"/>
      <c r="FON253" s="9"/>
      <c r="FOO253" s="4"/>
      <c r="FOP253" s="9"/>
      <c r="FOQ253" s="4"/>
      <c r="FOR253" s="9"/>
      <c r="FOS253" s="4"/>
      <c r="FOT253" s="9"/>
      <c r="FOU253" s="4"/>
      <c r="FOV253" s="9"/>
      <c r="FOW253" s="4"/>
      <c r="FOX253" s="9"/>
      <c r="FOY253" s="4"/>
      <c r="FOZ253" s="9"/>
      <c r="FPA253" s="4"/>
      <c r="FPB253" s="9"/>
      <c r="FPC253" s="4"/>
      <c r="FPD253" s="9"/>
      <c r="FPE253" s="4"/>
      <c r="FPF253" s="9"/>
      <c r="FPG253" s="4"/>
      <c r="FPH253" s="9"/>
      <c r="FPI253" s="4"/>
      <c r="FPJ253" s="9"/>
      <c r="FPK253" s="4"/>
      <c r="FPL253" s="9"/>
      <c r="FPM253" s="4"/>
      <c r="FPN253" s="9"/>
      <c r="FPO253" s="4"/>
      <c r="FPP253" s="9"/>
      <c r="FPQ253" s="4"/>
      <c r="FPR253" s="9"/>
      <c r="FPS253" s="4"/>
      <c r="FPT253" s="9"/>
      <c r="FPU253" s="4"/>
      <c r="FPV253" s="9"/>
      <c r="FPW253" s="4"/>
      <c r="FPX253" s="9"/>
      <c r="FPY253" s="4"/>
      <c r="FPZ253" s="9"/>
      <c r="FQA253" s="4"/>
      <c r="FQB253" s="9"/>
      <c r="FQC253" s="4"/>
      <c r="FQD253" s="9"/>
      <c r="FQE253" s="4"/>
      <c r="FQF253" s="9"/>
      <c r="FQG253" s="4"/>
      <c r="FQH253" s="9"/>
      <c r="FQI253" s="4"/>
      <c r="FQJ253" s="9"/>
      <c r="FQK253" s="4"/>
      <c r="FQL253" s="9"/>
      <c r="FQM253" s="4"/>
      <c r="FQN253" s="9"/>
      <c r="FQO253" s="4"/>
      <c r="FQP253" s="9"/>
      <c r="FQQ253" s="4"/>
      <c r="FQR253" s="9"/>
      <c r="FQS253" s="4"/>
      <c r="FQT253" s="9"/>
      <c r="FQU253" s="4"/>
      <c r="FQV253" s="9"/>
      <c r="FQW253" s="4"/>
      <c r="FQX253" s="9"/>
      <c r="FQY253" s="4"/>
      <c r="FQZ253" s="9"/>
      <c r="FRA253" s="4"/>
      <c r="FRB253" s="9"/>
      <c r="FRC253" s="4"/>
      <c r="FRD253" s="9"/>
      <c r="FRE253" s="4"/>
      <c r="FRF253" s="9"/>
      <c r="FRG253" s="4"/>
      <c r="FRH253" s="9"/>
      <c r="FRI253" s="4"/>
      <c r="FRJ253" s="9"/>
      <c r="FRK253" s="4"/>
      <c r="FRL253" s="9"/>
      <c r="FRM253" s="4"/>
      <c r="FRN253" s="9"/>
      <c r="FRO253" s="4"/>
      <c r="FRP253" s="9"/>
      <c r="FRQ253" s="4"/>
      <c r="FRR253" s="9"/>
      <c r="FRS253" s="4"/>
      <c r="FRT253" s="9"/>
      <c r="FRU253" s="4"/>
      <c r="FRV253" s="9"/>
      <c r="FRW253" s="4"/>
      <c r="FRX253" s="9"/>
      <c r="FRY253" s="4"/>
      <c r="FRZ253" s="9"/>
      <c r="FSA253" s="4"/>
      <c r="FSB253" s="9"/>
      <c r="FSC253" s="4"/>
      <c r="FSD253" s="9"/>
      <c r="FSE253" s="4"/>
      <c r="FSF253" s="9"/>
      <c r="FSG253" s="4"/>
      <c r="FSH253" s="9"/>
      <c r="FSI253" s="4"/>
      <c r="FSJ253" s="9"/>
      <c r="FSK253" s="4"/>
      <c r="FSL253" s="9"/>
      <c r="FSM253" s="4"/>
      <c r="FSN253" s="9"/>
      <c r="FSO253" s="4"/>
      <c r="FSP253" s="9"/>
      <c r="FSQ253" s="4"/>
      <c r="FSR253" s="9"/>
      <c r="FSS253" s="4"/>
      <c r="FST253" s="9"/>
      <c r="FSU253" s="4"/>
      <c r="FSV253" s="9"/>
      <c r="FSW253" s="4"/>
      <c r="FSX253" s="9"/>
      <c r="FSY253" s="4"/>
      <c r="FSZ253" s="9"/>
      <c r="FTA253" s="4"/>
      <c r="FTB253" s="9"/>
      <c r="FTC253" s="4"/>
      <c r="FTD253" s="9"/>
      <c r="FTE253" s="4"/>
      <c r="FTF253" s="9"/>
      <c r="FTG253" s="4"/>
      <c r="FTH253" s="9"/>
      <c r="FTI253" s="4"/>
      <c r="FTJ253" s="9"/>
      <c r="FTK253" s="4"/>
      <c r="FTL253" s="9"/>
      <c r="FTM253" s="4"/>
      <c r="FTN253" s="9"/>
      <c r="FTO253" s="4"/>
      <c r="FTP253" s="9"/>
      <c r="FTQ253" s="4"/>
      <c r="FTR253" s="9"/>
      <c r="FTS253" s="4"/>
      <c r="FTT253" s="9"/>
      <c r="FTU253" s="4"/>
      <c r="FTV253" s="9"/>
      <c r="FTW253" s="4"/>
      <c r="FTX253" s="9"/>
      <c r="FTY253" s="4"/>
      <c r="FTZ253" s="9"/>
      <c r="FUA253" s="4"/>
      <c r="FUB253" s="9"/>
      <c r="FUC253" s="4"/>
      <c r="FUD253" s="9"/>
      <c r="FUE253" s="4"/>
      <c r="FUF253" s="9"/>
      <c r="FUG253" s="4"/>
      <c r="FUH253" s="9"/>
      <c r="FUI253" s="4"/>
      <c r="FUJ253" s="9"/>
      <c r="FUK253" s="4"/>
      <c r="FUL253" s="9"/>
      <c r="FUM253" s="4"/>
      <c r="FUN253" s="9"/>
      <c r="FUO253" s="4"/>
      <c r="FUP253" s="9"/>
      <c r="FUQ253" s="4"/>
      <c r="FUR253" s="9"/>
      <c r="FUS253" s="4"/>
      <c r="FUT253" s="9"/>
      <c r="FUU253" s="4"/>
      <c r="FUV253" s="9"/>
      <c r="FUW253" s="4"/>
      <c r="FUX253" s="9"/>
      <c r="FUY253" s="4"/>
      <c r="FUZ253" s="9"/>
      <c r="FVA253" s="4"/>
      <c r="FVB253" s="9"/>
      <c r="FVC253" s="4"/>
      <c r="FVD253" s="9"/>
      <c r="FVE253" s="4"/>
      <c r="FVF253" s="9"/>
      <c r="FVG253" s="4"/>
      <c r="FVH253" s="9"/>
      <c r="FVI253" s="4"/>
      <c r="FVJ253" s="9"/>
      <c r="FVK253" s="4"/>
      <c r="FVL253" s="9"/>
      <c r="FVM253" s="4"/>
      <c r="FVN253" s="9"/>
      <c r="FVO253" s="4"/>
      <c r="FVP253" s="9"/>
      <c r="FVQ253" s="4"/>
      <c r="FVR253" s="9"/>
      <c r="FVS253" s="4"/>
      <c r="FVT253" s="9"/>
      <c r="FVU253" s="4"/>
      <c r="FVV253" s="9"/>
      <c r="FVW253" s="4"/>
      <c r="FVX253" s="9"/>
      <c r="FVY253" s="4"/>
      <c r="FVZ253" s="9"/>
      <c r="FWA253" s="4"/>
      <c r="FWB253" s="9"/>
      <c r="FWC253" s="4"/>
      <c r="FWD253" s="9"/>
      <c r="FWE253" s="4"/>
      <c r="FWF253" s="9"/>
      <c r="FWG253" s="4"/>
      <c r="FWH253" s="9"/>
      <c r="FWI253" s="4"/>
      <c r="FWJ253" s="9"/>
      <c r="FWK253" s="4"/>
      <c r="FWL253" s="9"/>
      <c r="FWM253" s="4"/>
      <c r="FWN253" s="9"/>
      <c r="FWO253" s="4"/>
      <c r="FWP253" s="9"/>
      <c r="FWQ253" s="4"/>
      <c r="FWR253" s="9"/>
      <c r="FWS253" s="4"/>
      <c r="FWT253" s="9"/>
      <c r="FWU253" s="4"/>
      <c r="FWV253" s="9"/>
      <c r="FWW253" s="4"/>
      <c r="FWX253" s="9"/>
      <c r="FWY253" s="4"/>
      <c r="FWZ253" s="9"/>
      <c r="FXA253" s="4"/>
      <c r="FXB253" s="9"/>
      <c r="FXC253" s="4"/>
      <c r="FXD253" s="9"/>
      <c r="FXE253" s="4"/>
      <c r="FXF253" s="9"/>
      <c r="FXG253" s="4"/>
      <c r="FXH253" s="9"/>
      <c r="FXI253" s="4"/>
      <c r="FXJ253" s="9"/>
      <c r="FXK253" s="4"/>
      <c r="FXL253" s="9"/>
      <c r="FXM253" s="4"/>
      <c r="FXN253" s="9"/>
      <c r="FXO253" s="4"/>
      <c r="FXP253" s="9"/>
      <c r="FXQ253" s="4"/>
      <c r="FXR253" s="9"/>
      <c r="FXS253" s="4"/>
      <c r="FXT253" s="9"/>
      <c r="FXU253" s="4"/>
      <c r="FXV253" s="9"/>
      <c r="FXW253" s="4"/>
      <c r="FXX253" s="9"/>
      <c r="FXY253" s="4"/>
      <c r="FXZ253" s="9"/>
      <c r="FYA253" s="4"/>
      <c r="FYB253" s="9"/>
      <c r="FYC253" s="4"/>
      <c r="FYD253" s="9"/>
      <c r="FYE253" s="4"/>
      <c r="FYF253" s="9"/>
      <c r="FYG253" s="4"/>
      <c r="FYH253" s="9"/>
      <c r="FYI253" s="4"/>
      <c r="FYJ253" s="9"/>
      <c r="FYK253" s="4"/>
      <c r="FYL253" s="9"/>
      <c r="FYM253" s="4"/>
      <c r="FYN253" s="9"/>
      <c r="FYO253" s="4"/>
      <c r="FYP253" s="9"/>
      <c r="FYQ253" s="4"/>
      <c r="FYR253" s="9"/>
      <c r="FYS253" s="4"/>
      <c r="FYT253" s="9"/>
      <c r="FYU253" s="4"/>
      <c r="FYV253" s="9"/>
      <c r="FYW253" s="4"/>
      <c r="FYX253" s="9"/>
      <c r="FYY253" s="4"/>
      <c r="FYZ253" s="9"/>
      <c r="FZA253" s="4"/>
      <c r="FZB253" s="9"/>
      <c r="FZC253" s="4"/>
      <c r="FZD253" s="9"/>
      <c r="FZE253" s="4"/>
      <c r="FZF253" s="9"/>
      <c r="FZG253" s="4"/>
      <c r="FZH253" s="9"/>
      <c r="FZI253" s="4"/>
      <c r="FZJ253" s="9"/>
      <c r="FZK253" s="4"/>
      <c r="FZL253" s="9"/>
      <c r="FZM253" s="4"/>
      <c r="FZN253" s="9"/>
      <c r="FZO253" s="4"/>
      <c r="FZP253" s="9"/>
      <c r="FZQ253" s="4"/>
      <c r="FZR253" s="9"/>
      <c r="FZS253" s="4"/>
      <c r="FZT253" s="9"/>
      <c r="FZU253" s="4"/>
      <c r="FZV253" s="9"/>
      <c r="FZW253" s="4"/>
      <c r="FZX253" s="9"/>
      <c r="FZY253" s="4"/>
      <c r="FZZ253" s="9"/>
      <c r="GAA253" s="4"/>
      <c r="GAB253" s="9"/>
      <c r="GAC253" s="4"/>
      <c r="GAD253" s="9"/>
      <c r="GAE253" s="4"/>
      <c r="GAF253" s="9"/>
      <c r="GAG253" s="4"/>
      <c r="GAH253" s="9"/>
      <c r="GAI253" s="4"/>
      <c r="GAJ253" s="9"/>
      <c r="GAK253" s="4"/>
      <c r="GAL253" s="9"/>
      <c r="GAM253" s="4"/>
      <c r="GAN253" s="9"/>
      <c r="GAO253" s="4"/>
      <c r="GAP253" s="9"/>
      <c r="GAQ253" s="4"/>
      <c r="GAR253" s="9"/>
      <c r="GAS253" s="4"/>
      <c r="GAT253" s="9"/>
      <c r="GAU253" s="4"/>
      <c r="GAV253" s="9"/>
      <c r="GAW253" s="4"/>
      <c r="GAX253" s="9"/>
      <c r="GAY253" s="4"/>
      <c r="GAZ253" s="9"/>
      <c r="GBA253" s="4"/>
      <c r="GBB253" s="9"/>
      <c r="GBC253" s="4"/>
      <c r="GBD253" s="9"/>
      <c r="GBE253" s="4"/>
      <c r="GBF253" s="9"/>
      <c r="GBG253" s="4"/>
      <c r="GBH253" s="9"/>
      <c r="GBI253" s="4"/>
      <c r="GBJ253" s="9"/>
      <c r="GBK253" s="4"/>
      <c r="GBL253" s="9"/>
      <c r="GBM253" s="4"/>
      <c r="GBN253" s="9"/>
      <c r="GBO253" s="4"/>
      <c r="GBP253" s="9"/>
      <c r="GBQ253" s="4"/>
      <c r="GBR253" s="9"/>
      <c r="GBS253" s="4"/>
      <c r="GBT253" s="9"/>
      <c r="GBU253" s="4"/>
      <c r="GBV253" s="9"/>
      <c r="GBW253" s="4"/>
      <c r="GBX253" s="9"/>
      <c r="GBY253" s="4"/>
      <c r="GBZ253" s="9"/>
      <c r="GCA253" s="4"/>
      <c r="GCB253" s="9"/>
      <c r="GCC253" s="4"/>
      <c r="GCD253" s="9"/>
      <c r="GCE253" s="4"/>
      <c r="GCF253" s="9"/>
      <c r="GCG253" s="4"/>
      <c r="GCH253" s="9"/>
      <c r="GCI253" s="4"/>
      <c r="GCJ253" s="9"/>
      <c r="GCK253" s="4"/>
      <c r="GCL253" s="9"/>
      <c r="GCM253" s="4"/>
      <c r="GCN253" s="9"/>
      <c r="GCO253" s="4"/>
      <c r="GCP253" s="9"/>
      <c r="GCQ253" s="4"/>
      <c r="GCR253" s="9"/>
      <c r="GCS253" s="4"/>
      <c r="GCT253" s="9"/>
      <c r="GCU253" s="4"/>
      <c r="GCV253" s="9"/>
      <c r="GCW253" s="4"/>
      <c r="GCX253" s="9"/>
      <c r="GCY253" s="4"/>
      <c r="GCZ253" s="9"/>
      <c r="GDA253" s="4"/>
      <c r="GDB253" s="9"/>
      <c r="GDC253" s="4"/>
      <c r="GDD253" s="9"/>
      <c r="GDE253" s="4"/>
      <c r="GDF253" s="9"/>
      <c r="GDG253" s="4"/>
      <c r="GDH253" s="9"/>
      <c r="GDI253" s="4"/>
      <c r="GDJ253" s="9"/>
      <c r="GDK253" s="4"/>
      <c r="GDL253" s="9"/>
      <c r="GDM253" s="4"/>
      <c r="GDN253" s="9"/>
      <c r="GDO253" s="4"/>
      <c r="GDP253" s="9"/>
      <c r="GDQ253" s="4"/>
      <c r="GDR253" s="9"/>
      <c r="GDS253" s="4"/>
      <c r="GDT253" s="9"/>
      <c r="GDU253" s="4"/>
      <c r="GDV253" s="9"/>
      <c r="GDW253" s="4"/>
      <c r="GDX253" s="9"/>
      <c r="GDY253" s="4"/>
      <c r="GDZ253" s="9"/>
      <c r="GEA253" s="4"/>
      <c r="GEB253" s="9"/>
      <c r="GEC253" s="4"/>
      <c r="GED253" s="9"/>
      <c r="GEE253" s="4"/>
      <c r="GEF253" s="9"/>
      <c r="GEG253" s="4"/>
      <c r="GEH253" s="9"/>
      <c r="GEI253" s="4"/>
      <c r="GEJ253" s="9"/>
      <c r="GEK253" s="4"/>
      <c r="GEL253" s="9"/>
      <c r="GEM253" s="4"/>
      <c r="GEN253" s="9"/>
      <c r="GEO253" s="4"/>
      <c r="GEP253" s="9"/>
      <c r="GEQ253" s="4"/>
      <c r="GER253" s="9"/>
      <c r="GES253" s="4"/>
      <c r="GET253" s="9"/>
      <c r="GEU253" s="4"/>
      <c r="GEV253" s="9"/>
      <c r="GEW253" s="4"/>
      <c r="GEX253" s="9"/>
      <c r="GEY253" s="4"/>
      <c r="GEZ253" s="9"/>
      <c r="GFA253" s="4"/>
      <c r="GFB253" s="9"/>
      <c r="GFC253" s="4"/>
      <c r="GFD253" s="9"/>
      <c r="GFE253" s="4"/>
      <c r="GFF253" s="9"/>
      <c r="GFG253" s="4"/>
      <c r="GFH253" s="9"/>
      <c r="GFI253" s="4"/>
      <c r="GFJ253" s="9"/>
      <c r="GFK253" s="4"/>
      <c r="GFL253" s="9"/>
      <c r="GFM253" s="4"/>
      <c r="GFN253" s="9"/>
      <c r="GFO253" s="4"/>
      <c r="GFP253" s="9"/>
      <c r="GFQ253" s="4"/>
      <c r="GFR253" s="9"/>
      <c r="GFS253" s="4"/>
      <c r="GFT253" s="9"/>
      <c r="GFU253" s="4"/>
      <c r="GFV253" s="9"/>
      <c r="GFW253" s="4"/>
      <c r="GFX253" s="9"/>
      <c r="GFY253" s="4"/>
      <c r="GFZ253" s="9"/>
      <c r="GGA253" s="4"/>
      <c r="GGB253" s="9"/>
      <c r="GGC253" s="4"/>
      <c r="GGD253" s="9"/>
      <c r="GGE253" s="4"/>
      <c r="GGF253" s="9"/>
      <c r="GGG253" s="4"/>
      <c r="GGH253" s="9"/>
      <c r="GGI253" s="4"/>
      <c r="GGJ253" s="9"/>
      <c r="GGK253" s="4"/>
      <c r="GGL253" s="9"/>
      <c r="GGM253" s="4"/>
      <c r="GGN253" s="9"/>
      <c r="GGO253" s="4"/>
      <c r="GGP253" s="9"/>
      <c r="GGQ253" s="4"/>
      <c r="GGR253" s="9"/>
      <c r="GGS253" s="4"/>
      <c r="GGT253" s="9"/>
      <c r="GGU253" s="4"/>
      <c r="GGV253" s="9"/>
      <c r="GGW253" s="4"/>
      <c r="GGX253" s="9"/>
      <c r="GGY253" s="4"/>
      <c r="GGZ253" s="9"/>
      <c r="GHA253" s="4"/>
      <c r="GHB253" s="9"/>
      <c r="GHC253" s="4"/>
      <c r="GHD253" s="9"/>
      <c r="GHE253" s="4"/>
      <c r="GHF253" s="9"/>
      <c r="GHG253" s="4"/>
      <c r="GHH253" s="9"/>
      <c r="GHI253" s="4"/>
      <c r="GHJ253" s="9"/>
      <c r="GHK253" s="4"/>
      <c r="GHL253" s="9"/>
      <c r="GHM253" s="4"/>
      <c r="GHN253" s="9"/>
      <c r="GHO253" s="4"/>
      <c r="GHP253" s="9"/>
      <c r="GHQ253" s="4"/>
      <c r="GHR253" s="9"/>
      <c r="GHS253" s="4"/>
      <c r="GHT253" s="9"/>
      <c r="GHU253" s="4"/>
      <c r="GHV253" s="9"/>
      <c r="GHW253" s="4"/>
      <c r="GHX253" s="9"/>
      <c r="GHY253" s="4"/>
      <c r="GHZ253" s="9"/>
      <c r="GIA253" s="4"/>
      <c r="GIB253" s="9"/>
      <c r="GIC253" s="4"/>
      <c r="GID253" s="9"/>
      <c r="GIE253" s="4"/>
      <c r="GIF253" s="9"/>
      <c r="GIG253" s="4"/>
      <c r="GIH253" s="9"/>
      <c r="GII253" s="4"/>
      <c r="GIJ253" s="9"/>
      <c r="GIK253" s="4"/>
      <c r="GIL253" s="9"/>
      <c r="GIM253" s="4"/>
      <c r="GIN253" s="9"/>
      <c r="GIO253" s="4"/>
      <c r="GIP253" s="9"/>
      <c r="GIQ253" s="4"/>
      <c r="GIR253" s="9"/>
      <c r="GIS253" s="4"/>
      <c r="GIT253" s="9"/>
      <c r="GIU253" s="4"/>
      <c r="GIV253" s="9"/>
      <c r="GIW253" s="4"/>
      <c r="GIX253" s="9"/>
      <c r="GIY253" s="4"/>
      <c r="GIZ253" s="9"/>
      <c r="GJA253" s="4"/>
      <c r="GJB253" s="9"/>
      <c r="GJC253" s="4"/>
      <c r="GJD253" s="9"/>
      <c r="GJE253" s="4"/>
      <c r="GJF253" s="9"/>
      <c r="GJG253" s="4"/>
      <c r="GJH253" s="9"/>
      <c r="GJI253" s="4"/>
      <c r="GJJ253" s="9"/>
      <c r="GJK253" s="4"/>
      <c r="GJL253" s="9"/>
      <c r="GJM253" s="4"/>
      <c r="GJN253" s="9"/>
      <c r="GJO253" s="4"/>
      <c r="GJP253" s="9"/>
      <c r="GJQ253" s="4"/>
      <c r="GJR253" s="9"/>
      <c r="GJS253" s="4"/>
      <c r="GJT253" s="9"/>
      <c r="GJU253" s="4"/>
      <c r="GJV253" s="9"/>
      <c r="GJW253" s="4"/>
      <c r="GJX253" s="9"/>
      <c r="GJY253" s="4"/>
      <c r="GJZ253" s="9"/>
      <c r="GKA253" s="4"/>
      <c r="GKB253" s="9"/>
      <c r="GKC253" s="4"/>
      <c r="GKD253" s="9"/>
      <c r="GKE253" s="4"/>
      <c r="GKF253" s="9"/>
      <c r="GKG253" s="4"/>
      <c r="GKH253" s="9"/>
      <c r="GKI253" s="4"/>
      <c r="GKJ253" s="9"/>
      <c r="GKK253" s="4"/>
      <c r="GKL253" s="9"/>
      <c r="GKM253" s="4"/>
      <c r="GKN253" s="9"/>
      <c r="GKO253" s="4"/>
      <c r="GKP253" s="9"/>
      <c r="GKQ253" s="4"/>
      <c r="GKR253" s="9"/>
      <c r="GKS253" s="4"/>
      <c r="GKT253" s="9"/>
      <c r="GKU253" s="4"/>
      <c r="GKV253" s="9"/>
      <c r="GKW253" s="4"/>
      <c r="GKX253" s="9"/>
      <c r="GKY253" s="4"/>
      <c r="GKZ253" s="9"/>
      <c r="GLA253" s="4"/>
      <c r="GLB253" s="9"/>
      <c r="GLC253" s="4"/>
      <c r="GLD253" s="9"/>
      <c r="GLE253" s="4"/>
      <c r="GLF253" s="9"/>
      <c r="GLG253" s="4"/>
      <c r="GLH253" s="9"/>
      <c r="GLI253" s="4"/>
      <c r="GLJ253" s="9"/>
      <c r="GLK253" s="4"/>
      <c r="GLL253" s="9"/>
      <c r="GLM253" s="4"/>
      <c r="GLN253" s="9"/>
      <c r="GLO253" s="4"/>
      <c r="GLP253" s="9"/>
      <c r="GLQ253" s="4"/>
      <c r="GLR253" s="9"/>
      <c r="GLS253" s="4"/>
      <c r="GLT253" s="9"/>
      <c r="GLU253" s="4"/>
      <c r="GLV253" s="9"/>
      <c r="GLW253" s="4"/>
      <c r="GLX253" s="9"/>
      <c r="GLY253" s="4"/>
      <c r="GLZ253" s="9"/>
      <c r="GMA253" s="4"/>
      <c r="GMB253" s="9"/>
      <c r="GMC253" s="4"/>
      <c r="GMD253" s="9"/>
      <c r="GME253" s="4"/>
      <c r="GMF253" s="9"/>
      <c r="GMG253" s="4"/>
      <c r="GMH253" s="9"/>
      <c r="GMI253" s="4"/>
      <c r="GMJ253" s="9"/>
      <c r="GMK253" s="4"/>
      <c r="GML253" s="9"/>
      <c r="GMM253" s="4"/>
      <c r="GMN253" s="9"/>
      <c r="GMO253" s="4"/>
      <c r="GMP253" s="9"/>
      <c r="GMQ253" s="4"/>
      <c r="GMR253" s="9"/>
      <c r="GMS253" s="4"/>
      <c r="GMT253" s="9"/>
      <c r="GMU253" s="4"/>
      <c r="GMV253" s="9"/>
      <c r="GMW253" s="4"/>
      <c r="GMX253" s="9"/>
      <c r="GMY253" s="4"/>
      <c r="GMZ253" s="9"/>
      <c r="GNA253" s="4"/>
      <c r="GNB253" s="9"/>
      <c r="GNC253" s="4"/>
      <c r="GND253" s="9"/>
      <c r="GNE253" s="4"/>
      <c r="GNF253" s="9"/>
      <c r="GNG253" s="4"/>
      <c r="GNH253" s="9"/>
      <c r="GNI253" s="4"/>
      <c r="GNJ253" s="9"/>
      <c r="GNK253" s="4"/>
      <c r="GNL253" s="9"/>
      <c r="GNM253" s="4"/>
      <c r="GNN253" s="9"/>
      <c r="GNO253" s="4"/>
      <c r="GNP253" s="9"/>
      <c r="GNQ253" s="4"/>
      <c r="GNR253" s="9"/>
      <c r="GNS253" s="4"/>
      <c r="GNT253" s="9"/>
      <c r="GNU253" s="4"/>
      <c r="GNV253" s="9"/>
      <c r="GNW253" s="4"/>
      <c r="GNX253" s="9"/>
      <c r="GNY253" s="4"/>
      <c r="GNZ253" s="9"/>
      <c r="GOA253" s="4"/>
      <c r="GOB253" s="9"/>
      <c r="GOC253" s="4"/>
      <c r="GOD253" s="9"/>
      <c r="GOE253" s="4"/>
      <c r="GOF253" s="9"/>
      <c r="GOG253" s="4"/>
      <c r="GOH253" s="9"/>
      <c r="GOI253" s="4"/>
      <c r="GOJ253" s="9"/>
      <c r="GOK253" s="4"/>
      <c r="GOL253" s="9"/>
      <c r="GOM253" s="4"/>
      <c r="GON253" s="9"/>
      <c r="GOO253" s="4"/>
      <c r="GOP253" s="9"/>
      <c r="GOQ253" s="4"/>
      <c r="GOR253" s="9"/>
      <c r="GOS253" s="4"/>
      <c r="GOT253" s="9"/>
      <c r="GOU253" s="4"/>
      <c r="GOV253" s="9"/>
      <c r="GOW253" s="4"/>
      <c r="GOX253" s="9"/>
      <c r="GOY253" s="4"/>
      <c r="GOZ253" s="9"/>
      <c r="GPA253" s="4"/>
      <c r="GPB253" s="9"/>
      <c r="GPC253" s="4"/>
      <c r="GPD253" s="9"/>
      <c r="GPE253" s="4"/>
      <c r="GPF253" s="9"/>
      <c r="GPG253" s="4"/>
      <c r="GPH253" s="9"/>
      <c r="GPI253" s="4"/>
      <c r="GPJ253" s="9"/>
      <c r="GPK253" s="4"/>
      <c r="GPL253" s="9"/>
      <c r="GPM253" s="4"/>
      <c r="GPN253" s="9"/>
      <c r="GPO253" s="4"/>
      <c r="GPP253" s="9"/>
      <c r="GPQ253" s="4"/>
      <c r="GPR253" s="9"/>
      <c r="GPS253" s="4"/>
      <c r="GPT253" s="9"/>
      <c r="GPU253" s="4"/>
      <c r="GPV253" s="9"/>
      <c r="GPW253" s="4"/>
      <c r="GPX253" s="9"/>
      <c r="GPY253" s="4"/>
      <c r="GPZ253" s="9"/>
      <c r="GQA253" s="4"/>
      <c r="GQB253" s="9"/>
      <c r="GQC253" s="4"/>
      <c r="GQD253" s="9"/>
      <c r="GQE253" s="4"/>
      <c r="GQF253" s="9"/>
      <c r="GQG253" s="4"/>
      <c r="GQH253" s="9"/>
      <c r="GQI253" s="4"/>
      <c r="GQJ253" s="9"/>
      <c r="GQK253" s="4"/>
      <c r="GQL253" s="9"/>
      <c r="GQM253" s="4"/>
      <c r="GQN253" s="9"/>
      <c r="GQO253" s="4"/>
      <c r="GQP253" s="9"/>
      <c r="GQQ253" s="4"/>
      <c r="GQR253" s="9"/>
      <c r="GQS253" s="4"/>
      <c r="GQT253" s="9"/>
      <c r="GQU253" s="4"/>
      <c r="GQV253" s="9"/>
      <c r="GQW253" s="4"/>
      <c r="GQX253" s="9"/>
      <c r="GQY253" s="4"/>
      <c r="GQZ253" s="9"/>
      <c r="GRA253" s="4"/>
      <c r="GRB253" s="9"/>
      <c r="GRC253" s="4"/>
      <c r="GRD253" s="9"/>
      <c r="GRE253" s="4"/>
      <c r="GRF253" s="9"/>
      <c r="GRG253" s="4"/>
      <c r="GRH253" s="9"/>
      <c r="GRI253" s="4"/>
      <c r="GRJ253" s="9"/>
      <c r="GRK253" s="4"/>
      <c r="GRL253" s="9"/>
      <c r="GRM253" s="4"/>
      <c r="GRN253" s="9"/>
      <c r="GRO253" s="4"/>
      <c r="GRP253" s="9"/>
      <c r="GRQ253" s="4"/>
      <c r="GRR253" s="9"/>
      <c r="GRS253" s="4"/>
      <c r="GRT253" s="9"/>
      <c r="GRU253" s="4"/>
      <c r="GRV253" s="9"/>
      <c r="GRW253" s="4"/>
      <c r="GRX253" s="9"/>
      <c r="GRY253" s="4"/>
      <c r="GRZ253" s="9"/>
      <c r="GSA253" s="4"/>
      <c r="GSB253" s="9"/>
      <c r="GSC253" s="4"/>
      <c r="GSD253" s="9"/>
      <c r="GSE253" s="4"/>
      <c r="GSF253" s="9"/>
      <c r="GSG253" s="4"/>
      <c r="GSH253" s="9"/>
      <c r="GSI253" s="4"/>
      <c r="GSJ253" s="9"/>
      <c r="GSK253" s="4"/>
      <c r="GSL253" s="9"/>
      <c r="GSM253" s="4"/>
      <c r="GSN253" s="9"/>
      <c r="GSO253" s="4"/>
      <c r="GSP253" s="9"/>
      <c r="GSQ253" s="4"/>
      <c r="GSR253" s="9"/>
      <c r="GSS253" s="4"/>
      <c r="GST253" s="9"/>
      <c r="GSU253" s="4"/>
      <c r="GSV253" s="9"/>
      <c r="GSW253" s="4"/>
      <c r="GSX253" s="9"/>
      <c r="GSY253" s="4"/>
      <c r="GSZ253" s="9"/>
      <c r="GTA253" s="4"/>
      <c r="GTB253" s="9"/>
      <c r="GTC253" s="4"/>
      <c r="GTD253" s="9"/>
      <c r="GTE253" s="4"/>
      <c r="GTF253" s="9"/>
      <c r="GTG253" s="4"/>
      <c r="GTH253" s="9"/>
      <c r="GTI253" s="4"/>
      <c r="GTJ253" s="9"/>
      <c r="GTK253" s="4"/>
      <c r="GTL253" s="9"/>
      <c r="GTM253" s="4"/>
      <c r="GTN253" s="9"/>
      <c r="GTO253" s="4"/>
      <c r="GTP253" s="9"/>
      <c r="GTQ253" s="4"/>
      <c r="GTR253" s="9"/>
      <c r="GTS253" s="4"/>
      <c r="GTT253" s="9"/>
      <c r="GTU253" s="4"/>
      <c r="GTV253" s="9"/>
      <c r="GTW253" s="4"/>
      <c r="GTX253" s="9"/>
      <c r="GTY253" s="4"/>
      <c r="GTZ253" s="9"/>
      <c r="GUA253" s="4"/>
      <c r="GUB253" s="9"/>
      <c r="GUC253" s="4"/>
      <c r="GUD253" s="9"/>
      <c r="GUE253" s="4"/>
      <c r="GUF253" s="9"/>
      <c r="GUG253" s="4"/>
      <c r="GUH253" s="9"/>
      <c r="GUI253" s="4"/>
      <c r="GUJ253" s="9"/>
      <c r="GUK253" s="4"/>
      <c r="GUL253" s="9"/>
      <c r="GUM253" s="4"/>
      <c r="GUN253" s="9"/>
      <c r="GUO253" s="4"/>
      <c r="GUP253" s="9"/>
      <c r="GUQ253" s="4"/>
      <c r="GUR253" s="9"/>
      <c r="GUS253" s="4"/>
      <c r="GUT253" s="9"/>
      <c r="GUU253" s="4"/>
      <c r="GUV253" s="9"/>
      <c r="GUW253" s="4"/>
      <c r="GUX253" s="9"/>
      <c r="GUY253" s="4"/>
      <c r="GUZ253" s="9"/>
      <c r="GVA253" s="4"/>
      <c r="GVB253" s="9"/>
      <c r="GVC253" s="4"/>
      <c r="GVD253" s="9"/>
      <c r="GVE253" s="4"/>
      <c r="GVF253" s="9"/>
      <c r="GVG253" s="4"/>
      <c r="GVH253" s="9"/>
      <c r="GVI253" s="4"/>
      <c r="GVJ253" s="9"/>
      <c r="GVK253" s="4"/>
      <c r="GVL253" s="9"/>
      <c r="GVM253" s="4"/>
      <c r="GVN253" s="9"/>
      <c r="GVO253" s="4"/>
      <c r="GVP253" s="9"/>
      <c r="GVQ253" s="4"/>
      <c r="GVR253" s="9"/>
      <c r="GVS253" s="4"/>
      <c r="GVT253" s="9"/>
      <c r="GVU253" s="4"/>
      <c r="GVV253" s="9"/>
      <c r="GVW253" s="4"/>
      <c r="GVX253" s="9"/>
      <c r="GVY253" s="4"/>
      <c r="GVZ253" s="9"/>
      <c r="GWA253" s="4"/>
      <c r="GWB253" s="9"/>
      <c r="GWC253" s="4"/>
      <c r="GWD253" s="9"/>
      <c r="GWE253" s="4"/>
      <c r="GWF253" s="9"/>
      <c r="GWG253" s="4"/>
      <c r="GWH253" s="9"/>
      <c r="GWI253" s="4"/>
      <c r="GWJ253" s="9"/>
      <c r="GWK253" s="4"/>
      <c r="GWL253" s="9"/>
      <c r="GWM253" s="4"/>
      <c r="GWN253" s="9"/>
      <c r="GWO253" s="4"/>
      <c r="GWP253" s="9"/>
      <c r="GWQ253" s="4"/>
      <c r="GWR253" s="9"/>
      <c r="GWS253" s="4"/>
      <c r="GWT253" s="9"/>
      <c r="GWU253" s="4"/>
      <c r="GWV253" s="9"/>
      <c r="GWW253" s="4"/>
      <c r="GWX253" s="9"/>
      <c r="GWY253" s="4"/>
      <c r="GWZ253" s="9"/>
      <c r="GXA253" s="4"/>
      <c r="GXB253" s="9"/>
      <c r="GXC253" s="4"/>
      <c r="GXD253" s="9"/>
      <c r="GXE253" s="4"/>
      <c r="GXF253" s="9"/>
      <c r="GXG253" s="4"/>
      <c r="GXH253" s="9"/>
      <c r="GXI253" s="4"/>
      <c r="GXJ253" s="9"/>
      <c r="GXK253" s="4"/>
      <c r="GXL253" s="9"/>
      <c r="GXM253" s="4"/>
      <c r="GXN253" s="9"/>
      <c r="GXO253" s="4"/>
      <c r="GXP253" s="9"/>
      <c r="GXQ253" s="4"/>
      <c r="GXR253" s="9"/>
      <c r="GXS253" s="4"/>
      <c r="GXT253" s="9"/>
      <c r="GXU253" s="4"/>
      <c r="GXV253" s="9"/>
      <c r="GXW253" s="4"/>
      <c r="GXX253" s="9"/>
      <c r="GXY253" s="4"/>
      <c r="GXZ253" s="9"/>
      <c r="GYA253" s="4"/>
      <c r="GYB253" s="9"/>
      <c r="GYC253" s="4"/>
      <c r="GYD253" s="9"/>
      <c r="GYE253" s="4"/>
      <c r="GYF253" s="9"/>
      <c r="GYG253" s="4"/>
      <c r="GYH253" s="9"/>
      <c r="GYI253" s="4"/>
      <c r="GYJ253" s="9"/>
      <c r="GYK253" s="4"/>
      <c r="GYL253" s="9"/>
      <c r="GYM253" s="4"/>
      <c r="GYN253" s="9"/>
      <c r="GYO253" s="4"/>
      <c r="GYP253" s="9"/>
      <c r="GYQ253" s="4"/>
      <c r="GYR253" s="9"/>
      <c r="GYS253" s="4"/>
      <c r="GYT253" s="9"/>
      <c r="GYU253" s="4"/>
      <c r="GYV253" s="9"/>
      <c r="GYW253" s="4"/>
      <c r="GYX253" s="9"/>
      <c r="GYY253" s="4"/>
      <c r="GYZ253" s="9"/>
      <c r="GZA253" s="4"/>
      <c r="GZB253" s="9"/>
      <c r="GZC253" s="4"/>
      <c r="GZD253" s="9"/>
      <c r="GZE253" s="4"/>
      <c r="GZF253" s="9"/>
      <c r="GZG253" s="4"/>
      <c r="GZH253" s="9"/>
      <c r="GZI253" s="4"/>
      <c r="GZJ253" s="9"/>
      <c r="GZK253" s="4"/>
      <c r="GZL253" s="9"/>
      <c r="GZM253" s="4"/>
      <c r="GZN253" s="9"/>
      <c r="GZO253" s="4"/>
      <c r="GZP253" s="9"/>
      <c r="GZQ253" s="4"/>
      <c r="GZR253" s="9"/>
      <c r="GZS253" s="4"/>
      <c r="GZT253" s="9"/>
      <c r="GZU253" s="4"/>
      <c r="GZV253" s="9"/>
      <c r="GZW253" s="4"/>
      <c r="GZX253" s="9"/>
      <c r="GZY253" s="4"/>
      <c r="GZZ253" s="9"/>
      <c r="HAA253" s="4"/>
      <c r="HAB253" s="9"/>
      <c r="HAC253" s="4"/>
      <c r="HAD253" s="9"/>
      <c r="HAE253" s="4"/>
      <c r="HAF253" s="9"/>
      <c r="HAG253" s="4"/>
      <c r="HAH253" s="9"/>
      <c r="HAI253" s="4"/>
      <c r="HAJ253" s="9"/>
      <c r="HAK253" s="4"/>
      <c r="HAL253" s="9"/>
      <c r="HAM253" s="4"/>
      <c r="HAN253" s="9"/>
      <c r="HAO253" s="4"/>
      <c r="HAP253" s="9"/>
      <c r="HAQ253" s="4"/>
      <c r="HAR253" s="9"/>
      <c r="HAS253" s="4"/>
      <c r="HAT253" s="9"/>
      <c r="HAU253" s="4"/>
      <c r="HAV253" s="9"/>
      <c r="HAW253" s="4"/>
      <c r="HAX253" s="9"/>
      <c r="HAY253" s="4"/>
      <c r="HAZ253" s="9"/>
      <c r="HBA253" s="4"/>
      <c r="HBB253" s="9"/>
      <c r="HBC253" s="4"/>
      <c r="HBD253" s="9"/>
      <c r="HBE253" s="4"/>
      <c r="HBF253" s="9"/>
      <c r="HBG253" s="4"/>
      <c r="HBH253" s="9"/>
      <c r="HBI253" s="4"/>
      <c r="HBJ253" s="9"/>
      <c r="HBK253" s="4"/>
      <c r="HBL253" s="9"/>
      <c r="HBM253" s="4"/>
      <c r="HBN253" s="9"/>
      <c r="HBO253" s="4"/>
      <c r="HBP253" s="9"/>
      <c r="HBQ253" s="4"/>
      <c r="HBR253" s="9"/>
      <c r="HBS253" s="4"/>
      <c r="HBT253" s="9"/>
      <c r="HBU253" s="4"/>
      <c r="HBV253" s="9"/>
      <c r="HBW253" s="4"/>
      <c r="HBX253" s="9"/>
      <c r="HBY253" s="4"/>
      <c r="HBZ253" s="9"/>
      <c r="HCA253" s="4"/>
      <c r="HCB253" s="9"/>
      <c r="HCC253" s="4"/>
      <c r="HCD253" s="9"/>
      <c r="HCE253" s="4"/>
      <c r="HCF253" s="9"/>
      <c r="HCG253" s="4"/>
      <c r="HCH253" s="9"/>
      <c r="HCI253" s="4"/>
      <c r="HCJ253" s="9"/>
      <c r="HCK253" s="4"/>
      <c r="HCL253" s="9"/>
      <c r="HCM253" s="4"/>
      <c r="HCN253" s="9"/>
      <c r="HCO253" s="4"/>
      <c r="HCP253" s="9"/>
      <c r="HCQ253" s="4"/>
      <c r="HCR253" s="9"/>
      <c r="HCS253" s="4"/>
      <c r="HCT253" s="9"/>
      <c r="HCU253" s="4"/>
      <c r="HCV253" s="9"/>
      <c r="HCW253" s="4"/>
      <c r="HCX253" s="9"/>
      <c r="HCY253" s="4"/>
      <c r="HCZ253" s="9"/>
      <c r="HDA253" s="4"/>
      <c r="HDB253" s="9"/>
      <c r="HDC253" s="4"/>
      <c r="HDD253" s="9"/>
      <c r="HDE253" s="4"/>
      <c r="HDF253" s="9"/>
      <c r="HDG253" s="4"/>
      <c r="HDH253" s="9"/>
      <c r="HDI253" s="4"/>
      <c r="HDJ253" s="9"/>
      <c r="HDK253" s="4"/>
      <c r="HDL253" s="9"/>
      <c r="HDM253" s="4"/>
      <c r="HDN253" s="9"/>
      <c r="HDO253" s="4"/>
      <c r="HDP253" s="9"/>
      <c r="HDQ253" s="4"/>
      <c r="HDR253" s="9"/>
      <c r="HDS253" s="4"/>
      <c r="HDT253" s="9"/>
      <c r="HDU253" s="4"/>
      <c r="HDV253" s="9"/>
      <c r="HDW253" s="4"/>
      <c r="HDX253" s="9"/>
      <c r="HDY253" s="4"/>
      <c r="HDZ253" s="9"/>
      <c r="HEA253" s="4"/>
      <c r="HEB253" s="9"/>
      <c r="HEC253" s="4"/>
      <c r="HED253" s="9"/>
      <c r="HEE253" s="4"/>
      <c r="HEF253" s="9"/>
      <c r="HEG253" s="4"/>
      <c r="HEH253" s="9"/>
      <c r="HEI253" s="4"/>
      <c r="HEJ253" s="9"/>
      <c r="HEK253" s="4"/>
      <c r="HEL253" s="9"/>
      <c r="HEM253" s="4"/>
      <c r="HEN253" s="9"/>
      <c r="HEO253" s="4"/>
      <c r="HEP253" s="9"/>
      <c r="HEQ253" s="4"/>
      <c r="HER253" s="9"/>
      <c r="HES253" s="4"/>
      <c r="HET253" s="9"/>
      <c r="HEU253" s="4"/>
      <c r="HEV253" s="9"/>
      <c r="HEW253" s="4"/>
      <c r="HEX253" s="9"/>
      <c r="HEY253" s="4"/>
      <c r="HEZ253" s="9"/>
      <c r="HFA253" s="4"/>
      <c r="HFB253" s="9"/>
      <c r="HFC253" s="4"/>
      <c r="HFD253" s="9"/>
      <c r="HFE253" s="4"/>
      <c r="HFF253" s="9"/>
      <c r="HFG253" s="4"/>
      <c r="HFH253" s="9"/>
      <c r="HFI253" s="4"/>
      <c r="HFJ253" s="9"/>
      <c r="HFK253" s="4"/>
      <c r="HFL253" s="9"/>
      <c r="HFM253" s="4"/>
      <c r="HFN253" s="9"/>
      <c r="HFO253" s="4"/>
      <c r="HFP253" s="9"/>
      <c r="HFQ253" s="4"/>
      <c r="HFR253" s="9"/>
      <c r="HFS253" s="4"/>
      <c r="HFT253" s="9"/>
      <c r="HFU253" s="4"/>
      <c r="HFV253" s="9"/>
      <c r="HFW253" s="4"/>
      <c r="HFX253" s="9"/>
      <c r="HFY253" s="4"/>
      <c r="HFZ253" s="9"/>
      <c r="HGA253" s="4"/>
      <c r="HGB253" s="9"/>
      <c r="HGC253" s="4"/>
      <c r="HGD253" s="9"/>
      <c r="HGE253" s="4"/>
      <c r="HGF253" s="9"/>
      <c r="HGG253" s="4"/>
      <c r="HGH253" s="9"/>
      <c r="HGI253" s="4"/>
      <c r="HGJ253" s="9"/>
      <c r="HGK253" s="4"/>
      <c r="HGL253" s="9"/>
      <c r="HGM253" s="4"/>
      <c r="HGN253" s="9"/>
      <c r="HGO253" s="4"/>
      <c r="HGP253" s="9"/>
      <c r="HGQ253" s="4"/>
      <c r="HGR253" s="9"/>
      <c r="HGS253" s="4"/>
      <c r="HGT253" s="9"/>
      <c r="HGU253" s="4"/>
      <c r="HGV253" s="9"/>
      <c r="HGW253" s="4"/>
      <c r="HGX253" s="9"/>
      <c r="HGY253" s="4"/>
      <c r="HGZ253" s="9"/>
      <c r="HHA253" s="4"/>
      <c r="HHB253" s="9"/>
      <c r="HHC253" s="4"/>
      <c r="HHD253" s="9"/>
      <c r="HHE253" s="4"/>
      <c r="HHF253" s="9"/>
      <c r="HHG253" s="4"/>
      <c r="HHH253" s="9"/>
      <c r="HHI253" s="4"/>
      <c r="HHJ253" s="9"/>
      <c r="HHK253" s="4"/>
      <c r="HHL253" s="9"/>
      <c r="HHM253" s="4"/>
      <c r="HHN253" s="9"/>
      <c r="HHO253" s="4"/>
      <c r="HHP253" s="9"/>
      <c r="HHQ253" s="4"/>
      <c r="HHR253" s="9"/>
      <c r="HHS253" s="4"/>
      <c r="HHT253" s="9"/>
      <c r="HHU253" s="4"/>
      <c r="HHV253" s="9"/>
      <c r="HHW253" s="4"/>
      <c r="HHX253" s="9"/>
      <c r="HHY253" s="4"/>
      <c r="HHZ253" s="9"/>
      <c r="HIA253" s="4"/>
      <c r="HIB253" s="9"/>
      <c r="HIC253" s="4"/>
      <c r="HID253" s="9"/>
      <c r="HIE253" s="4"/>
      <c r="HIF253" s="9"/>
      <c r="HIG253" s="4"/>
      <c r="HIH253" s="9"/>
      <c r="HII253" s="4"/>
      <c r="HIJ253" s="9"/>
      <c r="HIK253" s="4"/>
      <c r="HIL253" s="9"/>
      <c r="HIM253" s="4"/>
      <c r="HIN253" s="9"/>
      <c r="HIO253" s="4"/>
      <c r="HIP253" s="9"/>
      <c r="HIQ253" s="4"/>
      <c r="HIR253" s="9"/>
      <c r="HIS253" s="4"/>
      <c r="HIT253" s="9"/>
      <c r="HIU253" s="4"/>
      <c r="HIV253" s="9"/>
      <c r="HIW253" s="4"/>
      <c r="HIX253" s="9"/>
      <c r="HIY253" s="4"/>
      <c r="HIZ253" s="9"/>
      <c r="HJA253" s="4"/>
      <c r="HJB253" s="9"/>
      <c r="HJC253" s="4"/>
      <c r="HJD253" s="9"/>
      <c r="HJE253" s="4"/>
      <c r="HJF253" s="9"/>
      <c r="HJG253" s="4"/>
      <c r="HJH253" s="9"/>
      <c r="HJI253" s="4"/>
      <c r="HJJ253" s="9"/>
      <c r="HJK253" s="4"/>
      <c r="HJL253" s="9"/>
      <c r="HJM253" s="4"/>
      <c r="HJN253" s="9"/>
      <c r="HJO253" s="4"/>
      <c r="HJP253" s="9"/>
      <c r="HJQ253" s="4"/>
      <c r="HJR253" s="9"/>
      <c r="HJS253" s="4"/>
      <c r="HJT253" s="9"/>
      <c r="HJU253" s="4"/>
      <c r="HJV253" s="9"/>
      <c r="HJW253" s="4"/>
      <c r="HJX253" s="9"/>
      <c r="HJY253" s="4"/>
      <c r="HJZ253" s="9"/>
      <c r="HKA253" s="4"/>
      <c r="HKB253" s="9"/>
      <c r="HKC253" s="4"/>
      <c r="HKD253" s="9"/>
      <c r="HKE253" s="4"/>
      <c r="HKF253" s="9"/>
      <c r="HKG253" s="4"/>
      <c r="HKH253" s="9"/>
      <c r="HKI253" s="4"/>
      <c r="HKJ253" s="9"/>
      <c r="HKK253" s="4"/>
      <c r="HKL253" s="9"/>
      <c r="HKM253" s="4"/>
      <c r="HKN253" s="9"/>
      <c r="HKO253" s="4"/>
      <c r="HKP253" s="9"/>
      <c r="HKQ253" s="4"/>
      <c r="HKR253" s="9"/>
      <c r="HKS253" s="4"/>
      <c r="HKT253" s="9"/>
      <c r="HKU253" s="4"/>
      <c r="HKV253" s="9"/>
      <c r="HKW253" s="4"/>
      <c r="HKX253" s="9"/>
      <c r="HKY253" s="4"/>
      <c r="HKZ253" s="9"/>
      <c r="HLA253" s="4"/>
      <c r="HLB253" s="9"/>
      <c r="HLC253" s="4"/>
      <c r="HLD253" s="9"/>
      <c r="HLE253" s="4"/>
      <c r="HLF253" s="9"/>
      <c r="HLG253" s="4"/>
      <c r="HLH253" s="9"/>
      <c r="HLI253" s="4"/>
      <c r="HLJ253" s="9"/>
      <c r="HLK253" s="4"/>
      <c r="HLL253" s="9"/>
      <c r="HLM253" s="4"/>
      <c r="HLN253" s="9"/>
      <c r="HLO253" s="4"/>
      <c r="HLP253" s="9"/>
      <c r="HLQ253" s="4"/>
      <c r="HLR253" s="9"/>
      <c r="HLS253" s="4"/>
      <c r="HLT253" s="9"/>
      <c r="HLU253" s="4"/>
      <c r="HLV253" s="9"/>
      <c r="HLW253" s="4"/>
      <c r="HLX253" s="9"/>
      <c r="HLY253" s="4"/>
      <c r="HLZ253" s="9"/>
      <c r="HMA253" s="4"/>
      <c r="HMB253" s="9"/>
      <c r="HMC253" s="4"/>
      <c r="HMD253" s="9"/>
      <c r="HME253" s="4"/>
      <c r="HMF253" s="9"/>
      <c r="HMG253" s="4"/>
      <c r="HMH253" s="9"/>
      <c r="HMI253" s="4"/>
      <c r="HMJ253" s="9"/>
      <c r="HMK253" s="4"/>
      <c r="HML253" s="9"/>
      <c r="HMM253" s="4"/>
      <c r="HMN253" s="9"/>
      <c r="HMO253" s="4"/>
      <c r="HMP253" s="9"/>
      <c r="HMQ253" s="4"/>
      <c r="HMR253" s="9"/>
      <c r="HMS253" s="4"/>
      <c r="HMT253" s="9"/>
      <c r="HMU253" s="4"/>
      <c r="HMV253" s="9"/>
      <c r="HMW253" s="4"/>
      <c r="HMX253" s="9"/>
      <c r="HMY253" s="4"/>
      <c r="HMZ253" s="9"/>
      <c r="HNA253" s="4"/>
      <c r="HNB253" s="9"/>
      <c r="HNC253" s="4"/>
      <c r="HND253" s="9"/>
      <c r="HNE253" s="4"/>
      <c r="HNF253" s="9"/>
      <c r="HNG253" s="4"/>
      <c r="HNH253" s="9"/>
      <c r="HNI253" s="4"/>
      <c r="HNJ253" s="9"/>
      <c r="HNK253" s="4"/>
      <c r="HNL253" s="9"/>
      <c r="HNM253" s="4"/>
      <c r="HNN253" s="9"/>
      <c r="HNO253" s="4"/>
      <c r="HNP253" s="9"/>
      <c r="HNQ253" s="4"/>
      <c r="HNR253" s="9"/>
      <c r="HNS253" s="4"/>
      <c r="HNT253" s="9"/>
      <c r="HNU253" s="4"/>
      <c r="HNV253" s="9"/>
      <c r="HNW253" s="4"/>
      <c r="HNX253" s="9"/>
      <c r="HNY253" s="4"/>
      <c r="HNZ253" s="9"/>
      <c r="HOA253" s="4"/>
      <c r="HOB253" s="9"/>
      <c r="HOC253" s="4"/>
      <c r="HOD253" s="9"/>
      <c r="HOE253" s="4"/>
      <c r="HOF253" s="9"/>
      <c r="HOG253" s="4"/>
      <c r="HOH253" s="9"/>
      <c r="HOI253" s="4"/>
      <c r="HOJ253" s="9"/>
      <c r="HOK253" s="4"/>
      <c r="HOL253" s="9"/>
      <c r="HOM253" s="4"/>
      <c r="HON253" s="9"/>
      <c r="HOO253" s="4"/>
      <c r="HOP253" s="9"/>
      <c r="HOQ253" s="4"/>
      <c r="HOR253" s="9"/>
      <c r="HOS253" s="4"/>
      <c r="HOT253" s="9"/>
      <c r="HOU253" s="4"/>
      <c r="HOV253" s="9"/>
      <c r="HOW253" s="4"/>
      <c r="HOX253" s="9"/>
      <c r="HOY253" s="4"/>
      <c r="HOZ253" s="9"/>
      <c r="HPA253" s="4"/>
      <c r="HPB253" s="9"/>
      <c r="HPC253" s="4"/>
      <c r="HPD253" s="9"/>
      <c r="HPE253" s="4"/>
      <c r="HPF253" s="9"/>
      <c r="HPG253" s="4"/>
      <c r="HPH253" s="9"/>
      <c r="HPI253" s="4"/>
      <c r="HPJ253" s="9"/>
      <c r="HPK253" s="4"/>
      <c r="HPL253" s="9"/>
      <c r="HPM253" s="4"/>
      <c r="HPN253" s="9"/>
      <c r="HPO253" s="4"/>
      <c r="HPP253" s="9"/>
      <c r="HPQ253" s="4"/>
      <c r="HPR253" s="9"/>
      <c r="HPS253" s="4"/>
      <c r="HPT253" s="9"/>
      <c r="HPU253" s="4"/>
      <c r="HPV253" s="9"/>
      <c r="HPW253" s="4"/>
      <c r="HPX253" s="9"/>
      <c r="HPY253" s="4"/>
      <c r="HPZ253" s="9"/>
      <c r="HQA253" s="4"/>
      <c r="HQB253" s="9"/>
      <c r="HQC253" s="4"/>
      <c r="HQD253" s="9"/>
      <c r="HQE253" s="4"/>
      <c r="HQF253" s="9"/>
      <c r="HQG253" s="4"/>
      <c r="HQH253" s="9"/>
      <c r="HQI253" s="4"/>
      <c r="HQJ253" s="9"/>
      <c r="HQK253" s="4"/>
      <c r="HQL253" s="9"/>
      <c r="HQM253" s="4"/>
      <c r="HQN253" s="9"/>
      <c r="HQO253" s="4"/>
      <c r="HQP253" s="9"/>
      <c r="HQQ253" s="4"/>
      <c r="HQR253" s="9"/>
      <c r="HQS253" s="4"/>
      <c r="HQT253" s="9"/>
      <c r="HQU253" s="4"/>
      <c r="HQV253" s="9"/>
      <c r="HQW253" s="4"/>
      <c r="HQX253" s="9"/>
      <c r="HQY253" s="4"/>
      <c r="HQZ253" s="9"/>
      <c r="HRA253" s="4"/>
      <c r="HRB253" s="9"/>
      <c r="HRC253" s="4"/>
      <c r="HRD253" s="9"/>
      <c r="HRE253" s="4"/>
      <c r="HRF253" s="9"/>
      <c r="HRG253" s="4"/>
      <c r="HRH253" s="9"/>
      <c r="HRI253" s="4"/>
      <c r="HRJ253" s="9"/>
      <c r="HRK253" s="4"/>
      <c r="HRL253" s="9"/>
      <c r="HRM253" s="4"/>
      <c r="HRN253" s="9"/>
      <c r="HRO253" s="4"/>
      <c r="HRP253" s="9"/>
      <c r="HRQ253" s="4"/>
      <c r="HRR253" s="9"/>
      <c r="HRS253" s="4"/>
      <c r="HRT253" s="9"/>
      <c r="HRU253" s="4"/>
      <c r="HRV253" s="9"/>
      <c r="HRW253" s="4"/>
      <c r="HRX253" s="9"/>
      <c r="HRY253" s="4"/>
      <c r="HRZ253" s="9"/>
      <c r="HSA253" s="4"/>
      <c r="HSB253" s="9"/>
      <c r="HSC253" s="4"/>
      <c r="HSD253" s="9"/>
      <c r="HSE253" s="4"/>
      <c r="HSF253" s="9"/>
      <c r="HSG253" s="4"/>
      <c r="HSH253" s="9"/>
      <c r="HSI253" s="4"/>
      <c r="HSJ253" s="9"/>
      <c r="HSK253" s="4"/>
      <c r="HSL253" s="9"/>
      <c r="HSM253" s="4"/>
      <c r="HSN253" s="9"/>
      <c r="HSO253" s="4"/>
      <c r="HSP253" s="9"/>
      <c r="HSQ253" s="4"/>
      <c r="HSR253" s="9"/>
      <c r="HSS253" s="4"/>
      <c r="HST253" s="9"/>
      <c r="HSU253" s="4"/>
      <c r="HSV253" s="9"/>
      <c r="HSW253" s="4"/>
      <c r="HSX253" s="9"/>
      <c r="HSY253" s="4"/>
      <c r="HSZ253" s="9"/>
      <c r="HTA253" s="4"/>
      <c r="HTB253" s="9"/>
      <c r="HTC253" s="4"/>
      <c r="HTD253" s="9"/>
      <c r="HTE253" s="4"/>
      <c r="HTF253" s="9"/>
      <c r="HTG253" s="4"/>
      <c r="HTH253" s="9"/>
      <c r="HTI253" s="4"/>
      <c r="HTJ253" s="9"/>
      <c r="HTK253" s="4"/>
      <c r="HTL253" s="9"/>
      <c r="HTM253" s="4"/>
      <c r="HTN253" s="9"/>
      <c r="HTO253" s="4"/>
      <c r="HTP253" s="9"/>
      <c r="HTQ253" s="4"/>
      <c r="HTR253" s="9"/>
      <c r="HTS253" s="4"/>
      <c r="HTT253" s="9"/>
      <c r="HTU253" s="4"/>
      <c r="HTV253" s="9"/>
      <c r="HTW253" s="4"/>
      <c r="HTX253" s="9"/>
      <c r="HTY253" s="4"/>
      <c r="HTZ253" s="9"/>
      <c r="HUA253" s="4"/>
      <c r="HUB253" s="9"/>
      <c r="HUC253" s="4"/>
      <c r="HUD253" s="9"/>
      <c r="HUE253" s="4"/>
      <c r="HUF253" s="9"/>
      <c r="HUG253" s="4"/>
      <c r="HUH253" s="9"/>
      <c r="HUI253" s="4"/>
      <c r="HUJ253" s="9"/>
      <c r="HUK253" s="4"/>
      <c r="HUL253" s="9"/>
      <c r="HUM253" s="4"/>
      <c r="HUN253" s="9"/>
      <c r="HUO253" s="4"/>
      <c r="HUP253" s="9"/>
      <c r="HUQ253" s="4"/>
      <c r="HUR253" s="9"/>
      <c r="HUS253" s="4"/>
      <c r="HUT253" s="9"/>
      <c r="HUU253" s="4"/>
      <c r="HUV253" s="9"/>
      <c r="HUW253" s="4"/>
      <c r="HUX253" s="9"/>
      <c r="HUY253" s="4"/>
      <c r="HUZ253" s="9"/>
      <c r="HVA253" s="4"/>
      <c r="HVB253" s="9"/>
      <c r="HVC253" s="4"/>
      <c r="HVD253" s="9"/>
      <c r="HVE253" s="4"/>
      <c r="HVF253" s="9"/>
      <c r="HVG253" s="4"/>
      <c r="HVH253" s="9"/>
      <c r="HVI253" s="4"/>
      <c r="HVJ253" s="9"/>
      <c r="HVK253" s="4"/>
      <c r="HVL253" s="9"/>
      <c r="HVM253" s="4"/>
      <c r="HVN253" s="9"/>
      <c r="HVO253" s="4"/>
      <c r="HVP253" s="9"/>
      <c r="HVQ253" s="4"/>
      <c r="HVR253" s="9"/>
      <c r="HVS253" s="4"/>
      <c r="HVT253" s="9"/>
      <c r="HVU253" s="4"/>
      <c r="HVV253" s="9"/>
      <c r="HVW253" s="4"/>
      <c r="HVX253" s="9"/>
      <c r="HVY253" s="4"/>
      <c r="HVZ253" s="9"/>
      <c r="HWA253" s="4"/>
      <c r="HWB253" s="9"/>
      <c r="HWC253" s="4"/>
      <c r="HWD253" s="9"/>
      <c r="HWE253" s="4"/>
      <c r="HWF253" s="9"/>
      <c r="HWG253" s="4"/>
      <c r="HWH253" s="9"/>
      <c r="HWI253" s="4"/>
      <c r="HWJ253" s="9"/>
      <c r="HWK253" s="4"/>
      <c r="HWL253" s="9"/>
      <c r="HWM253" s="4"/>
      <c r="HWN253" s="9"/>
      <c r="HWO253" s="4"/>
      <c r="HWP253" s="9"/>
      <c r="HWQ253" s="4"/>
      <c r="HWR253" s="9"/>
      <c r="HWS253" s="4"/>
      <c r="HWT253" s="9"/>
      <c r="HWU253" s="4"/>
      <c r="HWV253" s="9"/>
      <c r="HWW253" s="4"/>
      <c r="HWX253" s="9"/>
      <c r="HWY253" s="4"/>
      <c r="HWZ253" s="9"/>
      <c r="HXA253" s="4"/>
      <c r="HXB253" s="9"/>
      <c r="HXC253" s="4"/>
      <c r="HXD253" s="9"/>
      <c r="HXE253" s="4"/>
      <c r="HXF253" s="9"/>
      <c r="HXG253" s="4"/>
      <c r="HXH253" s="9"/>
      <c r="HXI253" s="4"/>
      <c r="HXJ253" s="9"/>
      <c r="HXK253" s="4"/>
      <c r="HXL253" s="9"/>
      <c r="HXM253" s="4"/>
      <c r="HXN253" s="9"/>
      <c r="HXO253" s="4"/>
      <c r="HXP253" s="9"/>
      <c r="HXQ253" s="4"/>
      <c r="HXR253" s="9"/>
      <c r="HXS253" s="4"/>
      <c r="HXT253" s="9"/>
      <c r="HXU253" s="4"/>
      <c r="HXV253" s="9"/>
      <c r="HXW253" s="4"/>
      <c r="HXX253" s="9"/>
      <c r="HXY253" s="4"/>
      <c r="HXZ253" s="9"/>
      <c r="HYA253" s="4"/>
      <c r="HYB253" s="9"/>
      <c r="HYC253" s="4"/>
      <c r="HYD253" s="9"/>
      <c r="HYE253" s="4"/>
      <c r="HYF253" s="9"/>
      <c r="HYG253" s="4"/>
      <c r="HYH253" s="9"/>
      <c r="HYI253" s="4"/>
      <c r="HYJ253" s="9"/>
      <c r="HYK253" s="4"/>
      <c r="HYL253" s="9"/>
      <c r="HYM253" s="4"/>
      <c r="HYN253" s="9"/>
      <c r="HYO253" s="4"/>
      <c r="HYP253" s="9"/>
      <c r="HYQ253" s="4"/>
      <c r="HYR253" s="9"/>
      <c r="HYS253" s="4"/>
      <c r="HYT253" s="9"/>
      <c r="HYU253" s="4"/>
      <c r="HYV253" s="9"/>
      <c r="HYW253" s="4"/>
      <c r="HYX253" s="9"/>
      <c r="HYY253" s="4"/>
      <c r="HYZ253" s="9"/>
      <c r="HZA253" s="4"/>
      <c r="HZB253" s="9"/>
      <c r="HZC253" s="4"/>
      <c r="HZD253" s="9"/>
      <c r="HZE253" s="4"/>
      <c r="HZF253" s="9"/>
      <c r="HZG253" s="4"/>
      <c r="HZH253" s="9"/>
      <c r="HZI253" s="4"/>
      <c r="HZJ253" s="9"/>
      <c r="HZK253" s="4"/>
      <c r="HZL253" s="9"/>
      <c r="HZM253" s="4"/>
      <c r="HZN253" s="9"/>
      <c r="HZO253" s="4"/>
      <c r="HZP253" s="9"/>
      <c r="HZQ253" s="4"/>
      <c r="HZR253" s="9"/>
      <c r="HZS253" s="4"/>
      <c r="HZT253" s="9"/>
      <c r="HZU253" s="4"/>
      <c r="HZV253" s="9"/>
      <c r="HZW253" s="4"/>
      <c r="HZX253" s="9"/>
      <c r="HZY253" s="4"/>
      <c r="HZZ253" s="9"/>
      <c r="IAA253" s="4"/>
      <c r="IAB253" s="9"/>
      <c r="IAC253" s="4"/>
      <c r="IAD253" s="9"/>
      <c r="IAE253" s="4"/>
      <c r="IAF253" s="9"/>
      <c r="IAG253" s="4"/>
      <c r="IAH253" s="9"/>
      <c r="IAI253" s="4"/>
      <c r="IAJ253" s="9"/>
      <c r="IAK253" s="4"/>
      <c r="IAL253" s="9"/>
      <c r="IAM253" s="4"/>
      <c r="IAN253" s="9"/>
      <c r="IAO253" s="4"/>
      <c r="IAP253" s="9"/>
      <c r="IAQ253" s="4"/>
      <c r="IAR253" s="9"/>
      <c r="IAS253" s="4"/>
      <c r="IAT253" s="9"/>
      <c r="IAU253" s="4"/>
      <c r="IAV253" s="9"/>
      <c r="IAW253" s="4"/>
      <c r="IAX253" s="9"/>
      <c r="IAY253" s="4"/>
      <c r="IAZ253" s="9"/>
      <c r="IBA253" s="4"/>
      <c r="IBB253" s="9"/>
      <c r="IBC253" s="4"/>
      <c r="IBD253" s="9"/>
      <c r="IBE253" s="4"/>
      <c r="IBF253" s="9"/>
      <c r="IBG253" s="4"/>
      <c r="IBH253" s="9"/>
      <c r="IBI253" s="4"/>
      <c r="IBJ253" s="9"/>
      <c r="IBK253" s="4"/>
      <c r="IBL253" s="9"/>
      <c r="IBM253" s="4"/>
      <c r="IBN253" s="9"/>
      <c r="IBO253" s="4"/>
      <c r="IBP253" s="9"/>
      <c r="IBQ253" s="4"/>
      <c r="IBR253" s="9"/>
      <c r="IBS253" s="4"/>
      <c r="IBT253" s="9"/>
      <c r="IBU253" s="4"/>
      <c r="IBV253" s="9"/>
      <c r="IBW253" s="4"/>
      <c r="IBX253" s="9"/>
      <c r="IBY253" s="4"/>
      <c r="IBZ253" s="9"/>
      <c r="ICA253" s="4"/>
      <c r="ICB253" s="9"/>
      <c r="ICC253" s="4"/>
      <c r="ICD253" s="9"/>
      <c r="ICE253" s="4"/>
      <c r="ICF253" s="9"/>
      <c r="ICG253" s="4"/>
      <c r="ICH253" s="9"/>
      <c r="ICI253" s="4"/>
      <c r="ICJ253" s="9"/>
      <c r="ICK253" s="4"/>
      <c r="ICL253" s="9"/>
      <c r="ICM253" s="4"/>
      <c r="ICN253" s="9"/>
      <c r="ICO253" s="4"/>
      <c r="ICP253" s="9"/>
      <c r="ICQ253" s="4"/>
      <c r="ICR253" s="9"/>
      <c r="ICS253" s="4"/>
      <c r="ICT253" s="9"/>
      <c r="ICU253" s="4"/>
      <c r="ICV253" s="9"/>
      <c r="ICW253" s="4"/>
      <c r="ICX253" s="9"/>
      <c r="ICY253" s="4"/>
      <c r="ICZ253" s="9"/>
      <c r="IDA253" s="4"/>
      <c r="IDB253" s="9"/>
      <c r="IDC253" s="4"/>
      <c r="IDD253" s="9"/>
      <c r="IDE253" s="4"/>
      <c r="IDF253" s="9"/>
      <c r="IDG253" s="4"/>
      <c r="IDH253" s="9"/>
      <c r="IDI253" s="4"/>
      <c r="IDJ253" s="9"/>
      <c r="IDK253" s="4"/>
      <c r="IDL253" s="9"/>
      <c r="IDM253" s="4"/>
      <c r="IDN253" s="9"/>
      <c r="IDO253" s="4"/>
      <c r="IDP253" s="9"/>
      <c r="IDQ253" s="4"/>
      <c r="IDR253" s="9"/>
      <c r="IDS253" s="4"/>
      <c r="IDT253" s="9"/>
      <c r="IDU253" s="4"/>
      <c r="IDV253" s="9"/>
      <c r="IDW253" s="4"/>
      <c r="IDX253" s="9"/>
      <c r="IDY253" s="4"/>
      <c r="IDZ253" s="9"/>
      <c r="IEA253" s="4"/>
      <c r="IEB253" s="9"/>
      <c r="IEC253" s="4"/>
      <c r="IED253" s="9"/>
      <c r="IEE253" s="4"/>
      <c r="IEF253" s="9"/>
      <c r="IEG253" s="4"/>
      <c r="IEH253" s="9"/>
      <c r="IEI253" s="4"/>
      <c r="IEJ253" s="9"/>
      <c r="IEK253" s="4"/>
      <c r="IEL253" s="9"/>
      <c r="IEM253" s="4"/>
      <c r="IEN253" s="9"/>
      <c r="IEO253" s="4"/>
      <c r="IEP253" s="9"/>
      <c r="IEQ253" s="4"/>
      <c r="IER253" s="9"/>
      <c r="IES253" s="4"/>
      <c r="IET253" s="9"/>
      <c r="IEU253" s="4"/>
      <c r="IEV253" s="9"/>
      <c r="IEW253" s="4"/>
      <c r="IEX253" s="9"/>
      <c r="IEY253" s="4"/>
      <c r="IEZ253" s="9"/>
      <c r="IFA253" s="4"/>
      <c r="IFB253" s="9"/>
      <c r="IFC253" s="4"/>
      <c r="IFD253" s="9"/>
      <c r="IFE253" s="4"/>
      <c r="IFF253" s="9"/>
      <c r="IFG253" s="4"/>
      <c r="IFH253" s="9"/>
      <c r="IFI253" s="4"/>
      <c r="IFJ253" s="9"/>
      <c r="IFK253" s="4"/>
      <c r="IFL253" s="9"/>
      <c r="IFM253" s="4"/>
      <c r="IFN253" s="9"/>
      <c r="IFO253" s="4"/>
      <c r="IFP253" s="9"/>
      <c r="IFQ253" s="4"/>
      <c r="IFR253" s="9"/>
      <c r="IFS253" s="4"/>
      <c r="IFT253" s="9"/>
      <c r="IFU253" s="4"/>
      <c r="IFV253" s="9"/>
      <c r="IFW253" s="4"/>
      <c r="IFX253" s="9"/>
      <c r="IFY253" s="4"/>
      <c r="IFZ253" s="9"/>
      <c r="IGA253" s="4"/>
      <c r="IGB253" s="9"/>
      <c r="IGC253" s="4"/>
      <c r="IGD253" s="9"/>
      <c r="IGE253" s="4"/>
      <c r="IGF253" s="9"/>
      <c r="IGG253" s="4"/>
      <c r="IGH253" s="9"/>
      <c r="IGI253" s="4"/>
      <c r="IGJ253" s="9"/>
      <c r="IGK253" s="4"/>
      <c r="IGL253" s="9"/>
      <c r="IGM253" s="4"/>
      <c r="IGN253" s="9"/>
      <c r="IGO253" s="4"/>
      <c r="IGP253" s="9"/>
      <c r="IGQ253" s="4"/>
      <c r="IGR253" s="9"/>
      <c r="IGS253" s="4"/>
      <c r="IGT253" s="9"/>
      <c r="IGU253" s="4"/>
      <c r="IGV253" s="9"/>
      <c r="IGW253" s="4"/>
      <c r="IGX253" s="9"/>
      <c r="IGY253" s="4"/>
      <c r="IGZ253" s="9"/>
      <c r="IHA253" s="4"/>
      <c r="IHB253" s="9"/>
      <c r="IHC253" s="4"/>
      <c r="IHD253" s="9"/>
      <c r="IHE253" s="4"/>
      <c r="IHF253" s="9"/>
      <c r="IHG253" s="4"/>
      <c r="IHH253" s="9"/>
      <c r="IHI253" s="4"/>
      <c r="IHJ253" s="9"/>
      <c r="IHK253" s="4"/>
      <c r="IHL253" s="9"/>
      <c r="IHM253" s="4"/>
      <c r="IHN253" s="9"/>
      <c r="IHO253" s="4"/>
      <c r="IHP253" s="9"/>
      <c r="IHQ253" s="4"/>
      <c r="IHR253" s="9"/>
      <c r="IHS253" s="4"/>
      <c r="IHT253" s="9"/>
      <c r="IHU253" s="4"/>
      <c r="IHV253" s="9"/>
      <c r="IHW253" s="4"/>
      <c r="IHX253" s="9"/>
      <c r="IHY253" s="4"/>
      <c r="IHZ253" s="9"/>
      <c r="IIA253" s="4"/>
      <c r="IIB253" s="9"/>
      <c r="IIC253" s="4"/>
      <c r="IID253" s="9"/>
      <c r="IIE253" s="4"/>
      <c r="IIF253" s="9"/>
      <c r="IIG253" s="4"/>
      <c r="IIH253" s="9"/>
      <c r="III253" s="4"/>
      <c r="IIJ253" s="9"/>
      <c r="IIK253" s="4"/>
      <c r="IIL253" s="9"/>
      <c r="IIM253" s="4"/>
      <c r="IIN253" s="9"/>
      <c r="IIO253" s="4"/>
      <c r="IIP253" s="9"/>
      <c r="IIQ253" s="4"/>
      <c r="IIR253" s="9"/>
      <c r="IIS253" s="4"/>
      <c r="IIT253" s="9"/>
      <c r="IIU253" s="4"/>
      <c r="IIV253" s="9"/>
      <c r="IIW253" s="4"/>
      <c r="IIX253" s="9"/>
      <c r="IIY253" s="4"/>
      <c r="IIZ253" s="9"/>
      <c r="IJA253" s="4"/>
      <c r="IJB253" s="9"/>
      <c r="IJC253" s="4"/>
      <c r="IJD253" s="9"/>
      <c r="IJE253" s="4"/>
      <c r="IJF253" s="9"/>
      <c r="IJG253" s="4"/>
      <c r="IJH253" s="9"/>
      <c r="IJI253" s="4"/>
      <c r="IJJ253" s="9"/>
      <c r="IJK253" s="4"/>
      <c r="IJL253" s="9"/>
      <c r="IJM253" s="4"/>
      <c r="IJN253" s="9"/>
      <c r="IJO253" s="4"/>
      <c r="IJP253" s="9"/>
      <c r="IJQ253" s="4"/>
      <c r="IJR253" s="9"/>
      <c r="IJS253" s="4"/>
      <c r="IJT253" s="9"/>
      <c r="IJU253" s="4"/>
      <c r="IJV253" s="9"/>
      <c r="IJW253" s="4"/>
      <c r="IJX253" s="9"/>
      <c r="IJY253" s="4"/>
      <c r="IJZ253" s="9"/>
      <c r="IKA253" s="4"/>
      <c r="IKB253" s="9"/>
      <c r="IKC253" s="4"/>
      <c r="IKD253" s="9"/>
      <c r="IKE253" s="4"/>
      <c r="IKF253" s="9"/>
      <c r="IKG253" s="4"/>
      <c r="IKH253" s="9"/>
      <c r="IKI253" s="4"/>
      <c r="IKJ253" s="9"/>
      <c r="IKK253" s="4"/>
      <c r="IKL253" s="9"/>
      <c r="IKM253" s="4"/>
      <c r="IKN253" s="9"/>
      <c r="IKO253" s="4"/>
      <c r="IKP253" s="9"/>
      <c r="IKQ253" s="4"/>
      <c r="IKR253" s="9"/>
      <c r="IKS253" s="4"/>
      <c r="IKT253" s="9"/>
      <c r="IKU253" s="4"/>
      <c r="IKV253" s="9"/>
      <c r="IKW253" s="4"/>
      <c r="IKX253" s="9"/>
      <c r="IKY253" s="4"/>
      <c r="IKZ253" s="9"/>
      <c r="ILA253" s="4"/>
      <c r="ILB253" s="9"/>
      <c r="ILC253" s="4"/>
      <c r="ILD253" s="9"/>
      <c r="ILE253" s="4"/>
      <c r="ILF253" s="9"/>
      <c r="ILG253" s="4"/>
      <c r="ILH253" s="9"/>
      <c r="ILI253" s="4"/>
      <c r="ILJ253" s="9"/>
      <c r="ILK253" s="4"/>
      <c r="ILL253" s="9"/>
      <c r="ILM253" s="4"/>
      <c r="ILN253" s="9"/>
      <c r="ILO253" s="4"/>
      <c r="ILP253" s="9"/>
      <c r="ILQ253" s="4"/>
      <c r="ILR253" s="9"/>
      <c r="ILS253" s="4"/>
      <c r="ILT253" s="9"/>
      <c r="ILU253" s="4"/>
      <c r="ILV253" s="9"/>
      <c r="ILW253" s="4"/>
      <c r="ILX253" s="9"/>
      <c r="ILY253" s="4"/>
      <c r="ILZ253" s="9"/>
      <c r="IMA253" s="4"/>
      <c r="IMB253" s="9"/>
      <c r="IMC253" s="4"/>
      <c r="IMD253" s="9"/>
      <c r="IME253" s="4"/>
      <c r="IMF253" s="9"/>
      <c r="IMG253" s="4"/>
      <c r="IMH253" s="9"/>
      <c r="IMI253" s="4"/>
      <c r="IMJ253" s="9"/>
      <c r="IMK253" s="4"/>
      <c r="IML253" s="9"/>
      <c r="IMM253" s="4"/>
      <c r="IMN253" s="9"/>
      <c r="IMO253" s="4"/>
      <c r="IMP253" s="9"/>
      <c r="IMQ253" s="4"/>
      <c r="IMR253" s="9"/>
      <c r="IMS253" s="4"/>
      <c r="IMT253" s="9"/>
      <c r="IMU253" s="4"/>
      <c r="IMV253" s="9"/>
      <c r="IMW253" s="4"/>
      <c r="IMX253" s="9"/>
      <c r="IMY253" s="4"/>
      <c r="IMZ253" s="9"/>
      <c r="INA253" s="4"/>
      <c r="INB253" s="9"/>
      <c r="INC253" s="4"/>
      <c r="IND253" s="9"/>
      <c r="INE253" s="4"/>
      <c r="INF253" s="9"/>
      <c r="ING253" s="4"/>
      <c r="INH253" s="9"/>
      <c r="INI253" s="4"/>
      <c r="INJ253" s="9"/>
      <c r="INK253" s="4"/>
      <c r="INL253" s="9"/>
      <c r="INM253" s="4"/>
      <c r="INN253" s="9"/>
      <c r="INO253" s="4"/>
      <c r="INP253" s="9"/>
      <c r="INQ253" s="4"/>
      <c r="INR253" s="9"/>
      <c r="INS253" s="4"/>
      <c r="INT253" s="9"/>
      <c r="INU253" s="4"/>
      <c r="INV253" s="9"/>
      <c r="INW253" s="4"/>
      <c r="INX253" s="9"/>
      <c r="INY253" s="4"/>
      <c r="INZ253" s="9"/>
      <c r="IOA253" s="4"/>
      <c r="IOB253" s="9"/>
      <c r="IOC253" s="4"/>
      <c r="IOD253" s="9"/>
      <c r="IOE253" s="4"/>
      <c r="IOF253" s="9"/>
      <c r="IOG253" s="4"/>
      <c r="IOH253" s="9"/>
      <c r="IOI253" s="4"/>
      <c r="IOJ253" s="9"/>
      <c r="IOK253" s="4"/>
      <c r="IOL253" s="9"/>
      <c r="IOM253" s="4"/>
      <c r="ION253" s="9"/>
      <c r="IOO253" s="4"/>
      <c r="IOP253" s="9"/>
      <c r="IOQ253" s="4"/>
      <c r="IOR253" s="9"/>
      <c r="IOS253" s="4"/>
      <c r="IOT253" s="9"/>
      <c r="IOU253" s="4"/>
      <c r="IOV253" s="9"/>
      <c r="IOW253" s="4"/>
      <c r="IOX253" s="9"/>
      <c r="IOY253" s="4"/>
      <c r="IOZ253" s="9"/>
      <c r="IPA253" s="4"/>
      <c r="IPB253" s="9"/>
      <c r="IPC253" s="4"/>
      <c r="IPD253" s="9"/>
      <c r="IPE253" s="4"/>
      <c r="IPF253" s="9"/>
      <c r="IPG253" s="4"/>
      <c r="IPH253" s="9"/>
      <c r="IPI253" s="4"/>
      <c r="IPJ253" s="9"/>
      <c r="IPK253" s="4"/>
      <c r="IPL253" s="9"/>
      <c r="IPM253" s="4"/>
      <c r="IPN253" s="9"/>
      <c r="IPO253" s="4"/>
      <c r="IPP253" s="9"/>
      <c r="IPQ253" s="4"/>
      <c r="IPR253" s="9"/>
      <c r="IPS253" s="4"/>
      <c r="IPT253" s="9"/>
      <c r="IPU253" s="4"/>
      <c r="IPV253" s="9"/>
      <c r="IPW253" s="4"/>
      <c r="IPX253" s="9"/>
      <c r="IPY253" s="4"/>
      <c r="IPZ253" s="9"/>
      <c r="IQA253" s="4"/>
      <c r="IQB253" s="9"/>
      <c r="IQC253" s="4"/>
      <c r="IQD253" s="9"/>
      <c r="IQE253" s="4"/>
      <c r="IQF253" s="9"/>
      <c r="IQG253" s="4"/>
      <c r="IQH253" s="9"/>
      <c r="IQI253" s="4"/>
      <c r="IQJ253" s="9"/>
      <c r="IQK253" s="4"/>
      <c r="IQL253" s="9"/>
      <c r="IQM253" s="4"/>
      <c r="IQN253" s="9"/>
      <c r="IQO253" s="4"/>
      <c r="IQP253" s="9"/>
      <c r="IQQ253" s="4"/>
      <c r="IQR253" s="9"/>
      <c r="IQS253" s="4"/>
      <c r="IQT253" s="9"/>
      <c r="IQU253" s="4"/>
      <c r="IQV253" s="9"/>
      <c r="IQW253" s="4"/>
      <c r="IQX253" s="9"/>
      <c r="IQY253" s="4"/>
      <c r="IQZ253" s="9"/>
      <c r="IRA253" s="4"/>
      <c r="IRB253" s="9"/>
      <c r="IRC253" s="4"/>
      <c r="IRD253" s="9"/>
      <c r="IRE253" s="4"/>
      <c r="IRF253" s="9"/>
      <c r="IRG253" s="4"/>
      <c r="IRH253" s="9"/>
      <c r="IRI253" s="4"/>
      <c r="IRJ253" s="9"/>
      <c r="IRK253" s="4"/>
      <c r="IRL253" s="9"/>
      <c r="IRM253" s="4"/>
      <c r="IRN253" s="9"/>
      <c r="IRO253" s="4"/>
      <c r="IRP253" s="9"/>
      <c r="IRQ253" s="4"/>
      <c r="IRR253" s="9"/>
      <c r="IRS253" s="4"/>
      <c r="IRT253" s="9"/>
      <c r="IRU253" s="4"/>
      <c r="IRV253" s="9"/>
      <c r="IRW253" s="4"/>
      <c r="IRX253" s="9"/>
      <c r="IRY253" s="4"/>
      <c r="IRZ253" s="9"/>
      <c r="ISA253" s="4"/>
      <c r="ISB253" s="9"/>
      <c r="ISC253" s="4"/>
      <c r="ISD253" s="9"/>
      <c r="ISE253" s="4"/>
      <c r="ISF253" s="9"/>
      <c r="ISG253" s="4"/>
      <c r="ISH253" s="9"/>
      <c r="ISI253" s="4"/>
      <c r="ISJ253" s="9"/>
      <c r="ISK253" s="4"/>
      <c r="ISL253" s="9"/>
      <c r="ISM253" s="4"/>
      <c r="ISN253" s="9"/>
      <c r="ISO253" s="4"/>
      <c r="ISP253" s="9"/>
      <c r="ISQ253" s="4"/>
      <c r="ISR253" s="9"/>
      <c r="ISS253" s="4"/>
      <c r="IST253" s="9"/>
      <c r="ISU253" s="4"/>
      <c r="ISV253" s="9"/>
      <c r="ISW253" s="4"/>
      <c r="ISX253" s="9"/>
      <c r="ISY253" s="4"/>
      <c r="ISZ253" s="9"/>
      <c r="ITA253" s="4"/>
      <c r="ITB253" s="9"/>
      <c r="ITC253" s="4"/>
      <c r="ITD253" s="9"/>
      <c r="ITE253" s="4"/>
      <c r="ITF253" s="9"/>
      <c r="ITG253" s="4"/>
      <c r="ITH253" s="9"/>
      <c r="ITI253" s="4"/>
      <c r="ITJ253" s="9"/>
      <c r="ITK253" s="4"/>
      <c r="ITL253" s="9"/>
      <c r="ITM253" s="4"/>
      <c r="ITN253" s="9"/>
      <c r="ITO253" s="4"/>
      <c r="ITP253" s="9"/>
      <c r="ITQ253" s="4"/>
      <c r="ITR253" s="9"/>
      <c r="ITS253" s="4"/>
      <c r="ITT253" s="9"/>
      <c r="ITU253" s="4"/>
      <c r="ITV253" s="9"/>
      <c r="ITW253" s="4"/>
      <c r="ITX253" s="9"/>
      <c r="ITY253" s="4"/>
      <c r="ITZ253" s="9"/>
      <c r="IUA253" s="4"/>
      <c r="IUB253" s="9"/>
      <c r="IUC253" s="4"/>
      <c r="IUD253" s="9"/>
      <c r="IUE253" s="4"/>
      <c r="IUF253" s="9"/>
      <c r="IUG253" s="4"/>
      <c r="IUH253" s="9"/>
      <c r="IUI253" s="4"/>
      <c r="IUJ253" s="9"/>
      <c r="IUK253" s="4"/>
      <c r="IUL253" s="9"/>
      <c r="IUM253" s="4"/>
      <c r="IUN253" s="9"/>
      <c r="IUO253" s="4"/>
      <c r="IUP253" s="9"/>
      <c r="IUQ253" s="4"/>
      <c r="IUR253" s="9"/>
      <c r="IUS253" s="4"/>
      <c r="IUT253" s="9"/>
      <c r="IUU253" s="4"/>
      <c r="IUV253" s="9"/>
      <c r="IUW253" s="4"/>
      <c r="IUX253" s="9"/>
      <c r="IUY253" s="4"/>
      <c r="IUZ253" s="9"/>
      <c r="IVA253" s="4"/>
      <c r="IVB253" s="9"/>
      <c r="IVC253" s="4"/>
      <c r="IVD253" s="9"/>
      <c r="IVE253" s="4"/>
      <c r="IVF253" s="9"/>
      <c r="IVG253" s="4"/>
      <c r="IVH253" s="9"/>
      <c r="IVI253" s="4"/>
      <c r="IVJ253" s="9"/>
      <c r="IVK253" s="4"/>
      <c r="IVL253" s="9"/>
      <c r="IVM253" s="4"/>
      <c r="IVN253" s="9"/>
      <c r="IVO253" s="4"/>
      <c r="IVP253" s="9"/>
      <c r="IVQ253" s="4"/>
      <c r="IVR253" s="9"/>
      <c r="IVS253" s="4"/>
      <c r="IVT253" s="9"/>
      <c r="IVU253" s="4"/>
      <c r="IVV253" s="9"/>
      <c r="IVW253" s="4"/>
      <c r="IVX253" s="9"/>
      <c r="IVY253" s="4"/>
      <c r="IVZ253" s="9"/>
      <c r="IWA253" s="4"/>
      <c r="IWB253" s="9"/>
      <c r="IWC253" s="4"/>
      <c r="IWD253" s="9"/>
      <c r="IWE253" s="4"/>
      <c r="IWF253" s="9"/>
      <c r="IWG253" s="4"/>
      <c r="IWH253" s="9"/>
      <c r="IWI253" s="4"/>
      <c r="IWJ253" s="9"/>
      <c r="IWK253" s="4"/>
      <c r="IWL253" s="9"/>
      <c r="IWM253" s="4"/>
      <c r="IWN253" s="9"/>
      <c r="IWO253" s="4"/>
      <c r="IWP253" s="9"/>
      <c r="IWQ253" s="4"/>
      <c r="IWR253" s="9"/>
      <c r="IWS253" s="4"/>
      <c r="IWT253" s="9"/>
      <c r="IWU253" s="4"/>
      <c r="IWV253" s="9"/>
      <c r="IWW253" s="4"/>
      <c r="IWX253" s="9"/>
      <c r="IWY253" s="4"/>
      <c r="IWZ253" s="9"/>
      <c r="IXA253" s="4"/>
      <c r="IXB253" s="9"/>
      <c r="IXC253" s="4"/>
      <c r="IXD253" s="9"/>
      <c r="IXE253" s="4"/>
      <c r="IXF253" s="9"/>
      <c r="IXG253" s="4"/>
      <c r="IXH253" s="9"/>
      <c r="IXI253" s="4"/>
      <c r="IXJ253" s="9"/>
      <c r="IXK253" s="4"/>
      <c r="IXL253" s="9"/>
      <c r="IXM253" s="4"/>
      <c r="IXN253" s="9"/>
      <c r="IXO253" s="4"/>
      <c r="IXP253" s="9"/>
      <c r="IXQ253" s="4"/>
      <c r="IXR253" s="9"/>
      <c r="IXS253" s="4"/>
      <c r="IXT253" s="9"/>
      <c r="IXU253" s="4"/>
      <c r="IXV253" s="9"/>
      <c r="IXW253" s="4"/>
      <c r="IXX253" s="9"/>
      <c r="IXY253" s="4"/>
      <c r="IXZ253" s="9"/>
      <c r="IYA253" s="4"/>
      <c r="IYB253" s="9"/>
      <c r="IYC253" s="4"/>
      <c r="IYD253" s="9"/>
      <c r="IYE253" s="4"/>
      <c r="IYF253" s="9"/>
      <c r="IYG253" s="4"/>
      <c r="IYH253" s="9"/>
      <c r="IYI253" s="4"/>
      <c r="IYJ253" s="9"/>
      <c r="IYK253" s="4"/>
      <c r="IYL253" s="9"/>
      <c r="IYM253" s="4"/>
      <c r="IYN253" s="9"/>
      <c r="IYO253" s="4"/>
      <c r="IYP253" s="9"/>
      <c r="IYQ253" s="4"/>
      <c r="IYR253" s="9"/>
      <c r="IYS253" s="4"/>
      <c r="IYT253" s="9"/>
      <c r="IYU253" s="4"/>
      <c r="IYV253" s="9"/>
      <c r="IYW253" s="4"/>
      <c r="IYX253" s="9"/>
      <c r="IYY253" s="4"/>
      <c r="IYZ253" s="9"/>
      <c r="IZA253" s="4"/>
      <c r="IZB253" s="9"/>
      <c r="IZC253" s="4"/>
      <c r="IZD253" s="9"/>
      <c r="IZE253" s="4"/>
      <c r="IZF253" s="9"/>
      <c r="IZG253" s="4"/>
      <c r="IZH253" s="9"/>
      <c r="IZI253" s="4"/>
      <c r="IZJ253" s="9"/>
      <c r="IZK253" s="4"/>
      <c r="IZL253" s="9"/>
      <c r="IZM253" s="4"/>
      <c r="IZN253" s="9"/>
      <c r="IZO253" s="4"/>
      <c r="IZP253" s="9"/>
      <c r="IZQ253" s="4"/>
      <c r="IZR253" s="9"/>
      <c r="IZS253" s="4"/>
      <c r="IZT253" s="9"/>
      <c r="IZU253" s="4"/>
      <c r="IZV253" s="9"/>
      <c r="IZW253" s="4"/>
      <c r="IZX253" s="9"/>
      <c r="IZY253" s="4"/>
      <c r="IZZ253" s="9"/>
      <c r="JAA253" s="4"/>
      <c r="JAB253" s="9"/>
      <c r="JAC253" s="4"/>
      <c r="JAD253" s="9"/>
      <c r="JAE253" s="4"/>
      <c r="JAF253" s="9"/>
      <c r="JAG253" s="4"/>
      <c r="JAH253" s="9"/>
      <c r="JAI253" s="4"/>
      <c r="JAJ253" s="9"/>
      <c r="JAK253" s="4"/>
      <c r="JAL253" s="9"/>
      <c r="JAM253" s="4"/>
      <c r="JAN253" s="9"/>
      <c r="JAO253" s="4"/>
      <c r="JAP253" s="9"/>
      <c r="JAQ253" s="4"/>
      <c r="JAR253" s="9"/>
      <c r="JAS253" s="4"/>
      <c r="JAT253" s="9"/>
      <c r="JAU253" s="4"/>
      <c r="JAV253" s="9"/>
      <c r="JAW253" s="4"/>
      <c r="JAX253" s="9"/>
      <c r="JAY253" s="4"/>
      <c r="JAZ253" s="9"/>
      <c r="JBA253" s="4"/>
      <c r="JBB253" s="9"/>
      <c r="JBC253" s="4"/>
      <c r="JBD253" s="9"/>
      <c r="JBE253" s="4"/>
      <c r="JBF253" s="9"/>
      <c r="JBG253" s="4"/>
      <c r="JBH253" s="9"/>
      <c r="JBI253" s="4"/>
      <c r="JBJ253" s="9"/>
      <c r="JBK253" s="4"/>
      <c r="JBL253" s="9"/>
      <c r="JBM253" s="4"/>
      <c r="JBN253" s="9"/>
      <c r="JBO253" s="4"/>
      <c r="JBP253" s="9"/>
      <c r="JBQ253" s="4"/>
      <c r="JBR253" s="9"/>
      <c r="JBS253" s="4"/>
      <c r="JBT253" s="9"/>
      <c r="JBU253" s="4"/>
      <c r="JBV253" s="9"/>
      <c r="JBW253" s="4"/>
      <c r="JBX253" s="9"/>
      <c r="JBY253" s="4"/>
      <c r="JBZ253" s="9"/>
      <c r="JCA253" s="4"/>
      <c r="JCB253" s="9"/>
      <c r="JCC253" s="4"/>
      <c r="JCD253" s="9"/>
      <c r="JCE253" s="4"/>
      <c r="JCF253" s="9"/>
      <c r="JCG253" s="4"/>
      <c r="JCH253" s="9"/>
      <c r="JCI253" s="4"/>
      <c r="JCJ253" s="9"/>
      <c r="JCK253" s="4"/>
      <c r="JCL253" s="9"/>
      <c r="JCM253" s="4"/>
      <c r="JCN253" s="9"/>
      <c r="JCO253" s="4"/>
      <c r="JCP253" s="9"/>
      <c r="JCQ253" s="4"/>
      <c r="JCR253" s="9"/>
      <c r="JCS253" s="4"/>
      <c r="JCT253" s="9"/>
      <c r="JCU253" s="4"/>
      <c r="JCV253" s="9"/>
      <c r="JCW253" s="4"/>
      <c r="JCX253" s="9"/>
      <c r="JCY253" s="4"/>
      <c r="JCZ253" s="9"/>
      <c r="JDA253" s="4"/>
      <c r="JDB253" s="9"/>
      <c r="JDC253" s="4"/>
      <c r="JDD253" s="9"/>
      <c r="JDE253" s="4"/>
      <c r="JDF253" s="9"/>
      <c r="JDG253" s="4"/>
      <c r="JDH253" s="9"/>
      <c r="JDI253" s="4"/>
      <c r="JDJ253" s="9"/>
      <c r="JDK253" s="4"/>
      <c r="JDL253" s="9"/>
      <c r="JDM253" s="4"/>
      <c r="JDN253" s="9"/>
      <c r="JDO253" s="4"/>
      <c r="JDP253" s="9"/>
      <c r="JDQ253" s="4"/>
      <c r="JDR253" s="9"/>
      <c r="JDS253" s="4"/>
      <c r="JDT253" s="9"/>
      <c r="JDU253" s="4"/>
      <c r="JDV253" s="9"/>
      <c r="JDW253" s="4"/>
      <c r="JDX253" s="9"/>
      <c r="JDY253" s="4"/>
      <c r="JDZ253" s="9"/>
      <c r="JEA253" s="4"/>
      <c r="JEB253" s="9"/>
      <c r="JEC253" s="4"/>
      <c r="JED253" s="9"/>
      <c r="JEE253" s="4"/>
      <c r="JEF253" s="9"/>
      <c r="JEG253" s="4"/>
      <c r="JEH253" s="9"/>
      <c r="JEI253" s="4"/>
      <c r="JEJ253" s="9"/>
      <c r="JEK253" s="4"/>
      <c r="JEL253" s="9"/>
      <c r="JEM253" s="4"/>
      <c r="JEN253" s="9"/>
      <c r="JEO253" s="4"/>
      <c r="JEP253" s="9"/>
      <c r="JEQ253" s="4"/>
      <c r="JER253" s="9"/>
      <c r="JES253" s="4"/>
      <c r="JET253" s="9"/>
      <c r="JEU253" s="4"/>
      <c r="JEV253" s="9"/>
      <c r="JEW253" s="4"/>
      <c r="JEX253" s="9"/>
      <c r="JEY253" s="4"/>
      <c r="JEZ253" s="9"/>
      <c r="JFA253" s="4"/>
      <c r="JFB253" s="9"/>
      <c r="JFC253" s="4"/>
      <c r="JFD253" s="9"/>
      <c r="JFE253" s="4"/>
      <c r="JFF253" s="9"/>
      <c r="JFG253" s="4"/>
      <c r="JFH253" s="9"/>
      <c r="JFI253" s="4"/>
      <c r="JFJ253" s="9"/>
      <c r="JFK253" s="4"/>
      <c r="JFL253" s="9"/>
      <c r="JFM253" s="4"/>
      <c r="JFN253" s="9"/>
      <c r="JFO253" s="4"/>
      <c r="JFP253" s="9"/>
      <c r="JFQ253" s="4"/>
      <c r="JFR253" s="9"/>
      <c r="JFS253" s="4"/>
      <c r="JFT253" s="9"/>
      <c r="JFU253" s="4"/>
      <c r="JFV253" s="9"/>
      <c r="JFW253" s="4"/>
      <c r="JFX253" s="9"/>
      <c r="JFY253" s="4"/>
      <c r="JFZ253" s="9"/>
      <c r="JGA253" s="4"/>
      <c r="JGB253" s="9"/>
      <c r="JGC253" s="4"/>
      <c r="JGD253" s="9"/>
      <c r="JGE253" s="4"/>
      <c r="JGF253" s="9"/>
      <c r="JGG253" s="4"/>
      <c r="JGH253" s="9"/>
      <c r="JGI253" s="4"/>
      <c r="JGJ253" s="9"/>
      <c r="JGK253" s="4"/>
      <c r="JGL253" s="9"/>
      <c r="JGM253" s="4"/>
      <c r="JGN253" s="9"/>
      <c r="JGO253" s="4"/>
      <c r="JGP253" s="9"/>
      <c r="JGQ253" s="4"/>
      <c r="JGR253" s="9"/>
      <c r="JGS253" s="4"/>
      <c r="JGT253" s="9"/>
      <c r="JGU253" s="4"/>
      <c r="JGV253" s="9"/>
      <c r="JGW253" s="4"/>
      <c r="JGX253" s="9"/>
      <c r="JGY253" s="4"/>
      <c r="JGZ253" s="9"/>
      <c r="JHA253" s="4"/>
      <c r="JHB253" s="9"/>
      <c r="JHC253" s="4"/>
      <c r="JHD253" s="9"/>
      <c r="JHE253" s="4"/>
      <c r="JHF253" s="9"/>
      <c r="JHG253" s="4"/>
      <c r="JHH253" s="9"/>
      <c r="JHI253" s="4"/>
      <c r="JHJ253" s="9"/>
      <c r="JHK253" s="4"/>
      <c r="JHL253" s="9"/>
      <c r="JHM253" s="4"/>
      <c r="JHN253" s="9"/>
      <c r="JHO253" s="4"/>
      <c r="JHP253" s="9"/>
      <c r="JHQ253" s="4"/>
      <c r="JHR253" s="9"/>
      <c r="JHS253" s="4"/>
      <c r="JHT253" s="9"/>
      <c r="JHU253" s="4"/>
      <c r="JHV253" s="9"/>
      <c r="JHW253" s="4"/>
      <c r="JHX253" s="9"/>
      <c r="JHY253" s="4"/>
      <c r="JHZ253" s="9"/>
      <c r="JIA253" s="4"/>
      <c r="JIB253" s="9"/>
      <c r="JIC253" s="4"/>
      <c r="JID253" s="9"/>
      <c r="JIE253" s="4"/>
      <c r="JIF253" s="9"/>
      <c r="JIG253" s="4"/>
      <c r="JIH253" s="9"/>
      <c r="JII253" s="4"/>
      <c r="JIJ253" s="9"/>
      <c r="JIK253" s="4"/>
      <c r="JIL253" s="9"/>
      <c r="JIM253" s="4"/>
      <c r="JIN253" s="9"/>
      <c r="JIO253" s="4"/>
      <c r="JIP253" s="9"/>
      <c r="JIQ253" s="4"/>
      <c r="JIR253" s="9"/>
      <c r="JIS253" s="4"/>
      <c r="JIT253" s="9"/>
      <c r="JIU253" s="4"/>
      <c r="JIV253" s="9"/>
      <c r="JIW253" s="4"/>
      <c r="JIX253" s="9"/>
      <c r="JIY253" s="4"/>
      <c r="JIZ253" s="9"/>
      <c r="JJA253" s="4"/>
      <c r="JJB253" s="9"/>
      <c r="JJC253" s="4"/>
      <c r="JJD253" s="9"/>
      <c r="JJE253" s="4"/>
      <c r="JJF253" s="9"/>
      <c r="JJG253" s="4"/>
      <c r="JJH253" s="9"/>
      <c r="JJI253" s="4"/>
      <c r="JJJ253" s="9"/>
      <c r="JJK253" s="4"/>
      <c r="JJL253" s="9"/>
      <c r="JJM253" s="4"/>
      <c r="JJN253" s="9"/>
      <c r="JJO253" s="4"/>
      <c r="JJP253" s="9"/>
      <c r="JJQ253" s="4"/>
      <c r="JJR253" s="9"/>
      <c r="JJS253" s="4"/>
      <c r="JJT253" s="9"/>
      <c r="JJU253" s="4"/>
      <c r="JJV253" s="9"/>
      <c r="JJW253" s="4"/>
      <c r="JJX253" s="9"/>
      <c r="JJY253" s="4"/>
      <c r="JJZ253" s="9"/>
      <c r="JKA253" s="4"/>
      <c r="JKB253" s="9"/>
      <c r="JKC253" s="4"/>
      <c r="JKD253" s="9"/>
      <c r="JKE253" s="4"/>
      <c r="JKF253" s="9"/>
      <c r="JKG253" s="4"/>
      <c r="JKH253" s="9"/>
      <c r="JKI253" s="4"/>
      <c r="JKJ253" s="9"/>
      <c r="JKK253" s="4"/>
      <c r="JKL253" s="9"/>
      <c r="JKM253" s="4"/>
      <c r="JKN253" s="9"/>
      <c r="JKO253" s="4"/>
      <c r="JKP253" s="9"/>
      <c r="JKQ253" s="4"/>
      <c r="JKR253" s="9"/>
      <c r="JKS253" s="4"/>
      <c r="JKT253" s="9"/>
      <c r="JKU253" s="4"/>
      <c r="JKV253" s="9"/>
      <c r="JKW253" s="4"/>
      <c r="JKX253" s="9"/>
      <c r="JKY253" s="4"/>
      <c r="JKZ253" s="9"/>
      <c r="JLA253" s="4"/>
      <c r="JLB253" s="9"/>
      <c r="JLC253" s="4"/>
      <c r="JLD253" s="9"/>
      <c r="JLE253" s="4"/>
      <c r="JLF253" s="9"/>
      <c r="JLG253" s="4"/>
      <c r="JLH253" s="9"/>
      <c r="JLI253" s="4"/>
      <c r="JLJ253" s="9"/>
      <c r="JLK253" s="4"/>
      <c r="JLL253" s="9"/>
      <c r="JLM253" s="4"/>
      <c r="JLN253" s="9"/>
      <c r="JLO253" s="4"/>
      <c r="JLP253" s="9"/>
      <c r="JLQ253" s="4"/>
      <c r="JLR253" s="9"/>
      <c r="JLS253" s="4"/>
      <c r="JLT253" s="9"/>
      <c r="JLU253" s="4"/>
      <c r="JLV253" s="9"/>
      <c r="JLW253" s="4"/>
      <c r="JLX253" s="9"/>
      <c r="JLY253" s="4"/>
      <c r="JLZ253" s="9"/>
      <c r="JMA253" s="4"/>
      <c r="JMB253" s="9"/>
      <c r="JMC253" s="4"/>
      <c r="JMD253" s="9"/>
      <c r="JME253" s="4"/>
      <c r="JMF253" s="9"/>
      <c r="JMG253" s="4"/>
      <c r="JMH253" s="9"/>
      <c r="JMI253" s="4"/>
      <c r="JMJ253" s="9"/>
      <c r="JMK253" s="4"/>
      <c r="JML253" s="9"/>
      <c r="JMM253" s="4"/>
      <c r="JMN253" s="9"/>
      <c r="JMO253" s="4"/>
      <c r="JMP253" s="9"/>
      <c r="JMQ253" s="4"/>
      <c r="JMR253" s="9"/>
      <c r="JMS253" s="4"/>
      <c r="JMT253" s="9"/>
      <c r="JMU253" s="4"/>
      <c r="JMV253" s="9"/>
      <c r="JMW253" s="4"/>
      <c r="JMX253" s="9"/>
      <c r="JMY253" s="4"/>
      <c r="JMZ253" s="9"/>
      <c r="JNA253" s="4"/>
      <c r="JNB253" s="9"/>
      <c r="JNC253" s="4"/>
      <c r="JND253" s="9"/>
      <c r="JNE253" s="4"/>
      <c r="JNF253" s="9"/>
      <c r="JNG253" s="4"/>
      <c r="JNH253" s="9"/>
      <c r="JNI253" s="4"/>
      <c r="JNJ253" s="9"/>
      <c r="JNK253" s="4"/>
      <c r="JNL253" s="9"/>
      <c r="JNM253" s="4"/>
      <c r="JNN253" s="9"/>
      <c r="JNO253" s="4"/>
      <c r="JNP253" s="9"/>
      <c r="JNQ253" s="4"/>
      <c r="JNR253" s="9"/>
      <c r="JNS253" s="4"/>
      <c r="JNT253" s="9"/>
      <c r="JNU253" s="4"/>
      <c r="JNV253" s="9"/>
      <c r="JNW253" s="4"/>
      <c r="JNX253" s="9"/>
      <c r="JNY253" s="4"/>
      <c r="JNZ253" s="9"/>
      <c r="JOA253" s="4"/>
      <c r="JOB253" s="9"/>
      <c r="JOC253" s="4"/>
      <c r="JOD253" s="9"/>
      <c r="JOE253" s="4"/>
      <c r="JOF253" s="9"/>
      <c r="JOG253" s="4"/>
      <c r="JOH253" s="9"/>
      <c r="JOI253" s="4"/>
      <c r="JOJ253" s="9"/>
      <c r="JOK253" s="4"/>
      <c r="JOL253" s="9"/>
      <c r="JOM253" s="4"/>
      <c r="JON253" s="9"/>
      <c r="JOO253" s="4"/>
      <c r="JOP253" s="9"/>
      <c r="JOQ253" s="4"/>
      <c r="JOR253" s="9"/>
      <c r="JOS253" s="4"/>
      <c r="JOT253" s="9"/>
      <c r="JOU253" s="4"/>
      <c r="JOV253" s="9"/>
      <c r="JOW253" s="4"/>
      <c r="JOX253" s="9"/>
      <c r="JOY253" s="4"/>
      <c r="JOZ253" s="9"/>
      <c r="JPA253" s="4"/>
      <c r="JPB253" s="9"/>
      <c r="JPC253" s="4"/>
      <c r="JPD253" s="9"/>
      <c r="JPE253" s="4"/>
      <c r="JPF253" s="9"/>
      <c r="JPG253" s="4"/>
      <c r="JPH253" s="9"/>
      <c r="JPI253" s="4"/>
      <c r="JPJ253" s="9"/>
      <c r="JPK253" s="4"/>
      <c r="JPL253" s="9"/>
      <c r="JPM253" s="4"/>
      <c r="JPN253" s="9"/>
      <c r="JPO253" s="4"/>
      <c r="JPP253" s="9"/>
      <c r="JPQ253" s="4"/>
      <c r="JPR253" s="9"/>
      <c r="JPS253" s="4"/>
      <c r="JPT253" s="9"/>
      <c r="JPU253" s="4"/>
      <c r="JPV253" s="9"/>
      <c r="JPW253" s="4"/>
      <c r="JPX253" s="9"/>
      <c r="JPY253" s="4"/>
      <c r="JPZ253" s="9"/>
      <c r="JQA253" s="4"/>
      <c r="JQB253" s="9"/>
      <c r="JQC253" s="4"/>
      <c r="JQD253" s="9"/>
      <c r="JQE253" s="4"/>
      <c r="JQF253" s="9"/>
      <c r="JQG253" s="4"/>
      <c r="JQH253" s="9"/>
      <c r="JQI253" s="4"/>
      <c r="JQJ253" s="9"/>
      <c r="JQK253" s="4"/>
      <c r="JQL253" s="9"/>
      <c r="JQM253" s="4"/>
      <c r="JQN253" s="9"/>
      <c r="JQO253" s="4"/>
      <c r="JQP253" s="9"/>
      <c r="JQQ253" s="4"/>
      <c r="JQR253" s="9"/>
      <c r="JQS253" s="4"/>
      <c r="JQT253" s="9"/>
      <c r="JQU253" s="4"/>
      <c r="JQV253" s="9"/>
      <c r="JQW253" s="4"/>
      <c r="JQX253" s="9"/>
      <c r="JQY253" s="4"/>
      <c r="JQZ253" s="9"/>
      <c r="JRA253" s="4"/>
      <c r="JRB253" s="9"/>
      <c r="JRC253" s="4"/>
      <c r="JRD253" s="9"/>
      <c r="JRE253" s="4"/>
      <c r="JRF253" s="9"/>
      <c r="JRG253" s="4"/>
      <c r="JRH253" s="9"/>
      <c r="JRI253" s="4"/>
      <c r="JRJ253" s="9"/>
      <c r="JRK253" s="4"/>
      <c r="JRL253" s="9"/>
      <c r="JRM253" s="4"/>
      <c r="JRN253" s="9"/>
      <c r="JRO253" s="4"/>
      <c r="JRP253" s="9"/>
      <c r="JRQ253" s="4"/>
      <c r="JRR253" s="9"/>
      <c r="JRS253" s="4"/>
      <c r="JRT253" s="9"/>
      <c r="JRU253" s="4"/>
      <c r="JRV253" s="9"/>
      <c r="JRW253" s="4"/>
      <c r="JRX253" s="9"/>
      <c r="JRY253" s="4"/>
      <c r="JRZ253" s="9"/>
      <c r="JSA253" s="4"/>
      <c r="JSB253" s="9"/>
      <c r="JSC253" s="4"/>
      <c r="JSD253" s="9"/>
      <c r="JSE253" s="4"/>
      <c r="JSF253" s="9"/>
      <c r="JSG253" s="4"/>
      <c r="JSH253" s="9"/>
      <c r="JSI253" s="4"/>
      <c r="JSJ253" s="9"/>
      <c r="JSK253" s="4"/>
      <c r="JSL253" s="9"/>
      <c r="JSM253" s="4"/>
      <c r="JSN253" s="9"/>
      <c r="JSO253" s="4"/>
      <c r="JSP253" s="9"/>
      <c r="JSQ253" s="4"/>
      <c r="JSR253" s="9"/>
      <c r="JSS253" s="4"/>
      <c r="JST253" s="9"/>
      <c r="JSU253" s="4"/>
      <c r="JSV253" s="9"/>
      <c r="JSW253" s="4"/>
      <c r="JSX253" s="9"/>
      <c r="JSY253" s="4"/>
      <c r="JSZ253" s="9"/>
      <c r="JTA253" s="4"/>
      <c r="JTB253" s="9"/>
      <c r="JTC253" s="4"/>
      <c r="JTD253" s="9"/>
      <c r="JTE253" s="4"/>
      <c r="JTF253" s="9"/>
      <c r="JTG253" s="4"/>
      <c r="JTH253" s="9"/>
      <c r="JTI253" s="4"/>
      <c r="JTJ253" s="9"/>
      <c r="JTK253" s="4"/>
      <c r="JTL253" s="9"/>
      <c r="JTM253" s="4"/>
      <c r="JTN253" s="9"/>
      <c r="JTO253" s="4"/>
      <c r="JTP253" s="9"/>
      <c r="JTQ253" s="4"/>
      <c r="JTR253" s="9"/>
      <c r="JTS253" s="4"/>
      <c r="JTT253" s="9"/>
      <c r="JTU253" s="4"/>
      <c r="JTV253" s="9"/>
      <c r="JTW253" s="4"/>
      <c r="JTX253" s="9"/>
      <c r="JTY253" s="4"/>
      <c r="JTZ253" s="9"/>
      <c r="JUA253" s="4"/>
      <c r="JUB253" s="9"/>
      <c r="JUC253" s="4"/>
      <c r="JUD253" s="9"/>
      <c r="JUE253" s="4"/>
      <c r="JUF253" s="9"/>
      <c r="JUG253" s="4"/>
      <c r="JUH253" s="9"/>
      <c r="JUI253" s="4"/>
      <c r="JUJ253" s="9"/>
      <c r="JUK253" s="4"/>
      <c r="JUL253" s="9"/>
      <c r="JUM253" s="4"/>
      <c r="JUN253" s="9"/>
      <c r="JUO253" s="4"/>
      <c r="JUP253" s="9"/>
      <c r="JUQ253" s="4"/>
      <c r="JUR253" s="9"/>
      <c r="JUS253" s="4"/>
      <c r="JUT253" s="9"/>
      <c r="JUU253" s="4"/>
      <c r="JUV253" s="9"/>
      <c r="JUW253" s="4"/>
      <c r="JUX253" s="9"/>
      <c r="JUY253" s="4"/>
      <c r="JUZ253" s="9"/>
      <c r="JVA253" s="4"/>
      <c r="JVB253" s="9"/>
      <c r="JVC253" s="4"/>
      <c r="JVD253" s="9"/>
      <c r="JVE253" s="4"/>
      <c r="JVF253" s="9"/>
      <c r="JVG253" s="4"/>
      <c r="JVH253" s="9"/>
      <c r="JVI253" s="4"/>
      <c r="JVJ253" s="9"/>
      <c r="JVK253" s="4"/>
      <c r="JVL253" s="9"/>
      <c r="JVM253" s="4"/>
      <c r="JVN253" s="9"/>
      <c r="JVO253" s="4"/>
      <c r="JVP253" s="9"/>
      <c r="JVQ253" s="4"/>
      <c r="JVR253" s="9"/>
      <c r="JVS253" s="4"/>
      <c r="JVT253" s="9"/>
      <c r="JVU253" s="4"/>
      <c r="JVV253" s="9"/>
      <c r="JVW253" s="4"/>
      <c r="JVX253" s="9"/>
      <c r="JVY253" s="4"/>
      <c r="JVZ253" s="9"/>
      <c r="JWA253" s="4"/>
      <c r="JWB253" s="9"/>
      <c r="JWC253" s="4"/>
      <c r="JWD253" s="9"/>
      <c r="JWE253" s="4"/>
      <c r="JWF253" s="9"/>
      <c r="JWG253" s="4"/>
      <c r="JWH253" s="9"/>
      <c r="JWI253" s="4"/>
      <c r="JWJ253" s="9"/>
      <c r="JWK253" s="4"/>
      <c r="JWL253" s="9"/>
      <c r="JWM253" s="4"/>
      <c r="JWN253" s="9"/>
      <c r="JWO253" s="4"/>
      <c r="JWP253" s="9"/>
      <c r="JWQ253" s="4"/>
      <c r="JWR253" s="9"/>
      <c r="JWS253" s="4"/>
      <c r="JWT253" s="9"/>
      <c r="JWU253" s="4"/>
      <c r="JWV253" s="9"/>
      <c r="JWW253" s="4"/>
      <c r="JWX253" s="9"/>
      <c r="JWY253" s="4"/>
      <c r="JWZ253" s="9"/>
      <c r="JXA253" s="4"/>
      <c r="JXB253" s="9"/>
      <c r="JXC253" s="4"/>
      <c r="JXD253" s="9"/>
      <c r="JXE253" s="4"/>
      <c r="JXF253" s="9"/>
      <c r="JXG253" s="4"/>
      <c r="JXH253" s="9"/>
      <c r="JXI253" s="4"/>
      <c r="JXJ253" s="9"/>
      <c r="JXK253" s="4"/>
      <c r="JXL253" s="9"/>
      <c r="JXM253" s="4"/>
      <c r="JXN253" s="9"/>
      <c r="JXO253" s="4"/>
      <c r="JXP253" s="9"/>
      <c r="JXQ253" s="4"/>
      <c r="JXR253" s="9"/>
      <c r="JXS253" s="4"/>
      <c r="JXT253" s="9"/>
      <c r="JXU253" s="4"/>
      <c r="JXV253" s="9"/>
      <c r="JXW253" s="4"/>
      <c r="JXX253" s="9"/>
      <c r="JXY253" s="4"/>
      <c r="JXZ253" s="9"/>
      <c r="JYA253" s="4"/>
      <c r="JYB253" s="9"/>
      <c r="JYC253" s="4"/>
      <c r="JYD253" s="9"/>
      <c r="JYE253" s="4"/>
      <c r="JYF253" s="9"/>
      <c r="JYG253" s="4"/>
      <c r="JYH253" s="9"/>
      <c r="JYI253" s="4"/>
      <c r="JYJ253" s="9"/>
      <c r="JYK253" s="4"/>
      <c r="JYL253" s="9"/>
      <c r="JYM253" s="4"/>
      <c r="JYN253" s="9"/>
      <c r="JYO253" s="4"/>
      <c r="JYP253" s="9"/>
      <c r="JYQ253" s="4"/>
      <c r="JYR253" s="9"/>
      <c r="JYS253" s="4"/>
      <c r="JYT253" s="9"/>
      <c r="JYU253" s="4"/>
      <c r="JYV253" s="9"/>
      <c r="JYW253" s="4"/>
      <c r="JYX253" s="9"/>
      <c r="JYY253" s="4"/>
      <c r="JYZ253" s="9"/>
      <c r="JZA253" s="4"/>
      <c r="JZB253" s="9"/>
      <c r="JZC253" s="4"/>
      <c r="JZD253" s="9"/>
      <c r="JZE253" s="4"/>
      <c r="JZF253" s="9"/>
      <c r="JZG253" s="4"/>
      <c r="JZH253" s="9"/>
      <c r="JZI253" s="4"/>
      <c r="JZJ253" s="9"/>
      <c r="JZK253" s="4"/>
      <c r="JZL253" s="9"/>
      <c r="JZM253" s="4"/>
      <c r="JZN253" s="9"/>
      <c r="JZO253" s="4"/>
      <c r="JZP253" s="9"/>
      <c r="JZQ253" s="4"/>
      <c r="JZR253" s="9"/>
      <c r="JZS253" s="4"/>
      <c r="JZT253" s="9"/>
      <c r="JZU253" s="4"/>
      <c r="JZV253" s="9"/>
      <c r="JZW253" s="4"/>
      <c r="JZX253" s="9"/>
      <c r="JZY253" s="4"/>
      <c r="JZZ253" s="9"/>
      <c r="KAA253" s="4"/>
      <c r="KAB253" s="9"/>
      <c r="KAC253" s="4"/>
      <c r="KAD253" s="9"/>
      <c r="KAE253" s="4"/>
      <c r="KAF253" s="9"/>
      <c r="KAG253" s="4"/>
      <c r="KAH253" s="9"/>
      <c r="KAI253" s="4"/>
      <c r="KAJ253" s="9"/>
      <c r="KAK253" s="4"/>
      <c r="KAL253" s="9"/>
      <c r="KAM253" s="4"/>
      <c r="KAN253" s="9"/>
      <c r="KAO253" s="4"/>
      <c r="KAP253" s="9"/>
      <c r="KAQ253" s="4"/>
      <c r="KAR253" s="9"/>
      <c r="KAS253" s="4"/>
      <c r="KAT253" s="9"/>
      <c r="KAU253" s="4"/>
      <c r="KAV253" s="9"/>
      <c r="KAW253" s="4"/>
      <c r="KAX253" s="9"/>
      <c r="KAY253" s="4"/>
      <c r="KAZ253" s="9"/>
      <c r="KBA253" s="4"/>
      <c r="KBB253" s="9"/>
      <c r="KBC253" s="4"/>
      <c r="KBD253" s="9"/>
      <c r="KBE253" s="4"/>
      <c r="KBF253" s="9"/>
      <c r="KBG253" s="4"/>
      <c r="KBH253" s="9"/>
      <c r="KBI253" s="4"/>
      <c r="KBJ253" s="9"/>
      <c r="KBK253" s="4"/>
      <c r="KBL253" s="9"/>
      <c r="KBM253" s="4"/>
      <c r="KBN253" s="9"/>
      <c r="KBO253" s="4"/>
      <c r="KBP253" s="9"/>
      <c r="KBQ253" s="4"/>
      <c r="KBR253" s="9"/>
      <c r="KBS253" s="4"/>
      <c r="KBT253" s="9"/>
      <c r="KBU253" s="4"/>
      <c r="KBV253" s="9"/>
      <c r="KBW253" s="4"/>
      <c r="KBX253" s="9"/>
      <c r="KBY253" s="4"/>
      <c r="KBZ253" s="9"/>
      <c r="KCA253" s="4"/>
      <c r="KCB253" s="9"/>
      <c r="KCC253" s="4"/>
      <c r="KCD253" s="9"/>
      <c r="KCE253" s="4"/>
      <c r="KCF253" s="9"/>
      <c r="KCG253" s="4"/>
      <c r="KCH253" s="9"/>
      <c r="KCI253" s="4"/>
      <c r="KCJ253" s="9"/>
      <c r="KCK253" s="4"/>
      <c r="KCL253" s="9"/>
      <c r="KCM253" s="4"/>
      <c r="KCN253" s="9"/>
      <c r="KCO253" s="4"/>
      <c r="KCP253" s="9"/>
      <c r="KCQ253" s="4"/>
      <c r="KCR253" s="9"/>
      <c r="KCS253" s="4"/>
      <c r="KCT253" s="9"/>
      <c r="KCU253" s="4"/>
      <c r="KCV253" s="9"/>
      <c r="KCW253" s="4"/>
      <c r="KCX253" s="9"/>
      <c r="KCY253" s="4"/>
      <c r="KCZ253" s="9"/>
      <c r="KDA253" s="4"/>
      <c r="KDB253" s="9"/>
      <c r="KDC253" s="4"/>
      <c r="KDD253" s="9"/>
      <c r="KDE253" s="4"/>
      <c r="KDF253" s="9"/>
      <c r="KDG253" s="4"/>
      <c r="KDH253" s="9"/>
      <c r="KDI253" s="4"/>
      <c r="KDJ253" s="9"/>
      <c r="KDK253" s="4"/>
      <c r="KDL253" s="9"/>
      <c r="KDM253" s="4"/>
      <c r="KDN253" s="9"/>
      <c r="KDO253" s="4"/>
      <c r="KDP253" s="9"/>
      <c r="KDQ253" s="4"/>
      <c r="KDR253" s="9"/>
      <c r="KDS253" s="4"/>
      <c r="KDT253" s="9"/>
      <c r="KDU253" s="4"/>
      <c r="KDV253" s="9"/>
      <c r="KDW253" s="4"/>
      <c r="KDX253" s="9"/>
      <c r="KDY253" s="4"/>
      <c r="KDZ253" s="9"/>
      <c r="KEA253" s="4"/>
      <c r="KEB253" s="9"/>
      <c r="KEC253" s="4"/>
      <c r="KED253" s="9"/>
      <c r="KEE253" s="4"/>
      <c r="KEF253" s="9"/>
      <c r="KEG253" s="4"/>
      <c r="KEH253" s="9"/>
      <c r="KEI253" s="4"/>
      <c r="KEJ253" s="9"/>
      <c r="KEK253" s="4"/>
      <c r="KEL253" s="9"/>
      <c r="KEM253" s="4"/>
      <c r="KEN253" s="9"/>
      <c r="KEO253" s="4"/>
      <c r="KEP253" s="9"/>
      <c r="KEQ253" s="4"/>
      <c r="KER253" s="9"/>
      <c r="KES253" s="4"/>
      <c r="KET253" s="9"/>
      <c r="KEU253" s="4"/>
      <c r="KEV253" s="9"/>
      <c r="KEW253" s="4"/>
      <c r="KEX253" s="9"/>
      <c r="KEY253" s="4"/>
      <c r="KEZ253" s="9"/>
      <c r="KFA253" s="4"/>
      <c r="KFB253" s="9"/>
      <c r="KFC253" s="4"/>
      <c r="KFD253" s="9"/>
      <c r="KFE253" s="4"/>
      <c r="KFF253" s="9"/>
      <c r="KFG253" s="4"/>
      <c r="KFH253" s="9"/>
      <c r="KFI253" s="4"/>
      <c r="KFJ253" s="9"/>
      <c r="KFK253" s="4"/>
      <c r="KFL253" s="9"/>
      <c r="KFM253" s="4"/>
      <c r="KFN253" s="9"/>
      <c r="KFO253" s="4"/>
      <c r="KFP253" s="9"/>
      <c r="KFQ253" s="4"/>
      <c r="KFR253" s="9"/>
      <c r="KFS253" s="4"/>
      <c r="KFT253" s="9"/>
      <c r="KFU253" s="4"/>
      <c r="KFV253" s="9"/>
      <c r="KFW253" s="4"/>
      <c r="KFX253" s="9"/>
      <c r="KFY253" s="4"/>
      <c r="KFZ253" s="9"/>
      <c r="KGA253" s="4"/>
      <c r="KGB253" s="9"/>
      <c r="KGC253" s="4"/>
      <c r="KGD253" s="9"/>
      <c r="KGE253" s="4"/>
      <c r="KGF253" s="9"/>
      <c r="KGG253" s="4"/>
      <c r="KGH253" s="9"/>
      <c r="KGI253" s="4"/>
      <c r="KGJ253" s="9"/>
      <c r="KGK253" s="4"/>
      <c r="KGL253" s="9"/>
      <c r="KGM253" s="4"/>
      <c r="KGN253" s="9"/>
      <c r="KGO253" s="4"/>
      <c r="KGP253" s="9"/>
      <c r="KGQ253" s="4"/>
      <c r="KGR253" s="9"/>
      <c r="KGS253" s="4"/>
      <c r="KGT253" s="9"/>
      <c r="KGU253" s="4"/>
      <c r="KGV253" s="9"/>
      <c r="KGW253" s="4"/>
      <c r="KGX253" s="9"/>
      <c r="KGY253" s="4"/>
      <c r="KGZ253" s="9"/>
      <c r="KHA253" s="4"/>
      <c r="KHB253" s="9"/>
      <c r="KHC253" s="4"/>
      <c r="KHD253" s="9"/>
      <c r="KHE253" s="4"/>
      <c r="KHF253" s="9"/>
      <c r="KHG253" s="4"/>
      <c r="KHH253" s="9"/>
      <c r="KHI253" s="4"/>
      <c r="KHJ253" s="9"/>
      <c r="KHK253" s="4"/>
      <c r="KHL253" s="9"/>
      <c r="KHM253" s="4"/>
      <c r="KHN253" s="9"/>
      <c r="KHO253" s="4"/>
      <c r="KHP253" s="9"/>
      <c r="KHQ253" s="4"/>
      <c r="KHR253" s="9"/>
      <c r="KHS253" s="4"/>
      <c r="KHT253" s="9"/>
      <c r="KHU253" s="4"/>
      <c r="KHV253" s="9"/>
      <c r="KHW253" s="4"/>
      <c r="KHX253" s="9"/>
      <c r="KHY253" s="4"/>
      <c r="KHZ253" s="9"/>
      <c r="KIA253" s="4"/>
      <c r="KIB253" s="9"/>
      <c r="KIC253" s="4"/>
      <c r="KID253" s="9"/>
      <c r="KIE253" s="4"/>
      <c r="KIF253" s="9"/>
      <c r="KIG253" s="4"/>
      <c r="KIH253" s="9"/>
      <c r="KII253" s="4"/>
      <c r="KIJ253" s="9"/>
      <c r="KIK253" s="4"/>
      <c r="KIL253" s="9"/>
      <c r="KIM253" s="4"/>
      <c r="KIN253" s="9"/>
      <c r="KIO253" s="4"/>
      <c r="KIP253" s="9"/>
      <c r="KIQ253" s="4"/>
      <c r="KIR253" s="9"/>
      <c r="KIS253" s="4"/>
      <c r="KIT253" s="9"/>
      <c r="KIU253" s="4"/>
      <c r="KIV253" s="9"/>
      <c r="KIW253" s="4"/>
      <c r="KIX253" s="9"/>
      <c r="KIY253" s="4"/>
      <c r="KIZ253" s="9"/>
      <c r="KJA253" s="4"/>
      <c r="KJB253" s="9"/>
      <c r="KJC253" s="4"/>
      <c r="KJD253" s="9"/>
      <c r="KJE253" s="4"/>
      <c r="KJF253" s="9"/>
      <c r="KJG253" s="4"/>
      <c r="KJH253" s="9"/>
      <c r="KJI253" s="4"/>
      <c r="KJJ253" s="9"/>
      <c r="KJK253" s="4"/>
      <c r="KJL253" s="9"/>
      <c r="KJM253" s="4"/>
      <c r="KJN253" s="9"/>
      <c r="KJO253" s="4"/>
      <c r="KJP253" s="9"/>
      <c r="KJQ253" s="4"/>
      <c r="KJR253" s="9"/>
      <c r="KJS253" s="4"/>
      <c r="KJT253" s="9"/>
      <c r="KJU253" s="4"/>
      <c r="KJV253" s="9"/>
      <c r="KJW253" s="4"/>
      <c r="KJX253" s="9"/>
      <c r="KJY253" s="4"/>
      <c r="KJZ253" s="9"/>
      <c r="KKA253" s="4"/>
      <c r="KKB253" s="9"/>
      <c r="KKC253" s="4"/>
      <c r="KKD253" s="9"/>
      <c r="KKE253" s="4"/>
      <c r="KKF253" s="9"/>
      <c r="KKG253" s="4"/>
      <c r="KKH253" s="9"/>
      <c r="KKI253" s="4"/>
      <c r="KKJ253" s="9"/>
      <c r="KKK253" s="4"/>
      <c r="KKL253" s="9"/>
      <c r="KKM253" s="4"/>
      <c r="KKN253" s="9"/>
      <c r="KKO253" s="4"/>
      <c r="KKP253" s="9"/>
      <c r="KKQ253" s="4"/>
      <c r="KKR253" s="9"/>
      <c r="KKS253" s="4"/>
      <c r="KKT253" s="9"/>
      <c r="KKU253" s="4"/>
      <c r="KKV253" s="9"/>
      <c r="KKW253" s="4"/>
      <c r="KKX253" s="9"/>
      <c r="KKY253" s="4"/>
      <c r="KKZ253" s="9"/>
      <c r="KLA253" s="4"/>
      <c r="KLB253" s="9"/>
      <c r="KLC253" s="4"/>
      <c r="KLD253" s="9"/>
      <c r="KLE253" s="4"/>
      <c r="KLF253" s="9"/>
      <c r="KLG253" s="4"/>
      <c r="KLH253" s="9"/>
      <c r="KLI253" s="4"/>
      <c r="KLJ253" s="9"/>
      <c r="KLK253" s="4"/>
      <c r="KLL253" s="9"/>
      <c r="KLM253" s="4"/>
      <c r="KLN253" s="9"/>
      <c r="KLO253" s="4"/>
      <c r="KLP253" s="9"/>
      <c r="KLQ253" s="4"/>
      <c r="KLR253" s="9"/>
      <c r="KLS253" s="4"/>
      <c r="KLT253" s="9"/>
      <c r="KLU253" s="4"/>
      <c r="KLV253" s="9"/>
      <c r="KLW253" s="4"/>
      <c r="KLX253" s="9"/>
      <c r="KLY253" s="4"/>
      <c r="KLZ253" s="9"/>
      <c r="KMA253" s="4"/>
      <c r="KMB253" s="9"/>
      <c r="KMC253" s="4"/>
      <c r="KMD253" s="9"/>
      <c r="KME253" s="4"/>
      <c r="KMF253" s="9"/>
      <c r="KMG253" s="4"/>
      <c r="KMH253" s="9"/>
      <c r="KMI253" s="4"/>
      <c r="KMJ253" s="9"/>
      <c r="KMK253" s="4"/>
      <c r="KML253" s="9"/>
      <c r="KMM253" s="4"/>
      <c r="KMN253" s="9"/>
      <c r="KMO253" s="4"/>
      <c r="KMP253" s="9"/>
      <c r="KMQ253" s="4"/>
      <c r="KMR253" s="9"/>
      <c r="KMS253" s="4"/>
      <c r="KMT253" s="9"/>
      <c r="KMU253" s="4"/>
      <c r="KMV253" s="9"/>
      <c r="KMW253" s="4"/>
      <c r="KMX253" s="9"/>
      <c r="KMY253" s="4"/>
      <c r="KMZ253" s="9"/>
      <c r="KNA253" s="4"/>
      <c r="KNB253" s="9"/>
      <c r="KNC253" s="4"/>
      <c r="KND253" s="9"/>
      <c r="KNE253" s="4"/>
      <c r="KNF253" s="9"/>
      <c r="KNG253" s="4"/>
      <c r="KNH253" s="9"/>
      <c r="KNI253" s="4"/>
      <c r="KNJ253" s="9"/>
      <c r="KNK253" s="4"/>
      <c r="KNL253" s="9"/>
      <c r="KNM253" s="4"/>
      <c r="KNN253" s="9"/>
      <c r="KNO253" s="4"/>
      <c r="KNP253" s="9"/>
      <c r="KNQ253" s="4"/>
      <c r="KNR253" s="9"/>
      <c r="KNS253" s="4"/>
      <c r="KNT253" s="9"/>
      <c r="KNU253" s="4"/>
      <c r="KNV253" s="9"/>
      <c r="KNW253" s="4"/>
      <c r="KNX253" s="9"/>
      <c r="KNY253" s="4"/>
      <c r="KNZ253" s="9"/>
      <c r="KOA253" s="4"/>
      <c r="KOB253" s="9"/>
      <c r="KOC253" s="4"/>
      <c r="KOD253" s="9"/>
      <c r="KOE253" s="4"/>
      <c r="KOF253" s="9"/>
      <c r="KOG253" s="4"/>
      <c r="KOH253" s="9"/>
      <c r="KOI253" s="4"/>
      <c r="KOJ253" s="9"/>
      <c r="KOK253" s="4"/>
      <c r="KOL253" s="9"/>
      <c r="KOM253" s="4"/>
      <c r="KON253" s="9"/>
      <c r="KOO253" s="4"/>
      <c r="KOP253" s="9"/>
      <c r="KOQ253" s="4"/>
      <c r="KOR253" s="9"/>
      <c r="KOS253" s="4"/>
      <c r="KOT253" s="9"/>
      <c r="KOU253" s="4"/>
      <c r="KOV253" s="9"/>
      <c r="KOW253" s="4"/>
      <c r="KOX253" s="9"/>
      <c r="KOY253" s="4"/>
      <c r="KOZ253" s="9"/>
      <c r="KPA253" s="4"/>
      <c r="KPB253" s="9"/>
      <c r="KPC253" s="4"/>
      <c r="KPD253" s="9"/>
      <c r="KPE253" s="4"/>
      <c r="KPF253" s="9"/>
      <c r="KPG253" s="4"/>
      <c r="KPH253" s="9"/>
      <c r="KPI253" s="4"/>
      <c r="KPJ253" s="9"/>
      <c r="KPK253" s="4"/>
      <c r="KPL253" s="9"/>
      <c r="KPM253" s="4"/>
      <c r="KPN253" s="9"/>
      <c r="KPO253" s="4"/>
      <c r="KPP253" s="9"/>
      <c r="KPQ253" s="4"/>
      <c r="KPR253" s="9"/>
      <c r="KPS253" s="4"/>
      <c r="KPT253" s="9"/>
      <c r="KPU253" s="4"/>
      <c r="KPV253" s="9"/>
      <c r="KPW253" s="4"/>
      <c r="KPX253" s="9"/>
      <c r="KPY253" s="4"/>
      <c r="KPZ253" s="9"/>
      <c r="KQA253" s="4"/>
      <c r="KQB253" s="9"/>
      <c r="KQC253" s="4"/>
      <c r="KQD253" s="9"/>
      <c r="KQE253" s="4"/>
      <c r="KQF253" s="9"/>
      <c r="KQG253" s="4"/>
      <c r="KQH253" s="9"/>
      <c r="KQI253" s="4"/>
      <c r="KQJ253" s="9"/>
      <c r="KQK253" s="4"/>
      <c r="KQL253" s="9"/>
      <c r="KQM253" s="4"/>
      <c r="KQN253" s="9"/>
      <c r="KQO253" s="4"/>
      <c r="KQP253" s="9"/>
      <c r="KQQ253" s="4"/>
      <c r="KQR253" s="9"/>
      <c r="KQS253" s="4"/>
      <c r="KQT253" s="9"/>
      <c r="KQU253" s="4"/>
      <c r="KQV253" s="9"/>
      <c r="KQW253" s="4"/>
      <c r="KQX253" s="9"/>
      <c r="KQY253" s="4"/>
      <c r="KQZ253" s="9"/>
      <c r="KRA253" s="4"/>
      <c r="KRB253" s="9"/>
      <c r="KRC253" s="4"/>
      <c r="KRD253" s="9"/>
      <c r="KRE253" s="4"/>
      <c r="KRF253" s="9"/>
      <c r="KRG253" s="4"/>
      <c r="KRH253" s="9"/>
      <c r="KRI253" s="4"/>
      <c r="KRJ253" s="9"/>
      <c r="KRK253" s="4"/>
      <c r="KRL253" s="9"/>
      <c r="KRM253" s="4"/>
      <c r="KRN253" s="9"/>
      <c r="KRO253" s="4"/>
      <c r="KRP253" s="9"/>
      <c r="KRQ253" s="4"/>
      <c r="KRR253" s="9"/>
      <c r="KRS253" s="4"/>
      <c r="KRT253" s="9"/>
      <c r="KRU253" s="4"/>
      <c r="KRV253" s="9"/>
      <c r="KRW253" s="4"/>
      <c r="KRX253" s="9"/>
      <c r="KRY253" s="4"/>
      <c r="KRZ253" s="9"/>
      <c r="KSA253" s="4"/>
      <c r="KSB253" s="9"/>
      <c r="KSC253" s="4"/>
      <c r="KSD253" s="9"/>
      <c r="KSE253" s="4"/>
      <c r="KSF253" s="9"/>
      <c r="KSG253" s="4"/>
      <c r="KSH253" s="9"/>
      <c r="KSI253" s="4"/>
      <c r="KSJ253" s="9"/>
      <c r="KSK253" s="4"/>
      <c r="KSL253" s="9"/>
      <c r="KSM253" s="4"/>
      <c r="KSN253" s="9"/>
      <c r="KSO253" s="4"/>
      <c r="KSP253" s="9"/>
      <c r="KSQ253" s="4"/>
      <c r="KSR253" s="9"/>
      <c r="KSS253" s="4"/>
      <c r="KST253" s="9"/>
      <c r="KSU253" s="4"/>
      <c r="KSV253" s="9"/>
      <c r="KSW253" s="4"/>
      <c r="KSX253" s="9"/>
      <c r="KSY253" s="4"/>
      <c r="KSZ253" s="9"/>
      <c r="KTA253" s="4"/>
      <c r="KTB253" s="9"/>
      <c r="KTC253" s="4"/>
      <c r="KTD253" s="9"/>
      <c r="KTE253" s="4"/>
      <c r="KTF253" s="9"/>
      <c r="KTG253" s="4"/>
      <c r="KTH253" s="9"/>
      <c r="KTI253" s="4"/>
      <c r="KTJ253" s="9"/>
      <c r="KTK253" s="4"/>
      <c r="KTL253" s="9"/>
      <c r="KTM253" s="4"/>
      <c r="KTN253" s="9"/>
      <c r="KTO253" s="4"/>
      <c r="KTP253" s="9"/>
      <c r="KTQ253" s="4"/>
      <c r="KTR253" s="9"/>
      <c r="KTS253" s="4"/>
      <c r="KTT253" s="9"/>
      <c r="KTU253" s="4"/>
      <c r="KTV253" s="9"/>
      <c r="KTW253" s="4"/>
      <c r="KTX253" s="9"/>
      <c r="KTY253" s="4"/>
      <c r="KTZ253" s="9"/>
      <c r="KUA253" s="4"/>
      <c r="KUB253" s="9"/>
      <c r="KUC253" s="4"/>
      <c r="KUD253" s="9"/>
      <c r="KUE253" s="4"/>
      <c r="KUF253" s="9"/>
      <c r="KUG253" s="4"/>
      <c r="KUH253" s="9"/>
      <c r="KUI253" s="4"/>
      <c r="KUJ253" s="9"/>
      <c r="KUK253" s="4"/>
      <c r="KUL253" s="9"/>
      <c r="KUM253" s="4"/>
      <c r="KUN253" s="9"/>
      <c r="KUO253" s="4"/>
      <c r="KUP253" s="9"/>
      <c r="KUQ253" s="4"/>
      <c r="KUR253" s="9"/>
      <c r="KUS253" s="4"/>
      <c r="KUT253" s="9"/>
      <c r="KUU253" s="4"/>
      <c r="KUV253" s="9"/>
      <c r="KUW253" s="4"/>
      <c r="KUX253" s="9"/>
      <c r="KUY253" s="4"/>
      <c r="KUZ253" s="9"/>
      <c r="KVA253" s="4"/>
      <c r="KVB253" s="9"/>
      <c r="KVC253" s="4"/>
      <c r="KVD253" s="9"/>
      <c r="KVE253" s="4"/>
      <c r="KVF253" s="9"/>
      <c r="KVG253" s="4"/>
      <c r="KVH253" s="9"/>
      <c r="KVI253" s="4"/>
      <c r="KVJ253" s="9"/>
      <c r="KVK253" s="4"/>
      <c r="KVL253" s="9"/>
      <c r="KVM253" s="4"/>
      <c r="KVN253" s="9"/>
      <c r="KVO253" s="4"/>
      <c r="KVP253" s="9"/>
      <c r="KVQ253" s="4"/>
      <c r="KVR253" s="9"/>
      <c r="KVS253" s="4"/>
      <c r="KVT253" s="9"/>
      <c r="KVU253" s="4"/>
      <c r="KVV253" s="9"/>
      <c r="KVW253" s="4"/>
      <c r="KVX253" s="9"/>
      <c r="KVY253" s="4"/>
      <c r="KVZ253" s="9"/>
      <c r="KWA253" s="4"/>
      <c r="KWB253" s="9"/>
      <c r="KWC253" s="4"/>
      <c r="KWD253" s="9"/>
      <c r="KWE253" s="4"/>
      <c r="KWF253" s="9"/>
      <c r="KWG253" s="4"/>
      <c r="KWH253" s="9"/>
      <c r="KWI253" s="4"/>
      <c r="KWJ253" s="9"/>
      <c r="KWK253" s="4"/>
      <c r="KWL253" s="9"/>
      <c r="KWM253" s="4"/>
      <c r="KWN253" s="9"/>
      <c r="KWO253" s="4"/>
      <c r="KWP253" s="9"/>
      <c r="KWQ253" s="4"/>
      <c r="KWR253" s="9"/>
      <c r="KWS253" s="4"/>
      <c r="KWT253" s="9"/>
      <c r="KWU253" s="4"/>
      <c r="KWV253" s="9"/>
      <c r="KWW253" s="4"/>
      <c r="KWX253" s="9"/>
      <c r="KWY253" s="4"/>
      <c r="KWZ253" s="9"/>
      <c r="KXA253" s="4"/>
      <c r="KXB253" s="9"/>
      <c r="KXC253" s="4"/>
      <c r="KXD253" s="9"/>
      <c r="KXE253" s="4"/>
      <c r="KXF253" s="9"/>
      <c r="KXG253" s="4"/>
      <c r="KXH253" s="9"/>
      <c r="KXI253" s="4"/>
      <c r="KXJ253" s="9"/>
      <c r="KXK253" s="4"/>
      <c r="KXL253" s="9"/>
      <c r="KXM253" s="4"/>
      <c r="KXN253" s="9"/>
      <c r="KXO253" s="4"/>
      <c r="KXP253" s="9"/>
      <c r="KXQ253" s="4"/>
      <c r="KXR253" s="9"/>
      <c r="KXS253" s="4"/>
      <c r="KXT253" s="9"/>
      <c r="KXU253" s="4"/>
      <c r="KXV253" s="9"/>
      <c r="KXW253" s="4"/>
      <c r="KXX253" s="9"/>
      <c r="KXY253" s="4"/>
      <c r="KXZ253" s="9"/>
      <c r="KYA253" s="4"/>
      <c r="KYB253" s="9"/>
      <c r="KYC253" s="4"/>
      <c r="KYD253" s="9"/>
      <c r="KYE253" s="4"/>
      <c r="KYF253" s="9"/>
      <c r="KYG253" s="4"/>
      <c r="KYH253" s="9"/>
      <c r="KYI253" s="4"/>
      <c r="KYJ253" s="9"/>
      <c r="KYK253" s="4"/>
      <c r="KYL253" s="9"/>
      <c r="KYM253" s="4"/>
      <c r="KYN253" s="9"/>
      <c r="KYO253" s="4"/>
      <c r="KYP253" s="9"/>
      <c r="KYQ253" s="4"/>
      <c r="KYR253" s="9"/>
      <c r="KYS253" s="4"/>
      <c r="KYT253" s="9"/>
      <c r="KYU253" s="4"/>
      <c r="KYV253" s="9"/>
      <c r="KYW253" s="4"/>
      <c r="KYX253" s="9"/>
      <c r="KYY253" s="4"/>
      <c r="KYZ253" s="9"/>
      <c r="KZA253" s="4"/>
      <c r="KZB253" s="9"/>
      <c r="KZC253" s="4"/>
      <c r="KZD253" s="9"/>
      <c r="KZE253" s="4"/>
      <c r="KZF253" s="9"/>
      <c r="KZG253" s="4"/>
      <c r="KZH253" s="9"/>
      <c r="KZI253" s="4"/>
      <c r="KZJ253" s="9"/>
      <c r="KZK253" s="4"/>
      <c r="KZL253" s="9"/>
      <c r="KZM253" s="4"/>
      <c r="KZN253" s="9"/>
      <c r="KZO253" s="4"/>
      <c r="KZP253" s="9"/>
      <c r="KZQ253" s="4"/>
      <c r="KZR253" s="9"/>
      <c r="KZS253" s="4"/>
      <c r="KZT253" s="9"/>
      <c r="KZU253" s="4"/>
      <c r="KZV253" s="9"/>
      <c r="KZW253" s="4"/>
      <c r="KZX253" s="9"/>
      <c r="KZY253" s="4"/>
      <c r="KZZ253" s="9"/>
      <c r="LAA253" s="4"/>
      <c r="LAB253" s="9"/>
      <c r="LAC253" s="4"/>
      <c r="LAD253" s="9"/>
      <c r="LAE253" s="4"/>
      <c r="LAF253" s="9"/>
      <c r="LAG253" s="4"/>
      <c r="LAH253" s="9"/>
      <c r="LAI253" s="4"/>
      <c r="LAJ253" s="9"/>
      <c r="LAK253" s="4"/>
      <c r="LAL253" s="9"/>
      <c r="LAM253" s="4"/>
      <c r="LAN253" s="9"/>
      <c r="LAO253" s="4"/>
      <c r="LAP253" s="9"/>
      <c r="LAQ253" s="4"/>
      <c r="LAR253" s="9"/>
      <c r="LAS253" s="4"/>
      <c r="LAT253" s="9"/>
      <c r="LAU253" s="4"/>
      <c r="LAV253" s="9"/>
      <c r="LAW253" s="4"/>
      <c r="LAX253" s="9"/>
      <c r="LAY253" s="4"/>
      <c r="LAZ253" s="9"/>
      <c r="LBA253" s="4"/>
      <c r="LBB253" s="9"/>
      <c r="LBC253" s="4"/>
      <c r="LBD253" s="9"/>
      <c r="LBE253" s="4"/>
      <c r="LBF253" s="9"/>
      <c r="LBG253" s="4"/>
      <c r="LBH253" s="9"/>
      <c r="LBI253" s="4"/>
      <c r="LBJ253" s="9"/>
      <c r="LBK253" s="4"/>
      <c r="LBL253" s="9"/>
      <c r="LBM253" s="4"/>
      <c r="LBN253" s="9"/>
      <c r="LBO253" s="4"/>
      <c r="LBP253" s="9"/>
      <c r="LBQ253" s="4"/>
      <c r="LBR253" s="9"/>
      <c r="LBS253" s="4"/>
      <c r="LBT253" s="9"/>
      <c r="LBU253" s="4"/>
      <c r="LBV253" s="9"/>
      <c r="LBW253" s="4"/>
      <c r="LBX253" s="9"/>
      <c r="LBY253" s="4"/>
      <c r="LBZ253" s="9"/>
      <c r="LCA253" s="4"/>
      <c r="LCB253" s="9"/>
      <c r="LCC253" s="4"/>
      <c r="LCD253" s="9"/>
      <c r="LCE253" s="4"/>
      <c r="LCF253" s="9"/>
      <c r="LCG253" s="4"/>
      <c r="LCH253" s="9"/>
      <c r="LCI253" s="4"/>
      <c r="LCJ253" s="9"/>
      <c r="LCK253" s="4"/>
      <c r="LCL253" s="9"/>
      <c r="LCM253" s="4"/>
      <c r="LCN253" s="9"/>
      <c r="LCO253" s="4"/>
      <c r="LCP253" s="9"/>
      <c r="LCQ253" s="4"/>
      <c r="LCR253" s="9"/>
      <c r="LCS253" s="4"/>
      <c r="LCT253" s="9"/>
      <c r="LCU253" s="4"/>
      <c r="LCV253" s="9"/>
      <c r="LCW253" s="4"/>
      <c r="LCX253" s="9"/>
      <c r="LCY253" s="4"/>
      <c r="LCZ253" s="9"/>
      <c r="LDA253" s="4"/>
      <c r="LDB253" s="9"/>
      <c r="LDC253" s="4"/>
      <c r="LDD253" s="9"/>
      <c r="LDE253" s="4"/>
      <c r="LDF253" s="9"/>
      <c r="LDG253" s="4"/>
      <c r="LDH253" s="9"/>
      <c r="LDI253" s="4"/>
      <c r="LDJ253" s="9"/>
      <c r="LDK253" s="4"/>
      <c r="LDL253" s="9"/>
      <c r="LDM253" s="4"/>
      <c r="LDN253" s="9"/>
      <c r="LDO253" s="4"/>
      <c r="LDP253" s="9"/>
      <c r="LDQ253" s="4"/>
      <c r="LDR253" s="9"/>
      <c r="LDS253" s="4"/>
      <c r="LDT253" s="9"/>
      <c r="LDU253" s="4"/>
      <c r="LDV253" s="9"/>
      <c r="LDW253" s="4"/>
      <c r="LDX253" s="9"/>
      <c r="LDY253" s="4"/>
      <c r="LDZ253" s="9"/>
      <c r="LEA253" s="4"/>
      <c r="LEB253" s="9"/>
      <c r="LEC253" s="4"/>
      <c r="LED253" s="9"/>
      <c r="LEE253" s="4"/>
      <c r="LEF253" s="9"/>
      <c r="LEG253" s="4"/>
      <c r="LEH253" s="9"/>
      <c r="LEI253" s="4"/>
      <c r="LEJ253" s="9"/>
      <c r="LEK253" s="4"/>
      <c r="LEL253" s="9"/>
      <c r="LEM253" s="4"/>
      <c r="LEN253" s="9"/>
      <c r="LEO253" s="4"/>
      <c r="LEP253" s="9"/>
      <c r="LEQ253" s="4"/>
      <c r="LER253" s="9"/>
      <c r="LES253" s="4"/>
      <c r="LET253" s="9"/>
      <c r="LEU253" s="4"/>
      <c r="LEV253" s="9"/>
      <c r="LEW253" s="4"/>
      <c r="LEX253" s="9"/>
      <c r="LEY253" s="4"/>
      <c r="LEZ253" s="9"/>
      <c r="LFA253" s="4"/>
      <c r="LFB253" s="9"/>
      <c r="LFC253" s="4"/>
      <c r="LFD253" s="9"/>
      <c r="LFE253" s="4"/>
      <c r="LFF253" s="9"/>
      <c r="LFG253" s="4"/>
      <c r="LFH253" s="9"/>
      <c r="LFI253" s="4"/>
      <c r="LFJ253" s="9"/>
      <c r="LFK253" s="4"/>
      <c r="LFL253" s="9"/>
      <c r="LFM253" s="4"/>
      <c r="LFN253" s="9"/>
      <c r="LFO253" s="4"/>
      <c r="LFP253" s="9"/>
      <c r="LFQ253" s="4"/>
      <c r="LFR253" s="9"/>
      <c r="LFS253" s="4"/>
      <c r="LFT253" s="9"/>
      <c r="LFU253" s="4"/>
      <c r="LFV253" s="9"/>
      <c r="LFW253" s="4"/>
      <c r="LFX253" s="9"/>
      <c r="LFY253" s="4"/>
      <c r="LFZ253" s="9"/>
      <c r="LGA253" s="4"/>
      <c r="LGB253" s="9"/>
      <c r="LGC253" s="4"/>
      <c r="LGD253" s="9"/>
      <c r="LGE253" s="4"/>
      <c r="LGF253" s="9"/>
      <c r="LGG253" s="4"/>
      <c r="LGH253" s="9"/>
      <c r="LGI253" s="4"/>
      <c r="LGJ253" s="9"/>
      <c r="LGK253" s="4"/>
      <c r="LGL253" s="9"/>
      <c r="LGM253" s="4"/>
      <c r="LGN253" s="9"/>
      <c r="LGO253" s="4"/>
      <c r="LGP253" s="9"/>
      <c r="LGQ253" s="4"/>
      <c r="LGR253" s="9"/>
      <c r="LGS253" s="4"/>
      <c r="LGT253" s="9"/>
      <c r="LGU253" s="4"/>
      <c r="LGV253" s="9"/>
      <c r="LGW253" s="4"/>
      <c r="LGX253" s="9"/>
      <c r="LGY253" s="4"/>
      <c r="LGZ253" s="9"/>
      <c r="LHA253" s="4"/>
      <c r="LHB253" s="9"/>
      <c r="LHC253" s="4"/>
      <c r="LHD253" s="9"/>
      <c r="LHE253" s="4"/>
      <c r="LHF253" s="9"/>
      <c r="LHG253" s="4"/>
      <c r="LHH253" s="9"/>
      <c r="LHI253" s="4"/>
      <c r="LHJ253" s="9"/>
      <c r="LHK253" s="4"/>
      <c r="LHL253" s="9"/>
      <c r="LHM253" s="4"/>
      <c r="LHN253" s="9"/>
      <c r="LHO253" s="4"/>
      <c r="LHP253" s="9"/>
      <c r="LHQ253" s="4"/>
      <c r="LHR253" s="9"/>
      <c r="LHS253" s="4"/>
      <c r="LHT253" s="9"/>
      <c r="LHU253" s="4"/>
      <c r="LHV253" s="9"/>
      <c r="LHW253" s="4"/>
      <c r="LHX253" s="9"/>
      <c r="LHY253" s="4"/>
      <c r="LHZ253" s="9"/>
      <c r="LIA253" s="4"/>
      <c r="LIB253" s="9"/>
      <c r="LIC253" s="4"/>
      <c r="LID253" s="9"/>
      <c r="LIE253" s="4"/>
      <c r="LIF253" s="9"/>
      <c r="LIG253" s="4"/>
      <c r="LIH253" s="9"/>
      <c r="LII253" s="4"/>
      <c r="LIJ253" s="9"/>
      <c r="LIK253" s="4"/>
      <c r="LIL253" s="9"/>
      <c r="LIM253" s="4"/>
      <c r="LIN253" s="9"/>
      <c r="LIO253" s="4"/>
      <c r="LIP253" s="9"/>
      <c r="LIQ253" s="4"/>
      <c r="LIR253" s="9"/>
      <c r="LIS253" s="4"/>
      <c r="LIT253" s="9"/>
      <c r="LIU253" s="4"/>
      <c r="LIV253" s="9"/>
      <c r="LIW253" s="4"/>
      <c r="LIX253" s="9"/>
      <c r="LIY253" s="4"/>
      <c r="LIZ253" s="9"/>
      <c r="LJA253" s="4"/>
      <c r="LJB253" s="9"/>
      <c r="LJC253" s="4"/>
      <c r="LJD253" s="9"/>
      <c r="LJE253" s="4"/>
      <c r="LJF253" s="9"/>
      <c r="LJG253" s="4"/>
      <c r="LJH253" s="9"/>
      <c r="LJI253" s="4"/>
      <c r="LJJ253" s="9"/>
      <c r="LJK253" s="4"/>
      <c r="LJL253" s="9"/>
      <c r="LJM253" s="4"/>
      <c r="LJN253" s="9"/>
      <c r="LJO253" s="4"/>
      <c r="LJP253" s="9"/>
      <c r="LJQ253" s="4"/>
      <c r="LJR253" s="9"/>
      <c r="LJS253" s="4"/>
      <c r="LJT253" s="9"/>
      <c r="LJU253" s="4"/>
      <c r="LJV253" s="9"/>
      <c r="LJW253" s="4"/>
      <c r="LJX253" s="9"/>
      <c r="LJY253" s="4"/>
      <c r="LJZ253" s="9"/>
      <c r="LKA253" s="4"/>
      <c r="LKB253" s="9"/>
      <c r="LKC253" s="4"/>
      <c r="LKD253" s="9"/>
      <c r="LKE253" s="4"/>
      <c r="LKF253" s="9"/>
      <c r="LKG253" s="4"/>
      <c r="LKH253" s="9"/>
      <c r="LKI253" s="4"/>
      <c r="LKJ253" s="9"/>
      <c r="LKK253" s="4"/>
      <c r="LKL253" s="9"/>
      <c r="LKM253" s="4"/>
      <c r="LKN253" s="9"/>
      <c r="LKO253" s="4"/>
      <c r="LKP253" s="9"/>
      <c r="LKQ253" s="4"/>
      <c r="LKR253" s="9"/>
      <c r="LKS253" s="4"/>
      <c r="LKT253" s="9"/>
      <c r="LKU253" s="4"/>
      <c r="LKV253" s="9"/>
      <c r="LKW253" s="4"/>
      <c r="LKX253" s="9"/>
      <c r="LKY253" s="4"/>
      <c r="LKZ253" s="9"/>
      <c r="LLA253" s="4"/>
      <c r="LLB253" s="9"/>
      <c r="LLC253" s="4"/>
      <c r="LLD253" s="9"/>
      <c r="LLE253" s="4"/>
      <c r="LLF253" s="9"/>
      <c r="LLG253" s="4"/>
      <c r="LLH253" s="9"/>
      <c r="LLI253" s="4"/>
      <c r="LLJ253" s="9"/>
      <c r="LLK253" s="4"/>
      <c r="LLL253" s="9"/>
      <c r="LLM253" s="4"/>
      <c r="LLN253" s="9"/>
      <c r="LLO253" s="4"/>
      <c r="LLP253" s="9"/>
      <c r="LLQ253" s="4"/>
      <c r="LLR253" s="9"/>
      <c r="LLS253" s="4"/>
      <c r="LLT253" s="9"/>
      <c r="LLU253" s="4"/>
      <c r="LLV253" s="9"/>
      <c r="LLW253" s="4"/>
      <c r="LLX253" s="9"/>
      <c r="LLY253" s="4"/>
      <c r="LLZ253" s="9"/>
      <c r="LMA253" s="4"/>
      <c r="LMB253" s="9"/>
      <c r="LMC253" s="4"/>
      <c r="LMD253" s="9"/>
      <c r="LME253" s="4"/>
      <c r="LMF253" s="9"/>
      <c r="LMG253" s="4"/>
      <c r="LMH253" s="9"/>
      <c r="LMI253" s="4"/>
      <c r="LMJ253" s="9"/>
      <c r="LMK253" s="4"/>
      <c r="LML253" s="9"/>
      <c r="LMM253" s="4"/>
      <c r="LMN253" s="9"/>
      <c r="LMO253" s="4"/>
      <c r="LMP253" s="9"/>
      <c r="LMQ253" s="4"/>
      <c r="LMR253" s="9"/>
      <c r="LMS253" s="4"/>
      <c r="LMT253" s="9"/>
      <c r="LMU253" s="4"/>
      <c r="LMV253" s="9"/>
      <c r="LMW253" s="4"/>
      <c r="LMX253" s="9"/>
      <c r="LMY253" s="4"/>
      <c r="LMZ253" s="9"/>
      <c r="LNA253" s="4"/>
      <c r="LNB253" s="9"/>
      <c r="LNC253" s="4"/>
      <c r="LND253" s="9"/>
      <c r="LNE253" s="4"/>
      <c r="LNF253" s="9"/>
      <c r="LNG253" s="4"/>
      <c r="LNH253" s="9"/>
      <c r="LNI253" s="4"/>
      <c r="LNJ253" s="9"/>
      <c r="LNK253" s="4"/>
      <c r="LNL253" s="9"/>
      <c r="LNM253" s="4"/>
      <c r="LNN253" s="9"/>
      <c r="LNO253" s="4"/>
      <c r="LNP253" s="9"/>
      <c r="LNQ253" s="4"/>
      <c r="LNR253" s="9"/>
      <c r="LNS253" s="4"/>
      <c r="LNT253" s="9"/>
      <c r="LNU253" s="4"/>
      <c r="LNV253" s="9"/>
      <c r="LNW253" s="4"/>
      <c r="LNX253" s="9"/>
      <c r="LNY253" s="4"/>
      <c r="LNZ253" s="9"/>
      <c r="LOA253" s="4"/>
      <c r="LOB253" s="9"/>
      <c r="LOC253" s="4"/>
      <c r="LOD253" s="9"/>
      <c r="LOE253" s="4"/>
      <c r="LOF253" s="9"/>
      <c r="LOG253" s="4"/>
      <c r="LOH253" s="9"/>
      <c r="LOI253" s="4"/>
      <c r="LOJ253" s="9"/>
      <c r="LOK253" s="4"/>
      <c r="LOL253" s="9"/>
      <c r="LOM253" s="4"/>
      <c r="LON253" s="9"/>
      <c r="LOO253" s="4"/>
      <c r="LOP253" s="9"/>
      <c r="LOQ253" s="4"/>
      <c r="LOR253" s="9"/>
      <c r="LOS253" s="4"/>
      <c r="LOT253" s="9"/>
      <c r="LOU253" s="4"/>
      <c r="LOV253" s="9"/>
      <c r="LOW253" s="4"/>
      <c r="LOX253" s="9"/>
      <c r="LOY253" s="4"/>
      <c r="LOZ253" s="9"/>
      <c r="LPA253" s="4"/>
      <c r="LPB253" s="9"/>
      <c r="LPC253" s="4"/>
      <c r="LPD253" s="9"/>
      <c r="LPE253" s="4"/>
      <c r="LPF253" s="9"/>
      <c r="LPG253" s="4"/>
      <c r="LPH253" s="9"/>
      <c r="LPI253" s="4"/>
      <c r="LPJ253" s="9"/>
      <c r="LPK253" s="4"/>
      <c r="LPL253" s="9"/>
      <c r="LPM253" s="4"/>
      <c r="LPN253" s="9"/>
      <c r="LPO253" s="4"/>
      <c r="LPP253" s="9"/>
      <c r="LPQ253" s="4"/>
      <c r="LPR253" s="9"/>
      <c r="LPS253" s="4"/>
      <c r="LPT253" s="9"/>
      <c r="LPU253" s="4"/>
      <c r="LPV253" s="9"/>
      <c r="LPW253" s="4"/>
      <c r="LPX253" s="9"/>
      <c r="LPY253" s="4"/>
      <c r="LPZ253" s="9"/>
      <c r="LQA253" s="4"/>
      <c r="LQB253" s="9"/>
      <c r="LQC253" s="4"/>
      <c r="LQD253" s="9"/>
      <c r="LQE253" s="4"/>
      <c r="LQF253" s="9"/>
      <c r="LQG253" s="4"/>
      <c r="LQH253" s="9"/>
      <c r="LQI253" s="4"/>
      <c r="LQJ253" s="9"/>
      <c r="LQK253" s="4"/>
      <c r="LQL253" s="9"/>
      <c r="LQM253" s="4"/>
      <c r="LQN253" s="9"/>
      <c r="LQO253" s="4"/>
      <c r="LQP253" s="9"/>
      <c r="LQQ253" s="4"/>
      <c r="LQR253" s="9"/>
      <c r="LQS253" s="4"/>
      <c r="LQT253" s="9"/>
      <c r="LQU253" s="4"/>
      <c r="LQV253" s="9"/>
      <c r="LQW253" s="4"/>
      <c r="LQX253" s="9"/>
      <c r="LQY253" s="4"/>
      <c r="LQZ253" s="9"/>
      <c r="LRA253" s="4"/>
      <c r="LRB253" s="9"/>
      <c r="LRC253" s="4"/>
      <c r="LRD253" s="9"/>
      <c r="LRE253" s="4"/>
      <c r="LRF253" s="9"/>
      <c r="LRG253" s="4"/>
      <c r="LRH253" s="9"/>
      <c r="LRI253" s="4"/>
      <c r="LRJ253" s="9"/>
      <c r="LRK253" s="4"/>
      <c r="LRL253" s="9"/>
      <c r="LRM253" s="4"/>
      <c r="LRN253" s="9"/>
      <c r="LRO253" s="4"/>
      <c r="LRP253" s="9"/>
      <c r="LRQ253" s="4"/>
      <c r="LRR253" s="9"/>
      <c r="LRS253" s="4"/>
      <c r="LRT253" s="9"/>
      <c r="LRU253" s="4"/>
      <c r="LRV253" s="9"/>
      <c r="LRW253" s="4"/>
      <c r="LRX253" s="9"/>
      <c r="LRY253" s="4"/>
      <c r="LRZ253" s="9"/>
      <c r="LSA253" s="4"/>
      <c r="LSB253" s="9"/>
      <c r="LSC253" s="4"/>
      <c r="LSD253" s="9"/>
      <c r="LSE253" s="4"/>
      <c r="LSF253" s="9"/>
      <c r="LSG253" s="4"/>
      <c r="LSH253" s="9"/>
      <c r="LSI253" s="4"/>
      <c r="LSJ253" s="9"/>
      <c r="LSK253" s="4"/>
      <c r="LSL253" s="9"/>
      <c r="LSM253" s="4"/>
      <c r="LSN253" s="9"/>
      <c r="LSO253" s="4"/>
      <c r="LSP253" s="9"/>
      <c r="LSQ253" s="4"/>
      <c r="LSR253" s="9"/>
      <c r="LSS253" s="4"/>
      <c r="LST253" s="9"/>
      <c r="LSU253" s="4"/>
      <c r="LSV253" s="9"/>
      <c r="LSW253" s="4"/>
      <c r="LSX253" s="9"/>
      <c r="LSY253" s="4"/>
      <c r="LSZ253" s="9"/>
      <c r="LTA253" s="4"/>
      <c r="LTB253" s="9"/>
      <c r="LTC253" s="4"/>
      <c r="LTD253" s="9"/>
      <c r="LTE253" s="4"/>
      <c r="LTF253" s="9"/>
      <c r="LTG253" s="4"/>
      <c r="LTH253" s="9"/>
      <c r="LTI253" s="4"/>
      <c r="LTJ253" s="9"/>
      <c r="LTK253" s="4"/>
      <c r="LTL253" s="9"/>
      <c r="LTM253" s="4"/>
      <c r="LTN253" s="9"/>
      <c r="LTO253" s="4"/>
      <c r="LTP253" s="9"/>
      <c r="LTQ253" s="4"/>
      <c r="LTR253" s="9"/>
      <c r="LTS253" s="4"/>
      <c r="LTT253" s="9"/>
      <c r="LTU253" s="4"/>
      <c r="LTV253" s="9"/>
      <c r="LTW253" s="4"/>
      <c r="LTX253" s="9"/>
      <c r="LTY253" s="4"/>
      <c r="LTZ253" s="9"/>
      <c r="LUA253" s="4"/>
      <c r="LUB253" s="9"/>
      <c r="LUC253" s="4"/>
      <c r="LUD253" s="9"/>
      <c r="LUE253" s="4"/>
      <c r="LUF253" s="9"/>
      <c r="LUG253" s="4"/>
      <c r="LUH253" s="9"/>
      <c r="LUI253" s="4"/>
      <c r="LUJ253" s="9"/>
      <c r="LUK253" s="4"/>
      <c r="LUL253" s="9"/>
      <c r="LUM253" s="4"/>
      <c r="LUN253" s="9"/>
      <c r="LUO253" s="4"/>
      <c r="LUP253" s="9"/>
      <c r="LUQ253" s="4"/>
      <c r="LUR253" s="9"/>
      <c r="LUS253" s="4"/>
      <c r="LUT253" s="9"/>
      <c r="LUU253" s="4"/>
      <c r="LUV253" s="9"/>
      <c r="LUW253" s="4"/>
      <c r="LUX253" s="9"/>
      <c r="LUY253" s="4"/>
      <c r="LUZ253" s="9"/>
      <c r="LVA253" s="4"/>
      <c r="LVB253" s="9"/>
      <c r="LVC253" s="4"/>
      <c r="LVD253" s="9"/>
      <c r="LVE253" s="4"/>
      <c r="LVF253" s="9"/>
      <c r="LVG253" s="4"/>
      <c r="LVH253" s="9"/>
      <c r="LVI253" s="4"/>
      <c r="LVJ253" s="9"/>
      <c r="LVK253" s="4"/>
      <c r="LVL253" s="9"/>
      <c r="LVM253" s="4"/>
      <c r="LVN253" s="9"/>
      <c r="LVO253" s="4"/>
      <c r="LVP253" s="9"/>
      <c r="LVQ253" s="4"/>
      <c r="LVR253" s="9"/>
      <c r="LVS253" s="4"/>
      <c r="LVT253" s="9"/>
      <c r="LVU253" s="4"/>
      <c r="LVV253" s="9"/>
      <c r="LVW253" s="4"/>
      <c r="LVX253" s="9"/>
      <c r="LVY253" s="4"/>
      <c r="LVZ253" s="9"/>
      <c r="LWA253" s="4"/>
      <c r="LWB253" s="9"/>
      <c r="LWC253" s="4"/>
      <c r="LWD253" s="9"/>
      <c r="LWE253" s="4"/>
      <c r="LWF253" s="9"/>
      <c r="LWG253" s="4"/>
      <c r="LWH253" s="9"/>
      <c r="LWI253" s="4"/>
      <c r="LWJ253" s="9"/>
      <c r="LWK253" s="4"/>
      <c r="LWL253" s="9"/>
      <c r="LWM253" s="4"/>
      <c r="LWN253" s="9"/>
      <c r="LWO253" s="4"/>
      <c r="LWP253" s="9"/>
      <c r="LWQ253" s="4"/>
      <c r="LWR253" s="9"/>
      <c r="LWS253" s="4"/>
      <c r="LWT253" s="9"/>
      <c r="LWU253" s="4"/>
      <c r="LWV253" s="9"/>
      <c r="LWW253" s="4"/>
      <c r="LWX253" s="9"/>
      <c r="LWY253" s="4"/>
      <c r="LWZ253" s="9"/>
      <c r="LXA253" s="4"/>
      <c r="LXB253" s="9"/>
      <c r="LXC253" s="4"/>
      <c r="LXD253" s="9"/>
      <c r="LXE253" s="4"/>
      <c r="LXF253" s="9"/>
      <c r="LXG253" s="4"/>
      <c r="LXH253" s="9"/>
      <c r="LXI253" s="4"/>
      <c r="LXJ253" s="9"/>
      <c r="LXK253" s="4"/>
      <c r="LXL253" s="9"/>
      <c r="LXM253" s="4"/>
      <c r="LXN253" s="9"/>
      <c r="LXO253" s="4"/>
      <c r="LXP253" s="9"/>
      <c r="LXQ253" s="4"/>
      <c r="LXR253" s="9"/>
      <c r="LXS253" s="4"/>
      <c r="LXT253" s="9"/>
      <c r="LXU253" s="4"/>
      <c r="LXV253" s="9"/>
      <c r="LXW253" s="4"/>
      <c r="LXX253" s="9"/>
      <c r="LXY253" s="4"/>
      <c r="LXZ253" s="9"/>
      <c r="LYA253" s="4"/>
      <c r="LYB253" s="9"/>
      <c r="LYC253" s="4"/>
      <c r="LYD253" s="9"/>
      <c r="LYE253" s="4"/>
      <c r="LYF253" s="9"/>
      <c r="LYG253" s="4"/>
      <c r="LYH253" s="9"/>
      <c r="LYI253" s="4"/>
      <c r="LYJ253" s="9"/>
      <c r="LYK253" s="4"/>
      <c r="LYL253" s="9"/>
      <c r="LYM253" s="4"/>
      <c r="LYN253" s="9"/>
      <c r="LYO253" s="4"/>
      <c r="LYP253" s="9"/>
      <c r="LYQ253" s="4"/>
      <c r="LYR253" s="9"/>
      <c r="LYS253" s="4"/>
      <c r="LYT253" s="9"/>
      <c r="LYU253" s="4"/>
      <c r="LYV253" s="9"/>
      <c r="LYW253" s="4"/>
      <c r="LYX253" s="9"/>
      <c r="LYY253" s="4"/>
      <c r="LYZ253" s="9"/>
      <c r="LZA253" s="4"/>
      <c r="LZB253" s="9"/>
      <c r="LZC253" s="4"/>
      <c r="LZD253" s="9"/>
      <c r="LZE253" s="4"/>
      <c r="LZF253" s="9"/>
      <c r="LZG253" s="4"/>
      <c r="LZH253" s="9"/>
      <c r="LZI253" s="4"/>
      <c r="LZJ253" s="9"/>
      <c r="LZK253" s="4"/>
      <c r="LZL253" s="9"/>
      <c r="LZM253" s="4"/>
      <c r="LZN253" s="9"/>
      <c r="LZO253" s="4"/>
      <c r="LZP253" s="9"/>
      <c r="LZQ253" s="4"/>
      <c r="LZR253" s="9"/>
      <c r="LZS253" s="4"/>
      <c r="LZT253" s="9"/>
      <c r="LZU253" s="4"/>
      <c r="LZV253" s="9"/>
      <c r="LZW253" s="4"/>
      <c r="LZX253" s="9"/>
      <c r="LZY253" s="4"/>
      <c r="LZZ253" s="9"/>
      <c r="MAA253" s="4"/>
      <c r="MAB253" s="9"/>
      <c r="MAC253" s="4"/>
      <c r="MAD253" s="9"/>
      <c r="MAE253" s="4"/>
      <c r="MAF253" s="9"/>
      <c r="MAG253" s="4"/>
      <c r="MAH253" s="9"/>
      <c r="MAI253" s="4"/>
      <c r="MAJ253" s="9"/>
      <c r="MAK253" s="4"/>
      <c r="MAL253" s="9"/>
      <c r="MAM253" s="4"/>
      <c r="MAN253" s="9"/>
      <c r="MAO253" s="4"/>
      <c r="MAP253" s="9"/>
      <c r="MAQ253" s="4"/>
      <c r="MAR253" s="9"/>
      <c r="MAS253" s="4"/>
      <c r="MAT253" s="9"/>
      <c r="MAU253" s="4"/>
      <c r="MAV253" s="9"/>
      <c r="MAW253" s="4"/>
      <c r="MAX253" s="9"/>
      <c r="MAY253" s="4"/>
      <c r="MAZ253" s="9"/>
      <c r="MBA253" s="4"/>
      <c r="MBB253" s="9"/>
      <c r="MBC253" s="4"/>
      <c r="MBD253" s="9"/>
      <c r="MBE253" s="4"/>
      <c r="MBF253" s="9"/>
      <c r="MBG253" s="4"/>
      <c r="MBH253" s="9"/>
      <c r="MBI253" s="4"/>
      <c r="MBJ253" s="9"/>
      <c r="MBK253" s="4"/>
      <c r="MBL253" s="9"/>
      <c r="MBM253" s="4"/>
      <c r="MBN253" s="9"/>
      <c r="MBO253" s="4"/>
      <c r="MBP253" s="9"/>
      <c r="MBQ253" s="4"/>
      <c r="MBR253" s="9"/>
      <c r="MBS253" s="4"/>
      <c r="MBT253" s="9"/>
      <c r="MBU253" s="4"/>
      <c r="MBV253" s="9"/>
      <c r="MBW253" s="4"/>
      <c r="MBX253" s="9"/>
      <c r="MBY253" s="4"/>
      <c r="MBZ253" s="9"/>
      <c r="MCA253" s="4"/>
      <c r="MCB253" s="9"/>
      <c r="MCC253" s="4"/>
      <c r="MCD253" s="9"/>
      <c r="MCE253" s="4"/>
      <c r="MCF253" s="9"/>
      <c r="MCG253" s="4"/>
      <c r="MCH253" s="9"/>
      <c r="MCI253" s="4"/>
      <c r="MCJ253" s="9"/>
      <c r="MCK253" s="4"/>
      <c r="MCL253" s="9"/>
      <c r="MCM253" s="4"/>
      <c r="MCN253" s="9"/>
      <c r="MCO253" s="4"/>
      <c r="MCP253" s="9"/>
      <c r="MCQ253" s="4"/>
      <c r="MCR253" s="9"/>
      <c r="MCS253" s="4"/>
      <c r="MCT253" s="9"/>
      <c r="MCU253" s="4"/>
      <c r="MCV253" s="9"/>
      <c r="MCW253" s="4"/>
      <c r="MCX253" s="9"/>
      <c r="MCY253" s="4"/>
      <c r="MCZ253" s="9"/>
      <c r="MDA253" s="4"/>
      <c r="MDB253" s="9"/>
      <c r="MDC253" s="4"/>
      <c r="MDD253" s="9"/>
      <c r="MDE253" s="4"/>
      <c r="MDF253" s="9"/>
      <c r="MDG253" s="4"/>
      <c r="MDH253" s="9"/>
      <c r="MDI253" s="4"/>
      <c r="MDJ253" s="9"/>
      <c r="MDK253" s="4"/>
      <c r="MDL253" s="9"/>
      <c r="MDM253" s="4"/>
      <c r="MDN253" s="9"/>
      <c r="MDO253" s="4"/>
      <c r="MDP253" s="9"/>
      <c r="MDQ253" s="4"/>
      <c r="MDR253" s="9"/>
      <c r="MDS253" s="4"/>
      <c r="MDT253" s="9"/>
      <c r="MDU253" s="4"/>
      <c r="MDV253" s="9"/>
      <c r="MDW253" s="4"/>
      <c r="MDX253" s="9"/>
      <c r="MDY253" s="4"/>
      <c r="MDZ253" s="9"/>
      <c r="MEA253" s="4"/>
      <c r="MEB253" s="9"/>
      <c r="MEC253" s="4"/>
      <c r="MED253" s="9"/>
      <c r="MEE253" s="4"/>
      <c r="MEF253" s="9"/>
      <c r="MEG253" s="4"/>
      <c r="MEH253" s="9"/>
      <c r="MEI253" s="4"/>
      <c r="MEJ253" s="9"/>
      <c r="MEK253" s="4"/>
      <c r="MEL253" s="9"/>
      <c r="MEM253" s="4"/>
      <c r="MEN253" s="9"/>
      <c r="MEO253" s="4"/>
      <c r="MEP253" s="9"/>
      <c r="MEQ253" s="4"/>
      <c r="MER253" s="9"/>
      <c r="MES253" s="4"/>
      <c r="MET253" s="9"/>
      <c r="MEU253" s="4"/>
      <c r="MEV253" s="9"/>
      <c r="MEW253" s="4"/>
      <c r="MEX253" s="9"/>
      <c r="MEY253" s="4"/>
      <c r="MEZ253" s="9"/>
      <c r="MFA253" s="4"/>
      <c r="MFB253" s="9"/>
      <c r="MFC253" s="4"/>
      <c r="MFD253" s="9"/>
      <c r="MFE253" s="4"/>
      <c r="MFF253" s="9"/>
      <c r="MFG253" s="4"/>
      <c r="MFH253" s="9"/>
      <c r="MFI253" s="4"/>
      <c r="MFJ253" s="9"/>
      <c r="MFK253" s="4"/>
      <c r="MFL253" s="9"/>
      <c r="MFM253" s="4"/>
      <c r="MFN253" s="9"/>
      <c r="MFO253" s="4"/>
      <c r="MFP253" s="9"/>
      <c r="MFQ253" s="4"/>
      <c r="MFR253" s="9"/>
      <c r="MFS253" s="4"/>
      <c r="MFT253" s="9"/>
      <c r="MFU253" s="4"/>
      <c r="MFV253" s="9"/>
      <c r="MFW253" s="4"/>
      <c r="MFX253" s="9"/>
      <c r="MFY253" s="4"/>
      <c r="MFZ253" s="9"/>
      <c r="MGA253" s="4"/>
      <c r="MGB253" s="9"/>
      <c r="MGC253" s="4"/>
      <c r="MGD253" s="9"/>
      <c r="MGE253" s="4"/>
      <c r="MGF253" s="9"/>
      <c r="MGG253" s="4"/>
      <c r="MGH253" s="9"/>
      <c r="MGI253" s="4"/>
      <c r="MGJ253" s="9"/>
      <c r="MGK253" s="4"/>
      <c r="MGL253" s="9"/>
      <c r="MGM253" s="4"/>
      <c r="MGN253" s="9"/>
      <c r="MGO253" s="4"/>
      <c r="MGP253" s="9"/>
      <c r="MGQ253" s="4"/>
      <c r="MGR253" s="9"/>
      <c r="MGS253" s="4"/>
      <c r="MGT253" s="9"/>
      <c r="MGU253" s="4"/>
      <c r="MGV253" s="9"/>
      <c r="MGW253" s="4"/>
      <c r="MGX253" s="9"/>
      <c r="MGY253" s="4"/>
      <c r="MGZ253" s="9"/>
      <c r="MHA253" s="4"/>
      <c r="MHB253" s="9"/>
      <c r="MHC253" s="4"/>
      <c r="MHD253" s="9"/>
      <c r="MHE253" s="4"/>
      <c r="MHF253" s="9"/>
      <c r="MHG253" s="4"/>
      <c r="MHH253" s="9"/>
      <c r="MHI253" s="4"/>
      <c r="MHJ253" s="9"/>
      <c r="MHK253" s="4"/>
      <c r="MHL253" s="9"/>
      <c r="MHM253" s="4"/>
      <c r="MHN253" s="9"/>
      <c r="MHO253" s="4"/>
      <c r="MHP253" s="9"/>
      <c r="MHQ253" s="4"/>
      <c r="MHR253" s="9"/>
      <c r="MHS253" s="4"/>
      <c r="MHT253" s="9"/>
      <c r="MHU253" s="4"/>
      <c r="MHV253" s="9"/>
      <c r="MHW253" s="4"/>
      <c r="MHX253" s="9"/>
      <c r="MHY253" s="4"/>
      <c r="MHZ253" s="9"/>
      <c r="MIA253" s="4"/>
      <c r="MIB253" s="9"/>
      <c r="MIC253" s="4"/>
      <c r="MID253" s="9"/>
      <c r="MIE253" s="4"/>
      <c r="MIF253" s="9"/>
      <c r="MIG253" s="4"/>
      <c r="MIH253" s="9"/>
      <c r="MII253" s="4"/>
      <c r="MIJ253" s="9"/>
      <c r="MIK253" s="4"/>
      <c r="MIL253" s="9"/>
      <c r="MIM253" s="4"/>
      <c r="MIN253" s="9"/>
      <c r="MIO253" s="4"/>
      <c r="MIP253" s="9"/>
      <c r="MIQ253" s="4"/>
      <c r="MIR253" s="9"/>
      <c r="MIS253" s="4"/>
      <c r="MIT253" s="9"/>
      <c r="MIU253" s="4"/>
      <c r="MIV253" s="9"/>
      <c r="MIW253" s="4"/>
      <c r="MIX253" s="9"/>
      <c r="MIY253" s="4"/>
      <c r="MIZ253" s="9"/>
      <c r="MJA253" s="4"/>
      <c r="MJB253" s="9"/>
      <c r="MJC253" s="4"/>
      <c r="MJD253" s="9"/>
      <c r="MJE253" s="4"/>
      <c r="MJF253" s="9"/>
      <c r="MJG253" s="4"/>
      <c r="MJH253" s="9"/>
      <c r="MJI253" s="4"/>
      <c r="MJJ253" s="9"/>
      <c r="MJK253" s="4"/>
      <c r="MJL253" s="9"/>
      <c r="MJM253" s="4"/>
      <c r="MJN253" s="9"/>
      <c r="MJO253" s="4"/>
      <c r="MJP253" s="9"/>
      <c r="MJQ253" s="4"/>
      <c r="MJR253" s="9"/>
      <c r="MJS253" s="4"/>
      <c r="MJT253" s="9"/>
      <c r="MJU253" s="4"/>
      <c r="MJV253" s="9"/>
      <c r="MJW253" s="4"/>
      <c r="MJX253" s="9"/>
      <c r="MJY253" s="4"/>
      <c r="MJZ253" s="9"/>
      <c r="MKA253" s="4"/>
      <c r="MKB253" s="9"/>
      <c r="MKC253" s="4"/>
      <c r="MKD253" s="9"/>
      <c r="MKE253" s="4"/>
      <c r="MKF253" s="9"/>
      <c r="MKG253" s="4"/>
      <c r="MKH253" s="9"/>
      <c r="MKI253" s="4"/>
      <c r="MKJ253" s="9"/>
      <c r="MKK253" s="4"/>
      <c r="MKL253" s="9"/>
      <c r="MKM253" s="4"/>
      <c r="MKN253" s="9"/>
      <c r="MKO253" s="4"/>
      <c r="MKP253" s="9"/>
      <c r="MKQ253" s="4"/>
      <c r="MKR253" s="9"/>
      <c r="MKS253" s="4"/>
      <c r="MKT253" s="9"/>
      <c r="MKU253" s="4"/>
      <c r="MKV253" s="9"/>
      <c r="MKW253" s="4"/>
      <c r="MKX253" s="9"/>
      <c r="MKY253" s="4"/>
      <c r="MKZ253" s="9"/>
      <c r="MLA253" s="4"/>
      <c r="MLB253" s="9"/>
      <c r="MLC253" s="4"/>
      <c r="MLD253" s="9"/>
      <c r="MLE253" s="4"/>
      <c r="MLF253" s="9"/>
      <c r="MLG253" s="4"/>
      <c r="MLH253" s="9"/>
      <c r="MLI253" s="4"/>
      <c r="MLJ253" s="9"/>
      <c r="MLK253" s="4"/>
      <c r="MLL253" s="9"/>
      <c r="MLM253" s="4"/>
      <c r="MLN253" s="9"/>
      <c r="MLO253" s="4"/>
      <c r="MLP253" s="9"/>
      <c r="MLQ253" s="4"/>
      <c r="MLR253" s="9"/>
      <c r="MLS253" s="4"/>
      <c r="MLT253" s="9"/>
      <c r="MLU253" s="4"/>
      <c r="MLV253" s="9"/>
      <c r="MLW253" s="4"/>
      <c r="MLX253" s="9"/>
      <c r="MLY253" s="4"/>
      <c r="MLZ253" s="9"/>
      <c r="MMA253" s="4"/>
      <c r="MMB253" s="9"/>
      <c r="MMC253" s="4"/>
      <c r="MMD253" s="9"/>
      <c r="MME253" s="4"/>
      <c r="MMF253" s="9"/>
      <c r="MMG253" s="4"/>
      <c r="MMH253" s="9"/>
      <c r="MMI253" s="4"/>
      <c r="MMJ253" s="9"/>
      <c r="MMK253" s="4"/>
      <c r="MML253" s="9"/>
      <c r="MMM253" s="4"/>
      <c r="MMN253" s="9"/>
      <c r="MMO253" s="4"/>
      <c r="MMP253" s="9"/>
      <c r="MMQ253" s="4"/>
      <c r="MMR253" s="9"/>
      <c r="MMS253" s="4"/>
      <c r="MMT253" s="9"/>
      <c r="MMU253" s="4"/>
      <c r="MMV253" s="9"/>
      <c r="MMW253" s="4"/>
      <c r="MMX253" s="9"/>
      <c r="MMY253" s="4"/>
      <c r="MMZ253" s="9"/>
      <c r="MNA253" s="4"/>
      <c r="MNB253" s="9"/>
      <c r="MNC253" s="4"/>
      <c r="MND253" s="9"/>
      <c r="MNE253" s="4"/>
      <c r="MNF253" s="9"/>
      <c r="MNG253" s="4"/>
      <c r="MNH253" s="9"/>
      <c r="MNI253" s="4"/>
      <c r="MNJ253" s="9"/>
      <c r="MNK253" s="4"/>
      <c r="MNL253" s="9"/>
      <c r="MNM253" s="4"/>
      <c r="MNN253" s="9"/>
      <c r="MNO253" s="4"/>
      <c r="MNP253" s="9"/>
      <c r="MNQ253" s="4"/>
      <c r="MNR253" s="9"/>
      <c r="MNS253" s="4"/>
      <c r="MNT253" s="9"/>
      <c r="MNU253" s="4"/>
      <c r="MNV253" s="9"/>
      <c r="MNW253" s="4"/>
      <c r="MNX253" s="9"/>
      <c r="MNY253" s="4"/>
      <c r="MNZ253" s="9"/>
      <c r="MOA253" s="4"/>
      <c r="MOB253" s="9"/>
      <c r="MOC253" s="4"/>
      <c r="MOD253" s="9"/>
      <c r="MOE253" s="4"/>
      <c r="MOF253" s="9"/>
      <c r="MOG253" s="4"/>
      <c r="MOH253" s="9"/>
      <c r="MOI253" s="4"/>
      <c r="MOJ253" s="9"/>
      <c r="MOK253" s="4"/>
      <c r="MOL253" s="9"/>
      <c r="MOM253" s="4"/>
      <c r="MON253" s="9"/>
      <c r="MOO253" s="4"/>
      <c r="MOP253" s="9"/>
      <c r="MOQ253" s="4"/>
      <c r="MOR253" s="9"/>
      <c r="MOS253" s="4"/>
      <c r="MOT253" s="9"/>
      <c r="MOU253" s="4"/>
      <c r="MOV253" s="9"/>
      <c r="MOW253" s="4"/>
      <c r="MOX253" s="9"/>
      <c r="MOY253" s="4"/>
      <c r="MOZ253" s="9"/>
      <c r="MPA253" s="4"/>
      <c r="MPB253" s="9"/>
      <c r="MPC253" s="4"/>
      <c r="MPD253" s="9"/>
      <c r="MPE253" s="4"/>
      <c r="MPF253" s="9"/>
      <c r="MPG253" s="4"/>
      <c r="MPH253" s="9"/>
      <c r="MPI253" s="4"/>
      <c r="MPJ253" s="9"/>
      <c r="MPK253" s="4"/>
      <c r="MPL253" s="9"/>
      <c r="MPM253" s="4"/>
      <c r="MPN253" s="9"/>
      <c r="MPO253" s="4"/>
      <c r="MPP253" s="9"/>
      <c r="MPQ253" s="4"/>
      <c r="MPR253" s="9"/>
      <c r="MPS253" s="4"/>
      <c r="MPT253" s="9"/>
      <c r="MPU253" s="4"/>
      <c r="MPV253" s="9"/>
      <c r="MPW253" s="4"/>
      <c r="MPX253" s="9"/>
      <c r="MPY253" s="4"/>
      <c r="MPZ253" s="9"/>
      <c r="MQA253" s="4"/>
      <c r="MQB253" s="9"/>
      <c r="MQC253" s="4"/>
      <c r="MQD253" s="9"/>
      <c r="MQE253" s="4"/>
      <c r="MQF253" s="9"/>
      <c r="MQG253" s="4"/>
      <c r="MQH253" s="9"/>
      <c r="MQI253" s="4"/>
      <c r="MQJ253" s="9"/>
      <c r="MQK253" s="4"/>
      <c r="MQL253" s="9"/>
      <c r="MQM253" s="4"/>
      <c r="MQN253" s="9"/>
      <c r="MQO253" s="4"/>
      <c r="MQP253" s="9"/>
      <c r="MQQ253" s="4"/>
      <c r="MQR253" s="9"/>
      <c r="MQS253" s="4"/>
      <c r="MQT253" s="9"/>
      <c r="MQU253" s="4"/>
      <c r="MQV253" s="9"/>
      <c r="MQW253" s="4"/>
      <c r="MQX253" s="9"/>
      <c r="MQY253" s="4"/>
      <c r="MQZ253" s="9"/>
      <c r="MRA253" s="4"/>
      <c r="MRB253" s="9"/>
      <c r="MRC253" s="4"/>
      <c r="MRD253" s="9"/>
      <c r="MRE253" s="4"/>
      <c r="MRF253" s="9"/>
      <c r="MRG253" s="4"/>
      <c r="MRH253" s="9"/>
      <c r="MRI253" s="4"/>
      <c r="MRJ253" s="9"/>
      <c r="MRK253" s="4"/>
      <c r="MRL253" s="9"/>
      <c r="MRM253" s="4"/>
      <c r="MRN253" s="9"/>
      <c r="MRO253" s="4"/>
      <c r="MRP253" s="9"/>
      <c r="MRQ253" s="4"/>
      <c r="MRR253" s="9"/>
      <c r="MRS253" s="4"/>
      <c r="MRT253" s="9"/>
      <c r="MRU253" s="4"/>
      <c r="MRV253" s="9"/>
      <c r="MRW253" s="4"/>
      <c r="MRX253" s="9"/>
      <c r="MRY253" s="4"/>
      <c r="MRZ253" s="9"/>
      <c r="MSA253" s="4"/>
      <c r="MSB253" s="9"/>
      <c r="MSC253" s="4"/>
      <c r="MSD253" s="9"/>
      <c r="MSE253" s="4"/>
      <c r="MSF253" s="9"/>
      <c r="MSG253" s="4"/>
      <c r="MSH253" s="9"/>
      <c r="MSI253" s="4"/>
      <c r="MSJ253" s="9"/>
      <c r="MSK253" s="4"/>
      <c r="MSL253" s="9"/>
      <c r="MSM253" s="4"/>
      <c r="MSN253" s="9"/>
      <c r="MSO253" s="4"/>
      <c r="MSP253" s="9"/>
      <c r="MSQ253" s="4"/>
      <c r="MSR253" s="9"/>
      <c r="MSS253" s="4"/>
      <c r="MST253" s="9"/>
      <c r="MSU253" s="4"/>
      <c r="MSV253" s="9"/>
      <c r="MSW253" s="4"/>
      <c r="MSX253" s="9"/>
      <c r="MSY253" s="4"/>
      <c r="MSZ253" s="9"/>
      <c r="MTA253" s="4"/>
      <c r="MTB253" s="9"/>
      <c r="MTC253" s="4"/>
      <c r="MTD253" s="9"/>
      <c r="MTE253" s="4"/>
      <c r="MTF253" s="9"/>
      <c r="MTG253" s="4"/>
      <c r="MTH253" s="9"/>
      <c r="MTI253" s="4"/>
      <c r="MTJ253" s="9"/>
      <c r="MTK253" s="4"/>
      <c r="MTL253" s="9"/>
      <c r="MTM253" s="4"/>
      <c r="MTN253" s="9"/>
      <c r="MTO253" s="4"/>
      <c r="MTP253" s="9"/>
      <c r="MTQ253" s="4"/>
      <c r="MTR253" s="9"/>
      <c r="MTS253" s="4"/>
      <c r="MTT253" s="9"/>
      <c r="MTU253" s="4"/>
      <c r="MTV253" s="9"/>
      <c r="MTW253" s="4"/>
      <c r="MTX253" s="9"/>
      <c r="MTY253" s="4"/>
      <c r="MTZ253" s="9"/>
      <c r="MUA253" s="4"/>
      <c r="MUB253" s="9"/>
      <c r="MUC253" s="4"/>
      <c r="MUD253" s="9"/>
      <c r="MUE253" s="4"/>
      <c r="MUF253" s="9"/>
      <c r="MUG253" s="4"/>
      <c r="MUH253" s="9"/>
      <c r="MUI253" s="4"/>
      <c r="MUJ253" s="9"/>
      <c r="MUK253" s="4"/>
      <c r="MUL253" s="9"/>
      <c r="MUM253" s="4"/>
      <c r="MUN253" s="9"/>
      <c r="MUO253" s="4"/>
      <c r="MUP253" s="9"/>
      <c r="MUQ253" s="4"/>
      <c r="MUR253" s="9"/>
      <c r="MUS253" s="4"/>
      <c r="MUT253" s="9"/>
      <c r="MUU253" s="4"/>
      <c r="MUV253" s="9"/>
      <c r="MUW253" s="4"/>
      <c r="MUX253" s="9"/>
      <c r="MUY253" s="4"/>
      <c r="MUZ253" s="9"/>
      <c r="MVA253" s="4"/>
      <c r="MVB253" s="9"/>
      <c r="MVC253" s="4"/>
      <c r="MVD253" s="9"/>
      <c r="MVE253" s="4"/>
      <c r="MVF253" s="9"/>
      <c r="MVG253" s="4"/>
      <c r="MVH253" s="9"/>
      <c r="MVI253" s="4"/>
      <c r="MVJ253" s="9"/>
      <c r="MVK253" s="4"/>
      <c r="MVL253" s="9"/>
      <c r="MVM253" s="4"/>
      <c r="MVN253" s="9"/>
      <c r="MVO253" s="4"/>
      <c r="MVP253" s="9"/>
      <c r="MVQ253" s="4"/>
      <c r="MVR253" s="9"/>
      <c r="MVS253" s="4"/>
      <c r="MVT253" s="9"/>
      <c r="MVU253" s="4"/>
      <c r="MVV253" s="9"/>
      <c r="MVW253" s="4"/>
      <c r="MVX253" s="9"/>
      <c r="MVY253" s="4"/>
      <c r="MVZ253" s="9"/>
      <c r="MWA253" s="4"/>
      <c r="MWB253" s="9"/>
      <c r="MWC253" s="4"/>
      <c r="MWD253" s="9"/>
      <c r="MWE253" s="4"/>
      <c r="MWF253" s="9"/>
      <c r="MWG253" s="4"/>
      <c r="MWH253" s="9"/>
      <c r="MWI253" s="4"/>
      <c r="MWJ253" s="9"/>
      <c r="MWK253" s="4"/>
      <c r="MWL253" s="9"/>
      <c r="MWM253" s="4"/>
      <c r="MWN253" s="9"/>
      <c r="MWO253" s="4"/>
      <c r="MWP253" s="9"/>
      <c r="MWQ253" s="4"/>
      <c r="MWR253" s="9"/>
      <c r="MWS253" s="4"/>
      <c r="MWT253" s="9"/>
      <c r="MWU253" s="4"/>
      <c r="MWV253" s="9"/>
      <c r="MWW253" s="4"/>
      <c r="MWX253" s="9"/>
      <c r="MWY253" s="4"/>
      <c r="MWZ253" s="9"/>
      <c r="MXA253" s="4"/>
      <c r="MXB253" s="9"/>
      <c r="MXC253" s="4"/>
      <c r="MXD253" s="9"/>
      <c r="MXE253" s="4"/>
      <c r="MXF253" s="9"/>
      <c r="MXG253" s="4"/>
      <c r="MXH253" s="9"/>
      <c r="MXI253" s="4"/>
      <c r="MXJ253" s="9"/>
      <c r="MXK253" s="4"/>
      <c r="MXL253" s="9"/>
      <c r="MXM253" s="4"/>
      <c r="MXN253" s="9"/>
      <c r="MXO253" s="4"/>
      <c r="MXP253" s="9"/>
      <c r="MXQ253" s="4"/>
      <c r="MXR253" s="9"/>
      <c r="MXS253" s="4"/>
      <c r="MXT253" s="9"/>
      <c r="MXU253" s="4"/>
      <c r="MXV253" s="9"/>
      <c r="MXW253" s="4"/>
      <c r="MXX253" s="9"/>
      <c r="MXY253" s="4"/>
      <c r="MXZ253" s="9"/>
      <c r="MYA253" s="4"/>
      <c r="MYB253" s="9"/>
      <c r="MYC253" s="4"/>
      <c r="MYD253" s="9"/>
      <c r="MYE253" s="4"/>
      <c r="MYF253" s="9"/>
      <c r="MYG253" s="4"/>
      <c r="MYH253" s="9"/>
      <c r="MYI253" s="4"/>
      <c r="MYJ253" s="9"/>
      <c r="MYK253" s="4"/>
      <c r="MYL253" s="9"/>
      <c r="MYM253" s="4"/>
      <c r="MYN253" s="9"/>
      <c r="MYO253" s="4"/>
      <c r="MYP253" s="9"/>
      <c r="MYQ253" s="4"/>
      <c r="MYR253" s="9"/>
      <c r="MYS253" s="4"/>
      <c r="MYT253" s="9"/>
      <c r="MYU253" s="4"/>
      <c r="MYV253" s="9"/>
      <c r="MYW253" s="4"/>
      <c r="MYX253" s="9"/>
      <c r="MYY253" s="4"/>
      <c r="MYZ253" s="9"/>
      <c r="MZA253" s="4"/>
      <c r="MZB253" s="9"/>
      <c r="MZC253" s="4"/>
      <c r="MZD253" s="9"/>
      <c r="MZE253" s="4"/>
      <c r="MZF253" s="9"/>
      <c r="MZG253" s="4"/>
      <c r="MZH253" s="9"/>
      <c r="MZI253" s="4"/>
      <c r="MZJ253" s="9"/>
      <c r="MZK253" s="4"/>
      <c r="MZL253" s="9"/>
      <c r="MZM253" s="4"/>
      <c r="MZN253" s="9"/>
      <c r="MZO253" s="4"/>
      <c r="MZP253" s="9"/>
      <c r="MZQ253" s="4"/>
      <c r="MZR253" s="9"/>
      <c r="MZS253" s="4"/>
      <c r="MZT253" s="9"/>
      <c r="MZU253" s="4"/>
      <c r="MZV253" s="9"/>
      <c r="MZW253" s="4"/>
      <c r="MZX253" s="9"/>
      <c r="MZY253" s="4"/>
      <c r="MZZ253" s="9"/>
      <c r="NAA253" s="4"/>
      <c r="NAB253" s="9"/>
      <c r="NAC253" s="4"/>
      <c r="NAD253" s="9"/>
      <c r="NAE253" s="4"/>
      <c r="NAF253" s="9"/>
      <c r="NAG253" s="4"/>
      <c r="NAH253" s="9"/>
      <c r="NAI253" s="4"/>
      <c r="NAJ253" s="9"/>
      <c r="NAK253" s="4"/>
      <c r="NAL253" s="9"/>
      <c r="NAM253" s="4"/>
      <c r="NAN253" s="9"/>
      <c r="NAO253" s="4"/>
      <c r="NAP253" s="9"/>
      <c r="NAQ253" s="4"/>
      <c r="NAR253" s="9"/>
      <c r="NAS253" s="4"/>
      <c r="NAT253" s="9"/>
      <c r="NAU253" s="4"/>
      <c r="NAV253" s="9"/>
      <c r="NAW253" s="4"/>
      <c r="NAX253" s="9"/>
      <c r="NAY253" s="4"/>
      <c r="NAZ253" s="9"/>
      <c r="NBA253" s="4"/>
      <c r="NBB253" s="9"/>
      <c r="NBC253" s="4"/>
      <c r="NBD253" s="9"/>
      <c r="NBE253" s="4"/>
      <c r="NBF253" s="9"/>
      <c r="NBG253" s="4"/>
      <c r="NBH253" s="9"/>
      <c r="NBI253" s="4"/>
      <c r="NBJ253" s="9"/>
      <c r="NBK253" s="4"/>
      <c r="NBL253" s="9"/>
      <c r="NBM253" s="4"/>
      <c r="NBN253" s="9"/>
      <c r="NBO253" s="4"/>
      <c r="NBP253" s="9"/>
      <c r="NBQ253" s="4"/>
      <c r="NBR253" s="9"/>
      <c r="NBS253" s="4"/>
      <c r="NBT253" s="9"/>
      <c r="NBU253" s="4"/>
      <c r="NBV253" s="9"/>
      <c r="NBW253" s="4"/>
      <c r="NBX253" s="9"/>
      <c r="NBY253" s="4"/>
      <c r="NBZ253" s="9"/>
      <c r="NCA253" s="4"/>
      <c r="NCB253" s="9"/>
      <c r="NCC253" s="4"/>
      <c r="NCD253" s="9"/>
      <c r="NCE253" s="4"/>
      <c r="NCF253" s="9"/>
      <c r="NCG253" s="4"/>
      <c r="NCH253" s="9"/>
      <c r="NCI253" s="4"/>
      <c r="NCJ253" s="9"/>
      <c r="NCK253" s="4"/>
      <c r="NCL253" s="9"/>
      <c r="NCM253" s="4"/>
      <c r="NCN253" s="9"/>
      <c r="NCO253" s="4"/>
      <c r="NCP253" s="9"/>
      <c r="NCQ253" s="4"/>
      <c r="NCR253" s="9"/>
      <c r="NCS253" s="4"/>
      <c r="NCT253" s="9"/>
      <c r="NCU253" s="4"/>
      <c r="NCV253" s="9"/>
      <c r="NCW253" s="4"/>
      <c r="NCX253" s="9"/>
      <c r="NCY253" s="4"/>
      <c r="NCZ253" s="9"/>
      <c r="NDA253" s="4"/>
      <c r="NDB253" s="9"/>
      <c r="NDC253" s="4"/>
      <c r="NDD253" s="9"/>
      <c r="NDE253" s="4"/>
      <c r="NDF253" s="9"/>
      <c r="NDG253" s="4"/>
      <c r="NDH253" s="9"/>
      <c r="NDI253" s="4"/>
      <c r="NDJ253" s="9"/>
      <c r="NDK253" s="4"/>
      <c r="NDL253" s="9"/>
      <c r="NDM253" s="4"/>
      <c r="NDN253" s="9"/>
      <c r="NDO253" s="4"/>
      <c r="NDP253" s="9"/>
      <c r="NDQ253" s="4"/>
      <c r="NDR253" s="9"/>
      <c r="NDS253" s="4"/>
      <c r="NDT253" s="9"/>
      <c r="NDU253" s="4"/>
      <c r="NDV253" s="9"/>
      <c r="NDW253" s="4"/>
      <c r="NDX253" s="9"/>
      <c r="NDY253" s="4"/>
      <c r="NDZ253" s="9"/>
      <c r="NEA253" s="4"/>
      <c r="NEB253" s="9"/>
      <c r="NEC253" s="4"/>
      <c r="NED253" s="9"/>
      <c r="NEE253" s="4"/>
      <c r="NEF253" s="9"/>
      <c r="NEG253" s="4"/>
      <c r="NEH253" s="9"/>
      <c r="NEI253" s="4"/>
      <c r="NEJ253" s="9"/>
      <c r="NEK253" s="4"/>
      <c r="NEL253" s="9"/>
      <c r="NEM253" s="4"/>
      <c r="NEN253" s="9"/>
      <c r="NEO253" s="4"/>
      <c r="NEP253" s="9"/>
      <c r="NEQ253" s="4"/>
      <c r="NER253" s="9"/>
      <c r="NES253" s="4"/>
      <c r="NET253" s="9"/>
      <c r="NEU253" s="4"/>
      <c r="NEV253" s="9"/>
      <c r="NEW253" s="4"/>
      <c r="NEX253" s="9"/>
      <c r="NEY253" s="4"/>
      <c r="NEZ253" s="9"/>
      <c r="NFA253" s="4"/>
      <c r="NFB253" s="9"/>
      <c r="NFC253" s="4"/>
      <c r="NFD253" s="9"/>
      <c r="NFE253" s="4"/>
      <c r="NFF253" s="9"/>
      <c r="NFG253" s="4"/>
      <c r="NFH253" s="9"/>
      <c r="NFI253" s="4"/>
      <c r="NFJ253" s="9"/>
      <c r="NFK253" s="4"/>
      <c r="NFL253" s="9"/>
      <c r="NFM253" s="4"/>
      <c r="NFN253" s="9"/>
      <c r="NFO253" s="4"/>
      <c r="NFP253" s="9"/>
      <c r="NFQ253" s="4"/>
      <c r="NFR253" s="9"/>
      <c r="NFS253" s="4"/>
      <c r="NFT253" s="9"/>
      <c r="NFU253" s="4"/>
      <c r="NFV253" s="9"/>
      <c r="NFW253" s="4"/>
      <c r="NFX253" s="9"/>
      <c r="NFY253" s="4"/>
      <c r="NFZ253" s="9"/>
      <c r="NGA253" s="4"/>
      <c r="NGB253" s="9"/>
      <c r="NGC253" s="4"/>
      <c r="NGD253" s="9"/>
      <c r="NGE253" s="4"/>
      <c r="NGF253" s="9"/>
      <c r="NGG253" s="4"/>
      <c r="NGH253" s="9"/>
      <c r="NGI253" s="4"/>
      <c r="NGJ253" s="9"/>
      <c r="NGK253" s="4"/>
      <c r="NGL253" s="9"/>
      <c r="NGM253" s="4"/>
      <c r="NGN253" s="9"/>
      <c r="NGO253" s="4"/>
      <c r="NGP253" s="9"/>
      <c r="NGQ253" s="4"/>
      <c r="NGR253" s="9"/>
      <c r="NGS253" s="4"/>
      <c r="NGT253" s="9"/>
      <c r="NGU253" s="4"/>
      <c r="NGV253" s="9"/>
      <c r="NGW253" s="4"/>
      <c r="NGX253" s="9"/>
      <c r="NGY253" s="4"/>
      <c r="NGZ253" s="9"/>
      <c r="NHA253" s="4"/>
      <c r="NHB253" s="9"/>
      <c r="NHC253" s="4"/>
      <c r="NHD253" s="9"/>
      <c r="NHE253" s="4"/>
      <c r="NHF253" s="9"/>
      <c r="NHG253" s="4"/>
      <c r="NHH253" s="9"/>
      <c r="NHI253" s="4"/>
      <c r="NHJ253" s="9"/>
      <c r="NHK253" s="4"/>
      <c r="NHL253" s="9"/>
      <c r="NHM253" s="4"/>
      <c r="NHN253" s="9"/>
      <c r="NHO253" s="4"/>
      <c r="NHP253" s="9"/>
      <c r="NHQ253" s="4"/>
      <c r="NHR253" s="9"/>
      <c r="NHS253" s="4"/>
      <c r="NHT253" s="9"/>
      <c r="NHU253" s="4"/>
      <c r="NHV253" s="9"/>
      <c r="NHW253" s="4"/>
      <c r="NHX253" s="9"/>
      <c r="NHY253" s="4"/>
      <c r="NHZ253" s="9"/>
      <c r="NIA253" s="4"/>
      <c r="NIB253" s="9"/>
      <c r="NIC253" s="4"/>
      <c r="NID253" s="9"/>
      <c r="NIE253" s="4"/>
      <c r="NIF253" s="9"/>
      <c r="NIG253" s="4"/>
      <c r="NIH253" s="9"/>
      <c r="NII253" s="4"/>
      <c r="NIJ253" s="9"/>
      <c r="NIK253" s="4"/>
      <c r="NIL253" s="9"/>
      <c r="NIM253" s="4"/>
      <c r="NIN253" s="9"/>
      <c r="NIO253" s="4"/>
      <c r="NIP253" s="9"/>
      <c r="NIQ253" s="4"/>
      <c r="NIR253" s="9"/>
      <c r="NIS253" s="4"/>
      <c r="NIT253" s="9"/>
      <c r="NIU253" s="4"/>
      <c r="NIV253" s="9"/>
      <c r="NIW253" s="4"/>
      <c r="NIX253" s="9"/>
      <c r="NIY253" s="4"/>
      <c r="NIZ253" s="9"/>
      <c r="NJA253" s="4"/>
      <c r="NJB253" s="9"/>
      <c r="NJC253" s="4"/>
      <c r="NJD253" s="9"/>
      <c r="NJE253" s="4"/>
      <c r="NJF253" s="9"/>
      <c r="NJG253" s="4"/>
      <c r="NJH253" s="9"/>
      <c r="NJI253" s="4"/>
      <c r="NJJ253" s="9"/>
      <c r="NJK253" s="4"/>
      <c r="NJL253" s="9"/>
      <c r="NJM253" s="4"/>
      <c r="NJN253" s="9"/>
      <c r="NJO253" s="4"/>
      <c r="NJP253" s="9"/>
      <c r="NJQ253" s="4"/>
      <c r="NJR253" s="9"/>
      <c r="NJS253" s="4"/>
      <c r="NJT253" s="9"/>
      <c r="NJU253" s="4"/>
      <c r="NJV253" s="9"/>
      <c r="NJW253" s="4"/>
      <c r="NJX253" s="9"/>
      <c r="NJY253" s="4"/>
      <c r="NJZ253" s="9"/>
      <c r="NKA253" s="4"/>
      <c r="NKB253" s="9"/>
      <c r="NKC253" s="4"/>
      <c r="NKD253" s="9"/>
      <c r="NKE253" s="4"/>
      <c r="NKF253" s="9"/>
      <c r="NKG253" s="4"/>
      <c r="NKH253" s="9"/>
      <c r="NKI253" s="4"/>
      <c r="NKJ253" s="9"/>
      <c r="NKK253" s="4"/>
      <c r="NKL253" s="9"/>
      <c r="NKM253" s="4"/>
      <c r="NKN253" s="9"/>
      <c r="NKO253" s="4"/>
      <c r="NKP253" s="9"/>
      <c r="NKQ253" s="4"/>
      <c r="NKR253" s="9"/>
      <c r="NKS253" s="4"/>
      <c r="NKT253" s="9"/>
      <c r="NKU253" s="4"/>
      <c r="NKV253" s="9"/>
      <c r="NKW253" s="4"/>
      <c r="NKX253" s="9"/>
      <c r="NKY253" s="4"/>
      <c r="NKZ253" s="9"/>
      <c r="NLA253" s="4"/>
      <c r="NLB253" s="9"/>
      <c r="NLC253" s="4"/>
      <c r="NLD253" s="9"/>
      <c r="NLE253" s="4"/>
      <c r="NLF253" s="9"/>
      <c r="NLG253" s="4"/>
      <c r="NLH253" s="9"/>
      <c r="NLI253" s="4"/>
      <c r="NLJ253" s="9"/>
      <c r="NLK253" s="4"/>
      <c r="NLL253" s="9"/>
      <c r="NLM253" s="4"/>
      <c r="NLN253" s="9"/>
      <c r="NLO253" s="4"/>
      <c r="NLP253" s="9"/>
      <c r="NLQ253" s="4"/>
      <c r="NLR253" s="9"/>
      <c r="NLS253" s="4"/>
      <c r="NLT253" s="9"/>
      <c r="NLU253" s="4"/>
      <c r="NLV253" s="9"/>
      <c r="NLW253" s="4"/>
      <c r="NLX253" s="9"/>
      <c r="NLY253" s="4"/>
      <c r="NLZ253" s="9"/>
      <c r="NMA253" s="4"/>
      <c r="NMB253" s="9"/>
      <c r="NMC253" s="4"/>
      <c r="NMD253" s="9"/>
      <c r="NME253" s="4"/>
      <c r="NMF253" s="9"/>
      <c r="NMG253" s="4"/>
      <c r="NMH253" s="9"/>
      <c r="NMI253" s="4"/>
      <c r="NMJ253" s="9"/>
      <c r="NMK253" s="4"/>
      <c r="NML253" s="9"/>
      <c r="NMM253" s="4"/>
      <c r="NMN253" s="9"/>
      <c r="NMO253" s="4"/>
      <c r="NMP253" s="9"/>
      <c r="NMQ253" s="4"/>
      <c r="NMR253" s="9"/>
      <c r="NMS253" s="4"/>
      <c r="NMT253" s="9"/>
      <c r="NMU253" s="4"/>
      <c r="NMV253" s="9"/>
      <c r="NMW253" s="4"/>
      <c r="NMX253" s="9"/>
      <c r="NMY253" s="4"/>
      <c r="NMZ253" s="9"/>
      <c r="NNA253" s="4"/>
      <c r="NNB253" s="9"/>
      <c r="NNC253" s="4"/>
      <c r="NND253" s="9"/>
      <c r="NNE253" s="4"/>
      <c r="NNF253" s="9"/>
      <c r="NNG253" s="4"/>
      <c r="NNH253" s="9"/>
      <c r="NNI253" s="4"/>
      <c r="NNJ253" s="9"/>
      <c r="NNK253" s="4"/>
      <c r="NNL253" s="9"/>
      <c r="NNM253" s="4"/>
      <c r="NNN253" s="9"/>
      <c r="NNO253" s="4"/>
      <c r="NNP253" s="9"/>
      <c r="NNQ253" s="4"/>
      <c r="NNR253" s="9"/>
      <c r="NNS253" s="4"/>
      <c r="NNT253" s="9"/>
      <c r="NNU253" s="4"/>
      <c r="NNV253" s="9"/>
      <c r="NNW253" s="4"/>
      <c r="NNX253" s="9"/>
      <c r="NNY253" s="4"/>
      <c r="NNZ253" s="9"/>
      <c r="NOA253" s="4"/>
      <c r="NOB253" s="9"/>
      <c r="NOC253" s="4"/>
      <c r="NOD253" s="9"/>
      <c r="NOE253" s="4"/>
      <c r="NOF253" s="9"/>
      <c r="NOG253" s="4"/>
      <c r="NOH253" s="9"/>
      <c r="NOI253" s="4"/>
      <c r="NOJ253" s="9"/>
      <c r="NOK253" s="4"/>
      <c r="NOL253" s="9"/>
      <c r="NOM253" s="4"/>
      <c r="NON253" s="9"/>
      <c r="NOO253" s="4"/>
      <c r="NOP253" s="9"/>
      <c r="NOQ253" s="4"/>
      <c r="NOR253" s="9"/>
      <c r="NOS253" s="4"/>
      <c r="NOT253" s="9"/>
      <c r="NOU253" s="4"/>
      <c r="NOV253" s="9"/>
      <c r="NOW253" s="4"/>
      <c r="NOX253" s="9"/>
      <c r="NOY253" s="4"/>
      <c r="NOZ253" s="9"/>
      <c r="NPA253" s="4"/>
      <c r="NPB253" s="9"/>
      <c r="NPC253" s="4"/>
      <c r="NPD253" s="9"/>
      <c r="NPE253" s="4"/>
      <c r="NPF253" s="9"/>
      <c r="NPG253" s="4"/>
      <c r="NPH253" s="9"/>
      <c r="NPI253" s="4"/>
      <c r="NPJ253" s="9"/>
      <c r="NPK253" s="4"/>
      <c r="NPL253" s="9"/>
      <c r="NPM253" s="4"/>
      <c r="NPN253" s="9"/>
      <c r="NPO253" s="4"/>
      <c r="NPP253" s="9"/>
      <c r="NPQ253" s="4"/>
      <c r="NPR253" s="9"/>
      <c r="NPS253" s="4"/>
      <c r="NPT253" s="9"/>
      <c r="NPU253" s="4"/>
      <c r="NPV253" s="9"/>
      <c r="NPW253" s="4"/>
      <c r="NPX253" s="9"/>
      <c r="NPY253" s="4"/>
      <c r="NPZ253" s="9"/>
      <c r="NQA253" s="4"/>
      <c r="NQB253" s="9"/>
      <c r="NQC253" s="4"/>
      <c r="NQD253" s="9"/>
      <c r="NQE253" s="4"/>
      <c r="NQF253" s="9"/>
      <c r="NQG253" s="4"/>
      <c r="NQH253" s="9"/>
      <c r="NQI253" s="4"/>
      <c r="NQJ253" s="9"/>
      <c r="NQK253" s="4"/>
      <c r="NQL253" s="9"/>
      <c r="NQM253" s="4"/>
      <c r="NQN253" s="9"/>
      <c r="NQO253" s="4"/>
      <c r="NQP253" s="9"/>
      <c r="NQQ253" s="4"/>
      <c r="NQR253" s="9"/>
      <c r="NQS253" s="4"/>
      <c r="NQT253" s="9"/>
      <c r="NQU253" s="4"/>
      <c r="NQV253" s="9"/>
      <c r="NQW253" s="4"/>
      <c r="NQX253" s="9"/>
      <c r="NQY253" s="4"/>
      <c r="NQZ253" s="9"/>
      <c r="NRA253" s="4"/>
      <c r="NRB253" s="9"/>
      <c r="NRC253" s="4"/>
      <c r="NRD253" s="9"/>
      <c r="NRE253" s="4"/>
      <c r="NRF253" s="9"/>
      <c r="NRG253" s="4"/>
      <c r="NRH253" s="9"/>
      <c r="NRI253" s="4"/>
      <c r="NRJ253" s="9"/>
      <c r="NRK253" s="4"/>
      <c r="NRL253" s="9"/>
      <c r="NRM253" s="4"/>
      <c r="NRN253" s="9"/>
      <c r="NRO253" s="4"/>
      <c r="NRP253" s="9"/>
      <c r="NRQ253" s="4"/>
      <c r="NRR253" s="9"/>
      <c r="NRS253" s="4"/>
      <c r="NRT253" s="9"/>
      <c r="NRU253" s="4"/>
      <c r="NRV253" s="9"/>
      <c r="NRW253" s="4"/>
      <c r="NRX253" s="9"/>
      <c r="NRY253" s="4"/>
      <c r="NRZ253" s="9"/>
      <c r="NSA253" s="4"/>
      <c r="NSB253" s="9"/>
      <c r="NSC253" s="4"/>
      <c r="NSD253" s="9"/>
      <c r="NSE253" s="4"/>
      <c r="NSF253" s="9"/>
      <c r="NSG253" s="4"/>
      <c r="NSH253" s="9"/>
      <c r="NSI253" s="4"/>
      <c r="NSJ253" s="9"/>
      <c r="NSK253" s="4"/>
      <c r="NSL253" s="9"/>
      <c r="NSM253" s="4"/>
      <c r="NSN253" s="9"/>
      <c r="NSO253" s="4"/>
      <c r="NSP253" s="9"/>
      <c r="NSQ253" s="4"/>
      <c r="NSR253" s="9"/>
      <c r="NSS253" s="4"/>
      <c r="NST253" s="9"/>
      <c r="NSU253" s="4"/>
      <c r="NSV253" s="9"/>
      <c r="NSW253" s="4"/>
      <c r="NSX253" s="9"/>
      <c r="NSY253" s="4"/>
      <c r="NSZ253" s="9"/>
      <c r="NTA253" s="4"/>
      <c r="NTB253" s="9"/>
      <c r="NTC253" s="4"/>
      <c r="NTD253" s="9"/>
      <c r="NTE253" s="4"/>
      <c r="NTF253" s="9"/>
      <c r="NTG253" s="4"/>
      <c r="NTH253" s="9"/>
      <c r="NTI253" s="4"/>
      <c r="NTJ253" s="9"/>
      <c r="NTK253" s="4"/>
      <c r="NTL253" s="9"/>
      <c r="NTM253" s="4"/>
      <c r="NTN253" s="9"/>
      <c r="NTO253" s="4"/>
      <c r="NTP253" s="9"/>
      <c r="NTQ253" s="4"/>
      <c r="NTR253" s="9"/>
      <c r="NTS253" s="4"/>
      <c r="NTT253" s="9"/>
      <c r="NTU253" s="4"/>
      <c r="NTV253" s="9"/>
      <c r="NTW253" s="4"/>
      <c r="NTX253" s="9"/>
      <c r="NTY253" s="4"/>
      <c r="NTZ253" s="9"/>
      <c r="NUA253" s="4"/>
      <c r="NUB253" s="9"/>
      <c r="NUC253" s="4"/>
      <c r="NUD253" s="9"/>
      <c r="NUE253" s="4"/>
      <c r="NUF253" s="9"/>
      <c r="NUG253" s="4"/>
      <c r="NUH253" s="9"/>
      <c r="NUI253" s="4"/>
      <c r="NUJ253" s="9"/>
      <c r="NUK253" s="4"/>
      <c r="NUL253" s="9"/>
      <c r="NUM253" s="4"/>
      <c r="NUN253" s="9"/>
      <c r="NUO253" s="4"/>
      <c r="NUP253" s="9"/>
      <c r="NUQ253" s="4"/>
      <c r="NUR253" s="9"/>
      <c r="NUS253" s="4"/>
      <c r="NUT253" s="9"/>
      <c r="NUU253" s="4"/>
      <c r="NUV253" s="9"/>
      <c r="NUW253" s="4"/>
      <c r="NUX253" s="9"/>
      <c r="NUY253" s="4"/>
      <c r="NUZ253" s="9"/>
      <c r="NVA253" s="4"/>
      <c r="NVB253" s="9"/>
      <c r="NVC253" s="4"/>
      <c r="NVD253" s="9"/>
      <c r="NVE253" s="4"/>
      <c r="NVF253" s="9"/>
      <c r="NVG253" s="4"/>
      <c r="NVH253" s="9"/>
      <c r="NVI253" s="4"/>
      <c r="NVJ253" s="9"/>
      <c r="NVK253" s="4"/>
      <c r="NVL253" s="9"/>
      <c r="NVM253" s="4"/>
      <c r="NVN253" s="9"/>
      <c r="NVO253" s="4"/>
      <c r="NVP253" s="9"/>
      <c r="NVQ253" s="4"/>
      <c r="NVR253" s="9"/>
      <c r="NVS253" s="4"/>
      <c r="NVT253" s="9"/>
      <c r="NVU253" s="4"/>
      <c r="NVV253" s="9"/>
      <c r="NVW253" s="4"/>
      <c r="NVX253" s="9"/>
      <c r="NVY253" s="4"/>
      <c r="NVZ253" s="9"/>
      <c r="NWA253" s="4"/>
      <c r="NWB253" s="9"/>
      <c r="NWC253" s="4"/>
      <c r="NWD253" s="9"/>
      <c r="NWE253" s="4"/>
      <c r="NWF253" s="9"/>
      <c r="NWG253" s="4"/>
      <c r="NWH253" s="9"/>
      <c r="NWI253" s="4"/>
      <c r="NWJ253" s="9"/>
      <c r="NWK253" s="4"/>
      <c r="NWL253" s="9"/>
      <c r="NWM253" s="4"/>
      <c r="NWN253" s="9"/>
      <c r="NWO253" s="4"/>
      <c r="NWP253" s="9"/>
      <c r="NWQ253" s="4"/>
      <c r="NWR253" s="9"/>
      <c r="NWS253" s="4"/>
      <c r="NWT253" s="9"/>
      <c r="NWU253" s="4"/>
      <c r="NWV253" s="9"/>
      <c r="NWW253" s="4"/>
      <c r="NWX253" s="9"/>
      <c r="NWY253" s="4"/>
      <c r="NWZ253" s="9"/>
      <c r="NXA253" s="4"/>
      <c r="NXB253" s="9"/>
      <c r="NXC253" s="4"/>
      <c r="NXD253" s="9"/>
      <c r="NXE253" s="4"/>
      <c r="NXF253" s="9"/>
      <c r="NXG253" s="4"/>
      <c r="NXH253" s="9"/>
      <c r="NXI253" s="4"/>
      <c r="NXJ253" s="9"/>
      <c r="NXK253" s="4"/>
      <c r="NXL253" s="9"/>
      <c r="NXM253" s="4"/>
      <c r="NXN253" s="9"/>
      <c r="NXO253" s="4"/>
      <c r="NXP253" s="9"/>
      <c r="NXQ253" s="4"/>
      <c r="NXR253" s="9"/>
      <c r="NXS253" s="4"/>
      <c r="NXT253" s="9"/>
      <c r="NXU253" s="4"/>
      <c r="NXV253" s="9"/>
      <c r="NXW253" s="4"/>
      <c r="NXX253" s="9"/>
      <c r="NXY253" s="4"/>
      <c r="NXZ253" s="9"/>
      <c r="NYA253" s="4"/>
      <c r="NYB253" s="9"/>
      <c r="NYC253" s="4"/>
      <c r="NYD253" s="9"/>
      <c r="NYE253" s="4"/>
      <c r="NYF253" s="9"/>
      <c r="NYG253" s="4"/>
      <c r="NYH253" s="9"/>
      <c r="NYI253" s="4"/>
      <c r="NYJ253" s="9"/>
      <c r="NYK253" s="4"/>
      <c r="NYL253" s="9"/>
      <c r="NYM253" s="4"/>
      <c r="NYN253" s="9"/>
      <c r="NYO253" s="4"/>
      <c r="NYP253" s="9"/>
      <c r="NYQ253" s="4"/>
      <c r="NYR253" s="9"/>
      <c r="NYS253" s="4"/>
      <c r="NYT253" s="9"/>
      <c r="NYU253" s="4"/>
      <c r="NYV253" s="9"/>
      <c r="NYW253" s="4"/>
      <c r="NYX253" s="9"/>
      <c r="NYY253" s="4"/>
      <c r="NYZ253" s="9"/>
      <c r="NZA253" s="4"/>
      <c r="NZB253" s="9"/>
      <c r="NZC253" s="4"/>
      <c r="NZD253" s="9"/>
      <c r="NZE253" s="4"/>
      <c r="NZF253" s="9"/>
      <c r="NZG253" s="4"/>
      <c r="NZH253" s="9"/>
      <c r="NZI253" s="4"/>
      <c r="NZJ253" s="9"/>
      <c r="NZK253" s="4"/>
      <c r="NZL253" s="9"/>
      <c r="NZM253" s="4"/>
      <c r="NZN253" s="9"/>
      <c r="NZO253" s="4"/>
      <c r="NZP253" s="9"/>
      <c r="NZQ253" s="4"/>
      <c r="NZR253" s="9"/>
      <c r="NZS253" s="4"/>
      <c r="NZT253" s="9"/>
      <c r="NZU253" s="4"/>
      <c r="NZV253" s="9"/>
      <c r="NZW253" s="4"/>
      <c r="NZX253" s="9"/>
      <c r="NZY253" s="4"/>
      <c r="NZZ253" s="9"/>
      <c r="OAA253" s="4"/>
      <c r="OAB253" s="9"/>
      <c r="OAC253" s="4"/>
      <c r="OAD253" s="9"/>
      <c r="OAE253" s="4"/>
      <c r="OAF253" s="9"/>
      <c r="OAG253" s="4"/>
      <c r="OAH253" s="9"/>
      <c r="OAI253" s="4"/>
      <c r="OAJ253" s="9"/>
      <c r="OAK253" s="4"/>
      <c r="OAL253" s="9"/>
      <c r="OAM253" s="4"/>
      <c r="OAN253" s="9"/>
      <c r="OAO253" s="4"/>
      <c r="OAP253" s="9"/>
      <c r="OAQ253" s="4"/>
      <c r="OAR253" s="9"/>
      <c r="OAS253" s="4"/>
      <c r="OAT253" s="9"/>
      <c r="OAU253" s="4"/>
      <c r="OAV253" s="9"/>
      <c r="OAW253" s="4"/>
      <c r="OAX253" s="9"/>
      <c r="OAY253" s="4"/>
      <c r="OAZ253" s="9"/>
      <c r="OBA253" s="4"/>
      <c r="OBB253" s="9"/>
      <c r="OBC253" s="4"/>
      <c r="OBD253" s="9"/>
      <c r="OBE253" s="4"/>
      <c r="OBF253" s="9"/>
      <c r="OBG253" s="4"/>
      <c r="OBH253" s="9"/>
      <c r="OBI253" s="4"/>
      <c r="OBJ253" s="9"/>
      <c r="OBK253" s="4"/>
      <c r="OBL253" s="9"/>
      <c r="OBM253" s="4"/>
      <c r="OBN253" s="9"/>
      <c r="OBO253" s="4"/>
      <c r="OBP253" s="9"/>
      <c r="OBQ253" s="4"/>
      <c r="OBR253" s="9"/>
      <c r="OBS253" s="4"/>
      <c r="OBT253" s="9"/>
      <c r="OBU253" s="4"/>
      <c r="OBV253" s="9"/>
      <c r="OBW253" s="4"/>
      <c r="OBX253" s="9"/>
      <c r="OBY253" s="4"/>
      <c r="OBZ253" s="9"/>
      <c r="OCA253" s="4"/>
      <c r="OCB253" s="9"/>
      <c r="OCC253" s="4"/>
      <c r="OCD253" s="9"/>
      <c r="OCE253" s="4"/>
      <c r="OCF253" s="9"/>
      <c r="OCG253" s="4"/>
      <c r="OCH253" s="9"/>
      <c r="OCI253" s="4"/>
      <c r="OCJ253" s="9"/>
      <c r="OCK253" s="4"/>
      <c r="OCL253" s="9"/>
      <c r="OCM253" s="4"/>
      <c r="OCN253" s="9"/>
      <c r="OCO253" s="4"/>
      <c r="OCP253" s="9"/>
      <c r="OCQ253" s="4"/>
      <c r="OCR253" s="9"/>
      <c r="OCS253" s="4"/>
      <c r="OCT253" s="9"/>
      <c r="OCU253" s="4"/>
      <c r="OCV253" s="9"/>
      <c r="OCW253" s="4"/>
      <c r="OCX253" s="9"/>
      <c r="OCY253" s="4"/>
      <c r="OCZ253" s="9"/>
      <c r="ODA253" s="4"/>
      <c r="ODB253" s="9"/>
      <c r="ODC253" s="4"/>
      <c r="ODD253" s="9"/>
      <c r="ODE253" s="4"/>
      <c r="ODF253" s="9"/>
      <c r="ODG253" s="4"/>
      <c r="ODH253" s="9"/>
      <c r="ODI253" s="4"/>
      <c r="ODJ253" s="9"/>
      <c r="ODK253" s="4"/>
      <c r="ODL253" s="9"/>
      <c r="ODM253" s="4"/>
      <c r="ODN253" s="9"/>
      <c r="ODO253" s="4"/>
      <c r="ODP253" s="9"/>
      <c r="ODQ253" s="4"/>
      <c r="ODR253" s="9"/>
      <c r="ODS253" s="4"/>
      <c r="ODT253" s="9"/>
      <c r="ODU253" s="4"/>
      <c r="ODV253" s="9"/>
      <c r="ODW253" s="4"/>
      <c r="ODX253" s="9"/>
      <c r="ODY253" s="4"/>
      <c r="ODZ253" s="9"/>
      <c r="OEA253" s="4"/>
      <c r="OEB253" s="9"/>
      <c r="OEC253" s="4"/>
      <c r="OED253" s="9"/>
      <c r="OEE253" s="4"/>
      <c r="OEF253" s="9"/>
      <c r="OEG253" s="4"/>
      <c r="OEH253" s="9"/>
      <c r="OEI253" s="4"/>
      <c r="OEJ253" s="9"/>
      <c r="OEK253" s="4"/>
      <c r="OEL253" s="9"/>
      <c r="OEM253" s="4"/>
      <c r="OEN253" s="9"/>
      <c r="OEO253" s="4"/>
      <c r="OEP253" s="9"/>
      <c r="OEQ253" s="4"/>
      <c r="OER253" s="9"/>
      <c r="OES253" s="4"/>
      <c r="OET253" s="9"/>
      <c r="OEU253" s="4"/>
      <c r="OEV253" s="9"/>
      <c r="OEW253" s="4"/>
      <c r="OEX253" s="9"/>
      <c r="OEY253" s="4"/>
      <c r="OEZ253" s="9"/>
      <c r="OFA253" s="4"/>
      <c r="OFB253" s="9"/>
      <c r="OFC253" s="4"/>
      <c r="OFD253" s="9"/>
      <c r="OFE253" s="4"/>
      <c r="OFF253" s="9"/>
      <c r="OFG253" s="4"/>
      <c r="OFH253" s="9"/>
      <c r="OFI253" s="4"/>
      <c r="OFJ253" s="9"/>
      <c r="OFK253" s="4"/>
      <c r="OFL253" s="9"/>
      <c r="OFM253" s="4"/>
      <c r="OFN253" s="9"/>
      <c r="OFO253" s="4"/>
      <c r="OFP253" s="9"/>
      <c r="OFQ253" s="4"/>
      <c r="OFR253" s="9"/>
      <c r="OFS253" s="4"/>
      <c r="OFT253" s="9"/>
      <c r="OFU253" s="4"/>
      <c r="OFV253" s="9"/>
      <c r="OFW253" s="4"/>
      <c r="OFX253" s="9"/>
      <c r="OFY253" s="4"/>
      <c r="OFZ253" s="9"/>
      <c r="OGA253" s="4"/>
      <c r="OGB253" s="9"/>
      <c r="OGC253" s="4"/>
      <c r="OGD253" s="9"/>
      <c r="OGE253" s="4"/>
      <c r="OGF253" s="9"/>
      <c r="OGG253" s="4"/>
      <c r="OGH253" s="9"/>
      <c r="OGI253" s="4"/>
      <c r="OGJ253" s="9"/>
      <c r="OGK253" s="4"/>
      <c r="OGL253" s="9"/>
      <c r="OGM253" s="4"/>
      <c r="OGN253" s="9"/>
      <c r="OGO253" s="4"/>
      <c r="OGP253" s="9"/>
      <c r="OGQ253" s="4"/>
      <c r="OGR253" s="9"/>
      <c r="OGS253" s="4"/>
      <c r="OGT253" s="9"/>
      <c r="OGU253" s="4"/>
      <c r="OGV253" s="9"/>
      <c r="OGW253" s="4"/>
      <c r="OGX253" s="9"/>
      <c r="OGY253" s="4"/>
      <c r="OGZ253" s="9"/>
      <c r="OHA253" s="4"/>
      <c r="OHB253" s="9"/>
      <c r="OHC253" s="4"/>
      <c r="OHD253" s="9"/>
      <c r="OHE253" s="4"/>
      <c r="OHF253" s="9"/>
      <c r="OHG253" s="4"/>
      <c r="OHH253" s="9"/>
      <c r="OHI253" s="4"/>
      <c r="OHJ253" s="9"/>
      <c r="OHK253" s="4"/>
      <c r="OHL253" s="9"/>
      <c r="OHM253" s="4"/>
      <c r="OHN253" s="9"/>
      <c r="OHO253" s="4"/>
      <c r="OHP253" s="9"/>
      <c r="OHQ253" s="4"/>
      <c r="OHR253" s="9"/>
      <c r="OHS253" s="4"/>
      <c r="OHT253" s="9"/>
      <c r="OHU253" s="4"/>
      <c r="OHV253" s="9"/>
      <c r="OHW253" s="4"/>
      <c r="OHX253" s="9"/>
      <c r="OHY253" s="4"/>
      <c r="OHZ253" s="9"/>
      <c r="OIA253" s="4"/>
      <c r="OIB253" s="9"/>
      <c r="OIC253" s="4"/>
      <c r="OID253" s="9"/>
      <c r="OIE253" s="4"/>
      <c r="OIF253" s="9"/>
      <c r="OIG253" s="4"/>
      <c r="OIH253" s="9"/>
      <c r="OII253" s="4"/>
      <c r="OIJ253" s="9"/>
      <c r="OIK253" s="4"/>
      <c r="OIL253" s="9"/>
      <c r="OIM253" s="4"/>
      <c r="OIN253" s="9"/>
      <c r="OIO253" s="4"/>
      <c r="OIP253" s="9"/>
      <c r="OIQ253" s="4"/>
      <c r="OIR253" s="9"/>
      <c r="OIS253" s="4"/>
      <c r="OIT253" s="9"/>
      <c r="OIU253" s="4"/>
      <c r="OIV253" s="9"/>
      <c r="OIW253" s="4"/>
      <c r="OIX253" s="9"/>
      <c r="OIY253" s="4"/>
      <c r="OIZ253" s="9"/>
      <c r="OJA253" s="4"/>
      <c r="OJB253" s="9"/>
      <c r="OJC253" s="4"/>
      <c r="OJD253" s="9"/>
      <c r="OJE253" s="4"/>
      <c r="OJF253" s="9"/>
      <c r="OJG253" s="4"/>
      <c r="OJH253" s="9"/>
      <c r="OJI253" s="4"/>
      <c r="OJJ253" s="9"/>
      <c r="OJK253" s="4"/>
      <c r="OJL253" s="9"/>
      <c r="OJM253" s="4"/>
      <c r="OJN253" s="9"/>
      <c r="OJO253" s="4"/>
      <c r="OJP253" s="9"/>
      <c r="OJQ253" s="4"/>
      <c r="OJR253" s="9"/>
      <c r="OJS253" s="4"/>
      <c r="OJT253" s="9"/>
      <c r="OJU253" s="4"/>
      <c r="OJV253" s="9"/>
      <c r="OJW253" s="4"/>
      <c r="OJX253" s="9"/>
      <c r="OJY253" s="4"/>
      <c r="OJZ253" s="9"/>
      <c r="OKA253" s="4"/>
      <c r="OKB253" s="9"/>
      <c r="OKC253" s="4"/>
      <c r="OKD253" s="9"/>
      <c r="OKE253" s="4"/>
      <c r="OKF253" s="9"/>
      <c r="OKG253" s="4"/>
      <c r="OKH253" s="9"/>
      <c r="OKI253" s="4"/>
      <c r="OKJ253" s="9"/>
      <c r="OKK253" s="4"/>
      <c r="OKL253" s="9"/>
      <c r="OKM253" s="4"/>
      <c r="OKN253" s="9"/>
      <c r="OKO253" s="4"/>
      <c r="OKP253" s="9"/>
      <c r="OKQ253" s="4"/>
      <c r="OKR253" s="9"/>
      <c r="OKS253" s="4"/>
      <c r="OKT253" s="9"/>
      <c r="OKU253" s="4"/>
      <c r="OKV253" s="9"/>
      <c r="OKW253" s="4"/>
      <c r="OKX253" s="9"/>
      <c r="OKY253" s="4"/>
      <c r="OKZ253" s="9"/>
      <c r="OLA253" s="4"/>
      <c r="OLB253" s="9"/>
      <c r="OLC253" s="4"/>
      <c r="OLD253" s="9"/>
      <c r="OLE253" s="4"/>
      <c r="OLF253" s="9"/>
      <c r="OLG253" s="4"/>
      <c r="OLH253" s="9"/>
      <c r="OLI253" s="4"/>
      <c r="OLJ253" s="9"/>
      <c r="OLK253" s="4"/>
      <c r="OLL253" s="9"/>
      <c r="OLM253" s="4"/>
      <c r="OLN253" s="9"/>
      <c r="OLO253" s="4"/>
      <c r="OLP253" s="9"/>
      <c r="OLQ253" s="4"/>
      <c r="OLR253" s="9"/>
      <c r="OLS253" s="4"/>
      <c r="OLT253" s="9"/>
      <c r="OLU253" s="4"/>
      <c r="OLV253" s="9"/>
      <c r="OLW253" s="4"/>
      <c r="OLX253" s="9"/>
      <c r="OLY253" s="4"/>
      <c r="OLZ253" s="9"/>
      <c r="OMA253" s="4"/>
      <c r="OMB253" s="9"/>
      <c r="OMC253" s="4"/>
      <c r="OMD253" s="9"/>
      <c r="OME253" s="4"/>
      <c r="OMF253" s="9"/>
      <c r="OMG253" s="4"/>
      <c r="OMH253" s="9"/>
      <c r="OMI253" s="4"/>
      <c r="OMJ253" s="9"/>
      <c r="OMK253" s="4"/>
      <c r="OML253" s="9"/>
      <c r="OMM253" s="4"/>
      <c r="OMN253" s="9"/>
      <c r="OMO253" s="4"/>
      <c r="OMP253" s="9"/>
      <c r="OMQ253" s="4"/>
      <c r="OMR253" s="9"/>
      <c r="OMS253" s="4"/>
      <c r="OMT253" s="9"/>
      <c r="OMU253" s="4"/>
      <c r="OMV253" s="9"/>
      <c r="OMW253" s="4"/>
      <c r="OMX253" s="9"/>
      <c r="OMY253" s="4"/>
      <c r="OMZ253" s="9"/>
      <c r="ONA253" s="4"/>
      <c r="ONB253" s="9"/>
      <c r="ONC253" s="4"/>
      <c r="OND253" s="9"/>
      <c r="ONE253" s="4"/>
      <c r="ONF253" s="9"/>
      <c r="ONG253" s="4"/>
      <c r="ONH253" s="9"/>
      <c r="ONI253" s="4"/>
      <c r="ONJ253" s="9"/>
      <c r="ONK253" s="4"/>
      <c r="ONL253" s="9"/>
      <c r="ONM253" s="4"/>
      <c r="ONN253" s="9"/>
      <c r="ONO253" s="4"/>
      <c r="ONP253" s="9"/>
      <c r="ONQ253" s="4"/>
      <c r="ONR253" s="9"/>
      <c r="ONS253" s="4"/>
      <c r="ONT253" s="9"/>
      <c r="ONU253" s="4"/>
      <c r="ONV253" s="9"/>
      <c r="ONW253" s="4"/>
      <c r="ONX253" s="9"/>
      <c r="ONY253" s="4"/>
      <c r="ONZ253" s="9"/>
      <c r="OOA253" s="4"/>
      <c r="OOB253" s="9"/>
      <c r="OOC253" s="4"/>
      <c r="OOD253" s="9"/>
      <c r="OOE253" s="4"/>
      <c r="OOF253" s="9"/>
      <c r="OOG253" s="4"/>
      <c r="OOH253" s="9"/>
      <c r="OOI253" s="4"/>
      <c r="OOJ253" s="9"/>
      <c r="OOK253" s="4"/>
      <c r="OOL253" s="9"/>
      <c r="OOM253" s="4"/>
      <c r="OON253" s="9"/>
      <c r="OOO253" s="4"/>
      <c r="OOP253" s="9"/>
      <c r="OOQ253" s="4"/>
      <c r="OOR253" s="9"/>
      <c r="OOS253" s="4"/>
      <c r="OOT253" s="9"/>
      <c r="OOU253" s="4"/>
      <c r="OOV253" s="9"/>
      <c r="OOW253" s="4"/>
      <c r="OOX253" s="9"/>
      <c r="OOY253" s="4"/>
      <c r="OOZ253" s="9"/>
      <c r="OPA253" s="4"/>
      <c r="OPB253" s="9"/>
      <c r="OPC253" s="4"/>
      <c r="OPD253" s="9"/>
      <c r="OPE253" s="4"/>
      <c r="OPF253" s="9"/>
      <c r="OPG253" s="4"/>
      <c r="OPH253" s="9"/>
      <c r="OPI253" s="4"/>
      <c r="OPJ253" s="9"/>
      <c r="OPK253" s="4"/>
      <c r="OPL253" s="9"/>
      <c r="OPM253" s="4"/>
      <c r="OPN253" s="9"/>
      <c r="OPO253" s="4"/>
      <c r="OPP253" s="9"/>
      <c r="OPQ253" s="4"/>
      <c r="OPR253" s="9"/>
      <c r="OPS253" s="4"/>
      <c r="OPT253" s="9"/>
      <c r="OPU253" s="4"/>
      <c r="OPV253" s="9"/>
      <c r="OPW253" s="4"/>
      <c r="OPX253" s="9"/>
      <c r="OPY253" s="4"/>
      <c r="OPZ253" s="9"/>
      <c r="OQA253" s="4"/>
      <c r="OQB253" s="9"/>
      <c r="OQC253" s="4"/>
      <c r="OQD253" s="9"/>
      <c r="OQE253" s="4"/>
      <c r="OQF253" s="9"/>
      <c r="OQG253" s="4"/>
      <c r="OQH253" s="9"/>
      <c r="OQI253" s="4"/>
      <c r="OQJ253" s="9"/>
      <c r="OQK253" s="4"/>
      <c r="OQL253" s="9"/>
      <c r="OQM253" s="4"/>
      <c r="OQN253" s="9"/>
      <c r="OQO253" s="4"/>
      <c r="OQP253" s="9"/>
      <c r="OQQ253" s="4"/>
      <c r="OQR253" s="9"/>
      <c r="OQS253" s="4"/>
      <c r="OQT253" s="9"/>
      <c r="OQU253" s="4"/>
      <c r="OQV253" s="9"/>
      <c r="OQW253" s="4"/>
      <c r="OQX253" s="9"/>
      <c r="OQY253" s="4"/>
      <c r="OQZ253" s="9"/>
      <c r="ORA253" s="4"/>
      <c r="ORB253" s="9"/>
      <c r="ORC253" s="4"/>
      <c r="ORD253" s="9"/>
      <c r="ORE253" s="4"/>
      <c r="ORF253" s="9"/>
      <c r="ORG253" s="4"/>
      <c r="ORH253" s="9"/>
      <c r="ORI253" s="4"/>
      <c r="ORJ253" s="9"/>
      <c r="ORK253" s="4"/>
      <c r="ORL253" s="9"/>
      <c r="ORM253" s="4"/>
      <c r="ORN253" s="9"/>
      <c r="ORO253" s="4"/>
      <c r="ORP253" s="9"/>
      <c r="ORQ253" s="4"/>
      <c r="ORR253" s="9"/>
      <c r="ORS253" s="4"/>
      <c r="ORT253" s="9"/>
      <c r="ORU253" s="4"/>
      <c r="ORV253" s="9"/>
      <c r="ORW253" s="4"/>
      <c r="ORX253" s="9"/>
      <c r="ORY253" s="4"/>
      <c r="ORZ253" s="9"/>
      <c r="OSA253" s="4"/>
      <c r="OSB253" s="9"/>
      <c r="OSC253" s="4"/>
      <c r="OSD253" s="9"/>
      <c r="OSE253" s="4"/>
      <c r="OSF253" s="9"/>
      <c r="OSG253" s="4"/>
      <c r="OSH253" s="9"/>
      <c r="OSI253" s="4"/>
      <c r="OSJ253" s="9"/>
      <c r="OSK253" s="4"/>
      <c r="OSL253" s="9"/>
      <c r="OSM253" s="4"/>
      <c r="OSN253" s="9"/>
      <c r="OSO253" s="4"/>
      <c r="OSP253" s="9"/>
      <c r="OSQ253" s="4"/>
      <c r="OSR253" s="9"/>
      <c r="OSS253" s="4"/>
      <c r="OST253" s="9"/>
      <c r="OSU253" s="4"/>
      <c r="OSV253" s="9"/>
      <c r="OSW253" s="4"/>
      <c r="OSX253" s="9"/>
      <c r="OSY253" s="4"/>
      <c r="OSZ253" s="9"/>
      <c r="OTA253" s="4"/>
      <c r="OTB253" s="9"/>
      <c r="OTC253" s="4"/>
      <c r="OTD253" s="9"/>
      <c r="OTE253" s="4"/>
      <c r="OTF253" s="9"/>
      <c r="OTG253" s="4"/>
      <c r="OTH253" s="9"/>
      <c r="OTI253" s="4"/>
      <c r="OTJ253" s="9"/>
      <c r="OTK253" s="4"/>
      <c r="OTL253" s="9"/>
      <c r="OTM253" s="4"/>
      <c r="OTN253" s="9"/>
      <c r="OTO253" s="4"/>
      <c r="OTP253" s="9"/>
      <c r="OTQ253" s="4"/>
      <c r="OTR253" s="9"/>
      <c r="OTS253" s="4"/>
      <c r="OTT253" s="9"/>
      <c r="OTU253" s="4"/>
      <c r="OTV253" s="9"/>
      <c r="OTW253" s="4"/>
      <c r="OTX253" s="9"/>
      <c r="OTY253" s="4"/>
      <c r="OTZ253" s="9"/>
      <c r="OUA253" s="4"/>
      <c r="OUB253" s="9"/>
      <c r="OUC253" s="4"/>
      <c r="OUD253" s="9"/>
      <c r="OUE253" s="4"/>
      <c r="OUF253" s="9"/>
      <c r="OUG253" s="4"/>
      <c r="OUH253" s="9"/>
      <c r="OUI253" s="4"/>
      <c r="OUJ253" s="9"/>
      <c r="OUK253" s="4"/>
      <c r="OUL253" s="9"/>
      <c r="OUM253" s="4"/>
      <c r="OUN253" s="9"/>
      <c r="OUO253" s="4"/>
      <c r="OUP253" s="9"/>
      <c r="OUQ253" s="4"/>
      <c r="OUR253" s="9"/>
      <c r="OUS253" s="4"/>
      <c r="OUT253" s="9"/>
      <c r="OUU253" s="4"/>
      <c r="OUV253" s="9"/>
      <c r="OUW253" s="4"/>
      <c r="OUX253" s="9"/>
      <c r="OUY253" s="4"/>
      <c r="OUZ253" s="9"/>
      <c r="OVA253" s="4"/>
      <c r="OVB253" s="9"/>
      <c r="OVC253" s="4"/>
      <c r="OVD253" s="9"/>
      <c r="OVE253" s="4"/>
      <c r="OVF253" s="9"/>
      <c r="OVG253" s="4"/>
      <c r="OVH253" s="9"/>
      <c r="OVI253" s="4"/>
      <c r="OVJ253" s="9"/>
      <c r="OVK253" s="4"/>
      <c r="OVL253" s="9"/>
      <c r="OVM253" s="4"/>
      <c r="OVN253" s="9"/>
      <c r="OVO253" s="4"/>
      <c r="OVP253" s="9"/>
      <c r="OVQ253" s="4"/>
      <c r="OVR253" s="9"/>
      <c r="OVS253" s="4"/>
      <c r="OVT253" s="9"/>
      <c r="OVU253" s="4"/>
      <c r="OVV253" s="9"/>
      <c r="OVW253" s="4"/>
      <c r="OVX253" s="9"/>
      <c r="OVY253" s="4"/>
      <c r="OVZ253" s="9"/>
      <c r="OWA253" s="4"/>
      <c r="OWB253" s="9"/>
      <c r="OWC253" s="4"/>
      <c r="OWD253" s="9"/>
      <c r="OWE253" s="4"/>
      <c r="OWF253" s="9"/>
      <c r="OWG253" s="4"/>
      <c r="OWH253" s="9"/>
      <c r="OWI253" s="4"/>
      <c r="OWJ253" s="9"/>
      <c r="OWK253" s="4"/>
      <c r="OWL253" s="9"/>
      <c r="OWM253" s="4"/>
      <c r="OWN253" s="9"/>
      <c r="OWO253" s="4"/>
      <c r="OWP253" s="9"/>
      <c r="OWQ253" s="4"/>
      <c r="OWR253" s="9"/>
      <c r="OWS253" s="4"/>
      <c r="OWT253" s="9"/>
      <c r="OWU253" s="4"/>
      <c r="OWV253" s="9"/>
      <c r="OWW253" s="4"/>
      <c r="OWX253" s="9"/>
      <c r="OWY253" s="4"/>
      <c r="OWZ253" s="9"/>
      <c r="OXA253" s="4"/>
      <c r="OXB253" s="9"/>
      <c r="OXC253" s="4"/>
      <c r="OXD253" s="9"/>
      <c r="OXE253" s="4"/>
      <c r="OXF253" s="9"/>
      <c r="OXG253" s="4"/>
      <c r="OXH253" s="9"/>
      <c r="OXI253" s="4"/>
      <c r="OXJ253" s="9"/>
      <c r="OXK253" s="4"/>
      <c r="OXL253" s="9"/>
      <c r="OXM253" s="4"/>
      <c r="OXN253" s="9"/>
      <c r="OXO253" s="4"/>
      <c r="OXP253" s="9"/>
      <c r="OXQ253" s="4"/>
      <c r="OXR253" s="9"/>
      <c r="OXS253" s="4"/>
      <c r="OXT253" s="9"/>
      <c r="OXU253" s="4"/>
      <c r="OXV253" s="9"/>
      <c r="OXW253" s="4"/>
      <c r="OXX253" s="9"/>
      <c r="OXY253" s="4"/>
      <c r="OXZ253" s="9"/>
      <c r="OYA253" s="4"/>
      <c r="OYB253" s="9"/>
      <c r="OYC253" s="4"/>
      <c r="OYD253" s="9"/>
      <c r="OYE253" s="4"/>
      <c r="OYF253" s="9"/>
      <c r="OYG253" s="4"/>
      <c r="OYH253" s="9"/>
      <c r="OYI253" s="4"/>
      <c r="OYJ253" s="9"/>
      <c r="OYK253" s="4"/>
      <c r="OYL253" s="9"/>
      <c r="OYM253" s="4"/>
      <c r="OYN253" s="9"/>
      <c r="OYO253" s="4"/>
      <c r="OYP253" s="9"/>
      <c r="OYQ253" s="4"/>
      <c r="OYR253" s="9"/>
      <c r="OYS253" s="4"/>
      <c r="OYT253" s="9"/>
      <c r="OYU253" s="4"/>
      <c r="OYV253" s="9"/>
      <c r="OYW253" s="4"/>
      <c r="OYX253" s="9"/>
      <c r="OYY253" s="4"/>
      <c r="OYZ253" s="9"/>
      <c r="OZA253" s="4"/>
      <c r="OZB253" s="9"/>
      <c r="OZC253" s="4"/>
      <c r="OZD253" s="9"/>
      <c r="OZE253" s="4"/>
      <c r="OZF253" s="9"/>
      <c r="OZG253" s="4"/>
      <c r="OZH253" s="9"/>
      <c r="OZI253" s="4"/>
      <c r="OZJ253" s="9"/>
      <c r="OZK253" s="4"/>
      <c r="OZL253" s="9"/>
      <c r="OZM253" s="4"/>
      <c r="OZN253" s="9"/>
      <c r="OZO253" s="4"/>
      <c r="OZP253" s="9"/>
      <c r="OZQ253" s="4"/>
      <c r="OZR253" s="9"/>
      <c r="OZS253" s="4"/>
      <c r="OZT253" s="9"/>
      <c r="OZU253" s="4"/>
      <c r="OZV253" s="9"/>
      <c r="OZW253" s="4"/>
      <c r="OZX253" s="9"/>
      <c r="OZY253" s="4"/>
      <c r="OZZ253" s="9"/>
      <c r="PAA253" s="4"/>
      <c r="PAB253" s="9"/>
      <c r="PAC253" s="4"/>
      <c r="PAD253" s="9"/>
      <c r="PAE253" s="4"/>
      <c r="PAF253" s="9"/>
      <c r="PAG253" s="4"/>
      <c r="PAH253" s="9"/>
      <c r="PAI253" s="4"/>
      <c r="PAJ253" s="9"/>
      <c r="PAK253" s="4"/>
      <c r="PAL253" s="9"/>
      <c r="PAM253" s="4"/>
      <c r="PAN253" s="9"/>
      <c r="PAO253" s="4"/>
      <c r="PAP253" s="9"/>
      <c r="PAQ253" s="4"/>
      <c r="PAR253" s="9"/>
      <c r="PAS253" s="4"/>
      <c r="PAT253" s="9"/>
      <c r="PAU253" s="4"/>
      <c r="PAV253" s="9"/>
      <c r="PAW253" s="4"/>
      <c r="PAX253" s="9"/>
      <c r="PAY253" s="4"/>
      <c r="PAZ253" s="9"/>
      <c r="PBA253" s="4"/>
      <c r="PBB253" s="9"/>
      <c r="PBC253" s="4"/>
      <c r="PBD253" s="9"/>
      <c r="PBE253" s="4"/>
      <c r="PBF253" s="9"/>
      <c r="PBG253" s="4"/>
      <c r="PBH253" s="9"/>
      <c r="PBI253" s="4"/>
      <c r="PBJ253" s="9"/>
      <c r="PBK253" s="4"/>
      <c r="PBL253" s="9"/>
      <c r="PBM253" s="4"/>
      <c r="PBN253" s="9"/>
      <c r="PBO253" s="4"/>
      <c r="PBP253" s="9"/>
      <c r="PBQ253" s="4"/>
      <c r="PBR253" s="9"/>
      <c r="PBS253" s="4"/>
      <c r="PBT253" s="9"/>
      <c r="PBU253" s="4"/>
      <c r="PBV253" s="9"/>
      <c r="PBW253" s="4"/>
      <c r="PBX253" s="9"/>
      <c r="PBY253" s="4"/>
      <c r="PBZ253" s="9"/>
      <c r="PCA253" s="4"/>
      <c r="PCB253" s="9"/>
      <c r="PCC253" s="4"/>
      <c r="PCD253" s="9"/>
      <c r="PCE253" s="4"/>
      <c r="PCF253" s="9"/>
      <c r="PCG253" s="4"/>
      <c r="PCH253" s="9"/>
      <c r="PCI253" s="4"/>
      <c r="PCJ253" s="9"/>
      <c r="PCK253" s="4"/>
      <c r="PCL253" s="9"/>
      <c r="PCM253" s="4"/>
      <c r="PCN253" s="9"/>
      <c r="PCO253" s="4"/>
      <c r="PCP253" s="9"/>
      <c r="PCQ253" s="4"/>
      <c r="PCR253" s="9"/>
      <c r="PCS253" s="4"/>
      <c r="PCT253" s="9"/>
      <c r="PCU253" s="4"/>
      <c r="PCV253" s="9"/>
      <c r="PCW253" s="4"/>
      <c r="PCX253" s="9"/>
      <c r="PCY253" s="4"/>
      <c r="PCZ253" s="9"/>
      <c r="PDA253" s="4"/>
      <c r="PDB253" s="9"/>
      <c r="PDC253" s="4"/>
      <c r="PDD253" s="9"/>
      <c r="PDE253" s="4"/>
      <c r="PDF253" s="9"/>
      <c r="PDG253" s="4"/>
      <c r="PDH253" s="9"/>
      <c r="PDI253" s="4"/>
      <c r="PDJ253" s="9"/>
      <c r="PDK253" s="4"/>
      <c r="PDL253" s="9"/>
      <c r="PDM253" s="4"/>
      <c r="PDN253" s="9"/>
      <c r="PDO253" s="4"/>
      <c r="PDP253" s="9"/>
      <c r="PDQ253" s="4"/>
      <c r="PDR253" s="9"/>
      <c r="PDS253" s="4"/>
      <c r="PDT253" s="9"/>
      <c r="PDU253" s="4"/>
      <c r="PDV253" s="9"/>
      <c r="PDW253" s="4"/>
      <c r="PDX253" s="9"/>
      <c r="PDY253" s="4"/>
      <c r="PDZ253" s="9"/>
      <c r="PEA253" s="4"/>
      <c r="PEB253" s="9"/>
      <c r="PEC253" s="4"/>
      <c r="PED253" s="9"/>
      <c r="PEE253" s="4"/>
      <c r="PEF253" s="9"/>
      <c r="PEG253" s="4"/>
      <c r="PEH253" s="9"/>
      <c r="PEI253" s="4"/>
      <c r="PEJ253" s="9"/>
      <c r="PEK253" s="4"/>
      <c r="PEL253" s="9"/>
      <c r="PEM253" s="4"/>
      <c r="PEN253" s="9"/>
      <c r="PEO253" s="4"/>
      <c r="PEP253" s="9"/>
      <c r="PEQ253" s="4"/>
      <c r="PER253" s="9"/>
      <c r="PES253" s="4"/>
      <c r="PET253" s="9"/>
      <c r="PEU253" s="4"/>
      <c r="PEV253" s="9"/>
      <c r="PEW253" s="4"/>
      <c r="PEX253" s="9"/>
      <c r="PEY253" s="4"/>
      <c r="PEZ253" s="9"/>
      <c r="PFA253" s="4"/>
      <c r="PFB253" s="9"/>
      <c r="PFC253" s="4"/>
      <c r="PFD253" s="9"/>
      <c r="PFE253" s="4"/>
      <c r="PFF253" s="9"/>
      <c r="PFG253" s="4"/>
      <c r="PFH253" s="9"/>
      <c r="PFI253" s="4"/>
      <c r="PFJ253" s="9"/>
      <c r="PFK253" s="4"/>
      <c r="PFL253" s="9"/>
      <c r="PFM253" s="4"/>
      <c r="PFN253" s="9"/>
      <c r="PFO253" s="4"/>
      <c r="PFP253" s="9"/>
      <c r="PFQ253" s="4"/>
      <c r="PFR253" s="9"/>
      <c r="PFS253" s="4"/>
      <c r="PFT253" s="9"/>
      <c r="PFU253" s="4"/>
      <c r="PFV253" s="9"/>
      <c r="PFW253" s="4"/>
      <c r="PFX253" s="9"/>
      <c r="PFY253" s="4"/>
      <c r="PFZ253" s="9"/>
      <c r="PGA253" s="4"/>
      <c r="PGB253" s="9"/>
      <c r="PGC253" s="4"/>
      <c r="PGD253" s="9"/>
      <c r="PGE253" s="4"/>
      <c r="PGF253" s="9"/>
      <c r="PGG253" s="4"/>
      <c r="PGH253" s="9"/>
      <c r="PGI253" s="4"/>
      <c r="PGJ253" s="9"/>
      <c r="PGK253" s="4"/>
      <c r="PGL253" s="9"/>
      <c r="PGM253" s="4"/>
      <c r="PGN253" s="9"/>
      <c r="PGO253" s="4"/>
      <c r="PGP253" s="9"/>
      <c r="PGQ253" s="4"/>
      <c r="PGR253" s="9"/>
      <c r="PGS253" s="4"/>
      <c r="PGT253" s="9"/>
      <c r="PGU253" s="4"/>
      <c r="PGV253" s="9"/>
      <c r="PGW253" s="4"/>
      <c r="PGX253" s="9"/>
      <c r="PGY253" s="4"/>
      <c r="PGZ253" s="9"/>
      <c r="PHA253" s="4"/>
      <c r="PHB253" s="9"/>
      <c r="PHC253" s="4"/>
      <c r="PHD253" s="9"/>
      <c r="PHE253" s="4"/>
      <c r="PHF253" s="9"/>
      <c r="PHG253" s="4"/>
      <c r="PHH253" s="9"/>
      <c r="PHI253" s="4"/>
      <c r="PHJ253" s="9"/>
      <c r="PHK253" s="4"/>
      <c r="PHL253" s="9"/>
      <c r="PHM253" s="4"/>
      <c r="PHN253" s="9"/>
      <c r="PHO253" s="4"/>
      <c r="PHP253" s="9"/>
      <c r="PHQ253" s="4"/>
      <c r="PHR253" s="9"/>
      <c r="PHS253" s="4"/>
      <c r="PHT253" s="9"/>
      <c r="PHU253" s="4"/>
      <c r="PHV253" s="9"/>
      <c r="PHW253" s="4"/>
      <c r="PHX253" s="9"/>
      <c r="PHY253" s="4"/>
      <c r="PHZ253" s="9"/>
      <c r="PIA253" s="4"/>
      <c r="PIB253" s="9"/>
      <c r="PIC253" s="4"/>
      <c r="PID253" s="9"/>
      <c r="PIE253" s="4"/>
      <c r="PIF253" s="9"/>
      <c r="PIG253" s="4"/>
      <c r="PIH253" s="9"/>
      <c r="PII253" s="4"/>
      <c r="PIJ253" s="9"/>
      <c r="PIK253" s="4"/>
      <c r="PIL253" s="9"/>
      <c r="PIM253" s="4"/>
      <c r="PIN253" s="9"/>
      <c r="PIO253" s="4"/>
      <c r="PIP253" s="9"/>
      <c r="PIQ253" s="4"/>
      <c r="PIR253" s="9"/>
      <c r="PIS253" s="4"/>
      <c r="PIT253" s="9"/>
      <c r="PIU253" s="4"/>
      <c r="PIV253" s="9"/>
      <c r="PIW253" s="4"/>
      <c r="PIX253" s="9"/>
      <c r="PIY253" s="4"/>
      <c r="PIZ253" s="9"/>
      <c r="PJA253" s="4"/>
      <c r="PJB253" s="9"/>
      <c r="PJC253" s="4"/>
      <c r="PJD253" s="9"/>
      <c r="PJE253" s="4"/>
      <c r="PJF253" s="9"/>
      <c r="PJG253" s="4"/>
      <c r="PJH253" s="9"/>
      <c r="PJI253" s="4"/>
      <c r="PJJ253" s="9"/>
      <c r="PJK253" s="4"/>
      <c r="PJL253" s="9"/>
      <c r="PJM253" s="4"/>
      <c r="PJN253" s="9"/>
      <c r="PJO253" s="4"/>
      <c r="PJP253" s="9"/>
      <c r="PJQ253" s="4"/>
      <c r="PJR253" s="9"/>
      <c r="PJS253" s="4"/>
      <c r="PJT253" s="9"/>
      <c r="PJU253" s="4"/>
      <c r="PJV253" s="9"/>
      <c r="PJW253" s="4"/>
      <c r="PJX253" s="9"/>
      <c r="PJY253" s="4"/>
      <c r="PJZ253" s="9"/>
      <c r="PKA253" s="4"/>
      <c r="PKB253" s="9"/>
      <c r="PKC253" s="4"/>
      <c r="PKD253" s="9"/>
      <c r="PKE253" s="4"/>
      <c r="PKF253" s="9"/>
      <c r="PKG253" s="4"/>
      <c r="PKH253" s="9"/>
      <c r="PKI253" s="4"/>
      <c r="PKJ253" s="9"/>
      <c r="PKK253" s="4"/>
      <c r="PKL253" s="9"/>
      <c r="PKM253" s="4"/>
      <c r="PKN253" s="9"/>
      <c r="PKO253" s="4"/>
      <c r="PKP253" s="9"/>
      <c r="PKQ253" s="4"/>
      <c r="PKR253" s="9"/>
      <c r="PKS253" s="4"/>
      <c r="PKT253" s="9"/>
      <c r="PKU253" s="4"/>
      <c r="PKV253" s="9"/>
      <c r="PKW253" s="4"/>
      <c r="PKX253" s="9"/>
      <c r="PKY253" s="4"/>
      <c r="PKZ253" s="9"/>
      <c r="PLA253" s="4"/>
      <c r="PLB253" s="9"/>
      <c r="PLC253" s="4"/>
      <c r="PLD253" s="9"/>
      <c r="PLE253" s="4"/>
      <c r="PLF253" s="9"/>
      <c r="PLG253" s="4"/>
      <c r="PLH253" s="9"/>
      <c r="PLI253" s="4"/>
      <c r="PLJ253" s="9"/>
      <c r="PLK253" s="4"/>
      <c r="PLL253" s="9"/>
      <c r="PLM253" s="4"/>
      <c r="PLN253" s="9"/>
      <c r="PLO253" s="4"/>
      <c r="PLP253" s="9"/>
      <c r="PLQ253" s="4"/>
      <c r="PLR253" s="9"/>
      <c r="PLS253" s="4"/>
      <c r="PLT253" s="9"/>
      <c r="PLU253" s="4"/>
      <c r="PLV253" s="9"/>
      <c r="PLW253" s="4"/>
      <c r="PLX253" s="9"/>
      <c r="PLY253" s="4"/>
      <c r="PLZ253" s="9"/>
      <c r="PMA253" s="4"/>
      <c r="PMB253" s="9"/>
      <c r="PMC253" s="4"/>
      <c r="PMD253" s="9"/>
      <c r="PME253" s="4"/>
      <c r="PMF253" s="9"/>
      <c r="PMG253" s="4"/>
      <c r="PMH253" s="9"/>
      <c r="PMI253" s="4"/>
      <c r="PMJ253" s="9"/>
      <c r="PMK253" s="4"/>
      <c r="PML253" s="9"/>
      <c r="PMM253" s="4"/>
      <c r="PMN253" s="9"/>
      <c r="PMO253" s="4"/>
      <c r="PMP253" s="9"/>
      <c r="PMQ253" s="4"/>
      <c r="PMR253" s="9"/>
      <c r="PMS253" s="4"/>
      <c r="PMT253" s="9"/>
      <c r="PMU253" s="4"/>
      <c r="PMV253" s="9"/>
      <c r="PMW253" s="4"/>
      <c r="PMX253" s="9"/>
      <c r="PMY253" s="4"/>
      <c r="PMZ253" s="9"/>
      <c r="PNA253" s="4"/>
      <c r="PNB253" s="9"/>
      <c r="PNC253" s="4"/>
      <c r="PND253" s="9"/>
      <c r="PNE253" s="4"/>
      <c r="PNF253" s="9"/>
      <c r="PNG253" s="4"/>
      <c r="PNH253" s="9"/>
      <c r="PNI253" s="4"/>
      <c r="PNJ253" s="9"/>
      <c r="PNK253" s="4"/>
      <c r="PNL253" s="9"/>
      <c r="PNM253" s="4"/>
      <c r="PNN253" s="9"/>
      <c r="PNO253" s="4"/>
      <c r="PNP253" s="9"/>
      <c r="PNQ253" s="4"/>
      <c r="PNR253" s="9"/>
      <c r="PNS253" s="4"/>
      <c r="PNT253" s="9"/>
      <c r="PNU253" s="4"/>
      <c r="PNV253" s="9"/>
      <c r="PNW253" s="4"/>
      <c r="PNX253" s="9"/>
      <c r="PNY253" s="4"/>
      <c r="PNZ253" s="9"/>
      <c r="POA253" s="4"/>
      <c r="POB253" s="9"/>
      <c r="POC253" s="4"/>
      <c r="POD253" s="9"/>
      <c r="POE253" s="4"/>
      <c r="POF253" s="9"/>
      <c r="POG253" s="4"/>
      <c r="POH253" s="9"/>
      <c r="POI253" s="4"/>
      <c r="POJ253" s="9"/>
      <c r="POK253" s="4"/>
      <c r="POL253" s="9"/>
      <c r="POM253" s="4"/>
      <c r="PON253" s="9"/>
      <c r="POO253" s="4"/>
      <c r="POP253" s="9"/>
      <c r="POQ253" s="4"/>
      <c r="POR253" s="9"/>
      <c r="POS253" s="4"/>
      <c r="POT253" s="9"/>
      <c r="POU253" s="4"/>
      <c r="POV253" s="9"/>
      <c r="POW253" s="4"/>
      <c r="POX253" s="9"/>
      <c r="POY253" s="4"/>
      <c r="POZ253" s="9"/>
      <c r="PPA253" s="4"/>
      <c r="PPB253" s="9"/>
      <c r="PPC253" s="4"/>
      <c r="PPD253" s="9"/>
      <c r="PPE253" s="4"/>
      <c r="PPF253" s="9"/>
      <c r="PPG253" s="4"/>
      <c r="PPH253" s="9"/>
      <c r="PPI253" s="4"/>
      <c r="PPJ253" s="9"/>
      <c r="PPK253" s="4"/>
      <c r="PPL253" s="9"/>
      <c r="PPM253" s="4"/>
      <c r="PPN253" s="9"/>
      <c r="PPO253" s="4"/>
      <c r="PPP253" s="9"/>
      <c r="PPQ253" s="4"/>
      <c r="PPR253" s="9"/>
      <c r="PPS253" s="4"/>
      <c r="PPT253" s="9"/>
      <c r="PPU253" s="4"/>
      <c r="PPV253" s="9"/>
      <c r="PPW253" s="4"/>
      <c r="PPX253" s="9"/>
      <c r="PPY253" s="4"/>
      <c r="PPZ253" s="9"/>
      <c r="PQA253" s="4"/>
      <c r="PQB253" s="9"/>
      <c r="PQC253" s="4"/>
      <c r="PQD253" s="9"/>
      <c r="PQE253" s="4"/>
      <c r="PQF253" s="9"/>
      <c r="PQG253" s="4"/>
      <c r="PQH253" s="9"/>
      <c r="PQI253" s="4"/>
      <c r="PQJ253" s="9"/>
      <c r="PQK253" s="4"/>
      <c r="PQL253" s="9"/>
      <c r="PQM253" s="4"/>
      <c r="PQN253" s="9"/>
      <c r="PQO253" s="4"/>
      <c r="PQP253" s="9"/>
      <c r="PQQ253" s="4"/>
      <c r="PQR253" s="9"/>
      <c r="PQS253" s="4"/>
      <c r="PQT253" s="9"/>
      <c r="PQU253" s="4"/>
      <c r="PQV253" s="9"/>
      <c r="PQW253" s="4"/>
      <c r="PQX253" s="9"/>
      <c r="PQY253" s="4"/>
      <c r="PQZ253" s="9"/>
      <c r="PRA253" s="4"/>
      <c r="PRB253" s="9"/>
      <c r="PRC253" s="4"/>
      <c r="PRD253" s="9"/>
      <c r="PRE253" s="4"/>
      <c r="PRF253" s="9"/>
      <c r="PRG253" s="4"/>
      <c r="PRH253" s="9"/>
      <c r="PRI253" s="4"/>
      <c r="PRJ253" s="9"/>
      <c r="PRK253" s="4"/>
      <c r="PRL253" s="9"/>
      <c r="PRM253" s="4"/>
      <c r="PRN253" s="9"/>
      <c r="PRO253" s="4"/>
      <c r="PRP253" s="9"/>
      <c r="PRQ253" s="4"/>
      <c r="PRR253" s="9"/>
      <c r="PRS253" s="4"/>
      <c r="PRT253" s="9"/>
      <c r="PRU253" s="4"/>
      <c r="PRV253" s="9"/>
      <c r="PRW253" s="4"/>
      <c r="PRX253" s="9"/>
      <c r="PRY253" s="4"/>
      <c r="PRZ253" s="9"/>
      <c r="PSA253" s="4"/>
      <c r="PSB253" s="9"/>
      <c r="PSC253" s="4"/>
      <c r="PSD253" s="9"/>
      <c r="PSE253" s="4"/>
      <c r="PSF253" s="9"/>
      <c r="PSG253" s="4"/>
      <c r="PSH253" s="9"/>
      <c r="PSI253" s="4"/>
      <c r="PSJ253" s="9"/>
      <c r="PSK253" s="4"/>
      <c r="PSL253" s="9"/>
      <c r="PSM253" s="4"/>
      <c r="PSN253" s="9"/>
      <c r="PSO253" s="4"/>
      <c r="PSP253" s="9"/>
      <c r="PSQ253" s="4"/>
      <c r="PSR253" s="9"/>
      <c r="PSS253" s="4"/>
      <c r="PST253" s="9"/>
      <c r="PSU253" s="4"/>
      <c r="PSV253" s="9"/>
      <c r="PSW253" s="4"/>
      <c r="PSX253" s="9"/>
      <c r="PSY253" s="4"/>
      <c r="PSZ253" s="9"/>
      <c r="PTA253" s="4"/>
      <c r="PTB253" s="9"/>
      <c r="PTC253" s="4"/>
      <c r="PTD253" s="9"/>
      <c r="PTE253" s="4"/>
      <c r="PTF253" s="9"/>
      <c r="PTG253" s="4"/>
      <c r="PTH253" s="9"/>
      <c r="PTI253" s="4"/>
      <c r="PTJ253" s="9"/>
      <c r="PTK253" s="4"/>
      <c r="PTL253" s="9"/>
      <c r="PTM253" s="4"/>
      <c r="PTN253" s="9"/>
      <c r="PTO253" s="4"/>
      <c r="PTP253" s="9"/>
      <c r="PTQ253" s="4"/>
      <c r="PTR253" s="9"/>
      <c r="PTS253" s="4"/>
      <c r="PTT253" s="9"/>
      <c r="PTU253" s="4"/>
      <c r="PTV253" s="9"/>
      <c r="PTW253" s="4"/>
      <c r="PTX253" s="9"/>
      <c r="PTY253" s="4"/>
      <c r="PTZ253" s="9"/>
      <c r="PUA253" s="4"/>
      <c r="PUB253" s="9"/>
      <c r="PUC253" s="4"/>
      <c r="PUD253" s="9"/>
      <c r="PUE253" s="4"/>
      <c r="PUF253" s="9"/>
      <c r="PUG253" s="4"/>
      <c r="PUH253" s="9"/>
      <c r="PUI253" s="4"/>
      <c r="PUJ253" s="9"/>
      <c r="PUK253" s="4"/>
      <c r="PUL253" s="9"/>
      <c r="PUM253" s="4"/>
      <c r="PUN253" s="9"/>
      <c r="PUO253" s="4"/>
      <c r="PUP253" s="9"/>
      <c r="PUQ253" s="4"/>
      <c r="PUR253" s="9"/>
      <c r="PUS253" s="4"/>
      <c r="PUT253" s="9"/>
      <c r="PUU253" s="4"/>
      <c r="PUV253" s="9"/>
      <c r="PUW253" s="4"/>
      <c r="PUX253" s="9"/>
      <c r="PUY253" s="4"/>
      <c r="PUZ253" s="9"/>
      <c r="PVA253" s="4"/>
      <c r="PVB253" s="9"/>
      <c r="PVC253" s="4"/>
      <c r="PVD253" s="9"/>
      <c r="PVE253" s="4"/>
      <c r="PVF253" s="9"/>
      <c r="PVG253" s="4"/>
      <c r="PVH253" s="9"/>
      <c r="PVI253" s="4"/>
      <c r="PVJ253" s="9"/>
      <c r="PVK253" s="4"/>
      <c r="PVL253" s="9"/>
      <c r="PVM253" s="4"/>
      <c r="PVN253" s="9"/>
      <c r="PVO253" s="4"/>
      <c r="PVP253" s="9"/>
      <c r="PVQ253" s="4"/>
      <c r="PVR253" s="9"/>
      <c r="PVS253" s="4"/>
      <c r="PVT253" s="9"/>
      <c r="PVU253" s="4"/>
      <c r="PVV253" s="9"/>
      <c r="PVW253" s="4"/>
      <c r="PVX253" s="9"/>
      <c r="PVY253" s="4"/>
      <c r="PVZ253" s="9"/>
      <c r="PWA253" s="4"/>
      <c r="PWB253" s="9"/>
      <c r="PWC253" s="4"/>
      <c r="PWD253" s="9"/>
      <c r="PWE253" s="4"/>
      <c r="PWF253" s="9"/>
      <c r="PWG253" s="4"/>
      <c r="PWH253" s="9"/>
      <c r="PWI253" s="4"/>
      <c r="PWJ253" s="9"/>
      <c r="PWK253" s="4"/>
      <c r="PWL253" s="9"/>
      <c r="PWM253" s="4"/>
      <c r="PWN253" s="9"/>
      <c r="PWO253" s="4"/>
      <c r="PWP253" s="9"/>
      <c r="PWQ253" s="4"/>
      <c r="PWR253" s="9"/>
      <c r="PWS253" s="4"/>
      <c r="PWT253" s="9"/>
      <c r="PWU253" s="4"/>
      <c r="PWV253" s="9"/>
      <c r="PWW253" s="4"/>
      <c r="PWX253" s="9"/>
      <c r="PWY253" s="4"/>
      <c r="PWZ253" s="9"/>
      <c r="PXA253" s="4"/>
      <c r="PXB253" s="9"/>
      <c r="PXC253" s="4"/>
      <c r="PXD253" s="9"/>
      <c r="PXE253" s="4"/>
      <c r="PXF253" s="9"/>
      <c r="PXG253" s="4"/>
      <c r="PXH253" s="9"/>
      <c r="PXI253" s="4"/>
      <c r="PXJ253" s="9"/>
      <c r="PXK253" s="4"/>
      <c r="PXL253" s="9"/>
      <c r="PXM253" s="4"/>
      <c r="PXN253" s="9"/>
      <c r="PXO253" s="4"/>
      <c r="PXP253" s="9"/>
      <c r="PXQ253" s="4"/>
      <c r="PXR253" s="9"/>
      <c r="PXS253" s="4"/>
      <c r="PXT253" s="9"/>
      <c r="PXU253" s="4"/>
      <c r="PXV253" s="9"/>
      <c r="PXW253" s="4"/>
      <c r="PXX253" s="9"/>
      <c r="PXY253" s="4"/>
      <c r="PXZ253" s="9"/>
      <c r="PYA253" s="4"/>
      <c r="PYB253" s="9"/>
      <c r="PYC253" s="4"/>
      <c r="PYD253" s="9"/>
      <c r="PYE253" s="4"/>
      <c r="PYF253" s="9"/>
      <c r="PYG253" s="4"/>
      <c r="PYH253" s="9"/>
      <c r="PYI253" s="4"/>
      <c r="PYJ253" s="9"/>
      <c r="PYK253" s="4"/>
      <c r="PYL253" s="9"/>
      <c r="PYM253" s="4"/>
      <c r="PYN253" s="9"/>
      <c r="PYO253" s="4"/>
      <c r="PYP253" s="9"/>
      <c r="PYQ253" s="4"/>
      <c r="PYR253" s="9"/>
      <c r="PYS253" s="4"/>
      <c r="PYT253" s="9"/>
      <c r="PYU253" s="4"/>
      <c r="PYV253" s="9"/>
      <c r="PYW253" s="4"/>
      <c r="PYX253" s="9"/>
      <c r="PYY253" s="4"/>
      <c r="PYZ253" s="9"/>
      <c r="PZA253" s="4"/>
      <c r="PZB253" s="9"/>
      <c r="PZC253" s="4"/>
      <c r="PZD253" s="9"/>
      <c r="PZE253" s="4"/>
      <c r="PZF253" s="9"/>
      <c r="PZG253" s="4"/>
      <c r="PZH253" s="9"/>
      <c r="PZI253" s="4"/>
      <c r="PZJ253" s="9"/>
      <c r="PZK253" s="4"/>
      <c r="PZL253" s="9"/>
      <c r="PZM253" s="4"/>
      <c r="PZN253" s="9"/>
      <c r="PZO253" s="4"/>
      <c r="PZP253" s="9"/>
      <c r="PZQ253" s="4"/>
      <c r="PZR253" s="9"/>
      <c r="PZS253" s="4"/>
      <c r="PZT253" s="9"/>
      <c r="PZU253" s="4"/>
      <c r="PZV253" s="9"/>
      <c r="PZW253" s="4"/>
      <c r="PZX253" s="9"/>
      <c r="PZY253" s="4"/>
      <c r="PZZ253" s="9"/>
      <c r="QAA253" s="4"/>
      <c r="QAB253" s="9"/>
      <c r="QAC253" s="4"/>
      <c r="QAD253" s="9"/>
      <c r="QAE253" s="4"/>
      <c r="QAF253" s="9"/>
      <c r="QAG253" s="4"/>
      <c r="QAH253" s="9"/>
      <c r="QAI253" s="4"/>
      <c r="QAJ253" s="9"/>
      <c r="QAK253" s="4"/>
      <c r="QAL253" s="9"/>
      <c r="QAM253" s="4"/>
      <c r="QAN253" s="9"/>
      <c r="QAO253" s="4"/>
      <c r="QAP253" s="9"/>
      <c r="QAQ253" s="4"/>
      <c r="QAR253" s="9"/>
      <c r="QAS253" s="4"/>
      <c r="QAT253" s="9"/>
      <c r="QAU253" s="4"/>
      <c r="QAV253" s="9"/>
      <c r="QAW253" s="4"/>
      <c r="QAX253" s="9"/>
      <c r="QAY253" s="4"/>
      <c r="QAZ253" s="9"/>
      <c r="QBA253" s="4"/>
      <c r="QBB253" s="9"/>
      <c r="QBC253" s="4"/>
      <c r="QBD253" s="9"/>
      <c r="QBE253" s="4"/>
      <c r="QBF253" s="9"/>
      <c r="QBG253" s="4"/>
      <c r="QBH253" s="9"/>
      <c r="QBI253" s="4"/>
      <c r="QBJ253" s="9"/>
      <c r="QBK253" s="4"/>
      <c r="QBL253" s="9"/>
      <c r="QBM253" s="4"/>
      <c r="QBN253" s="9"/>
      <c r="QBO253" s="4"/>
      <c r="QBP253" s="9"/>
      <c r="QBQ253" s="4"/>
      <c r="QBR253" s="9"/>
      <c r="QBS253" s="4"/>
      <c r="QBT253" s="9"/>
      <c r="QBU253" s="4"/>
      <c r="QBV253" s="9"/>
      <c r="QBW253" s="4"/>
      <c r="QBX253" s="9"/>
      <c r="QBY253" s="4"/>
      <c r="QBZ253" s="9"/>
      <c r="QCA253" s="4"/>
      <c r="QCB253" s="9"/>
      <c r="QCC253" s="4"/>
      <c r="QCD253" s="9"/>
      <c r="QCE253" s="4"/>
      <c r="QCF253" s="9"/>
      <c r="QCG253" s="4"/>
      <c r="QCH253" s="9"/>
      <c r="QCI253" s="4"/>
      <c r="QCJ253" s="9"/>
      <c r="QCK253" s="4"/>
      <c r="QCL253" s="9"/>
      <c r="QCM253" s="4"/>
      <c r="QCN253" s="9"/>
      <c r="QCO253" s="4"/>
      <c r="QCP253" s="9"/>
      <c r="QCQ253" s="4"/>
      <c r="QCR253" s="9"/>
      <c r="QCS253" s="4"/>
      <c r="QCT253" s="9"/>
      <c r="QCU253" s="4"/>
      <c r="QCV253" s="9"/>
      <c r="QCW253" s="4"/>
      <c r="QCX253" s="9"/>
      <c r="QCY253" s="4"/>
      <c r="QCZ253" s="9"/>
      <c r="QDA253" s="4"/>
      <c r="QDB253" s="9"/>
      <c r="QDC253" s="4"/>
      <c r="QDD253" s="9"/>
      <c r="QDE253" s="4"/>
      <c r="QDF253" s="9"/>
      <c r="QDG253" s="4"/>
      <c r="QDH253" s="9"/>
      <c r="QDI253" s="4"/>
      <c r="QDJ253" s="9"/>
      <c r="QDK253" s="4"/>
      <c r="QDL253" s="9"/>
      <c r="QDM253" s="4"/>
      <c r="QDN253" s="9"/>
      <c r="QDO253" s="4"/>
      <c r="QDP253" s="9"/>
      <c r="QDQ253" s="4"/>
      <c r="QDR253" s="9"/>
      <c r="QDS253" s="4"/>
      <c r="QDT253" s="9"/>
      <c r="QDU253" s="4"/>
      <c r="QDV253" s="9"/>
      <c r="QDW253" s="4"/>
      <c r="QDX253" s="9"/>
      <c r="QDY253" s="4"/>
      <c r="QDZ253" s="9"/>
      <c r="QEA253" s="4"/>
      <c r="QEB253" s="9"/>
      <c r="QEC253" s="4"/>
      <c r="QED253" s="9"/>
      <c r="QEE253" s="4"/>
      <c r="QEF253" s="9"/>
      <c r="QEG253" s="4"/>
      <c r="QEH253" s="9"/>
      <c r="QEI253" s="4"/>
      <c r="QEJ253" s="9"/>
      <c r="QEK253" s="4"/>
      <c r="QEL253" s="9"/>
      <c r="QEM253" s="4"/>
      <c r="QEN253" s="9"/>
      <c r="QEO253" s="4"/>
      <c r="QEP253" s="9"/>
      <c r="QEQ253" s="4"/>
      <c r="QER253" s="9"/>
      <c r="QES253" s="4"/>
      <c r="QET253" s="9"/>
      <c r="QEU253" s="4"/>
      <c r="QEV253" s="9"/>
      <c r="QEW253" s="4"/>
      <c r="QEX253" s="9"/>
      <c r="QEY253" s="4"/>
      <c r="QEZ253" s="9"/>
      <c r="QFA253" s="4"/>
      <c r="QFB253" s="9"/>
      <c r="QFC253" s="4"/>
      <c r="QFD253" s="9"/>
      <c r="QFE253" s="4"/>
      <c r="QFF253" s="9"/>
      <c r="QFG253" s="4"/>
      <c r="QFH253" s="9"/>
      <c r="QFI253" s="4"/>
      <c r="QFJ253" s="9"/>
      <c r="QFK253" s="4"/>
      <c r="QFL253" s="9"/>
      <c r="QFM253" s="4"/>
      <c r="QFN253" s="9"/>
      <c r="QFO253" s="4"/>
      <c r="QFP253" s="9"/>
      <c r="QFQ253" s="4"/>
      <c r="QFR253" s="9"/>
      <c r="QFS253" s="4"/>
      <c r="QFT253" s="9"/>
      <c r="QFU253" s="4"/>
      <c r="QFV253" s="9"/>
      <c r="QFW253" s="4"/>
      <c r="QFX253" s="9"/>
      <c r="QFY253" s="4"/>
      <c r="QFZ253" s="9"/>
      <c r="QGA253" s="4"/>
      <c r="QGB253" s="9"/>
      <c r="QGC253" s="4"/>
      <c r="QGD253" s="9"/>
      <c r="QGE253" s="4"/>
      <c r="QGF253" s="9"/>
      <c r="QGG253" s="4"/>
      <c r="QGH253" s="9"/>
      <c r="QGI253" s="4"/>
      <c r="QGJ253" s="9"/>
      <c r="QGK253" s="4"/>
      <c r="QGL253" s="9"/>
      <c r="QGM253" s="4"/>
      <c r="QGN253" s="9"/>
      <c r="QGO253" s="4"/>
      <c r="QGP253" s="9"/>
      <c r="QGQ253" s="4"/>
      <c r="QGR253" s="9"/>
      <c r="QGS253" s="4"/>
      <c r="QGT253" s="9"/>
      <c r="QGU253" s="4"/>
      <c r="QGV253" s="9"/>
      <c r="QGW253" s="4"/>
      <c r="QGX253" s="9"/>
      <c r="QGY253" s="4"/>
      <c r="QGZ253" s="9"/>
      <c r="QHA253" s="4"/>
      <c r="QHB253" s="9"/>
      <c r="QHC253" s="4"/>
      <c r="QHD253" s="9"/>
      <c r="QHE253" s="4"/>
      <c r="QHF253" s="9"/>
      <c r="QHG253" s="4"/>
      <c r="QHH253" s="9"/>
      <c r="QHI253" s="4"/>
      <c r="QHJ253" s="9"/>
      <c r="QHK253" s="4"/>
      <c r="QHL253" s="9"/>
      <c r="QHM253" s="4"/>
      <c r="QHN253" s="9"/>
      <c r="QHO253" s="4"/>
      <c r="QHP253" s="9"/>
      <c r="QHQ253" s="4"/>
      <c r="QHR253" s="9"/>
      <c r="QHS253" s="4"/>
      <c r="QHT253" s="9"/>
      <c r="QHU253" s="4"/>
      <c r="QHV253" s="9"/>
      <c r="QHW253" s="4"/>
      <c r="QHX253" s="9"/>
      <c r="QHY253" s="4"/>
      <c r="QHZ253" s="9"/>
      <c r="QIA253" s="4"/>
      <c r="QIB253" s="9"/>
      <c r="QIC253" s="4"/>
      <c r="QID253" s="9"/>
      <c r="QIE253" s="4"/>
      <c r="QIF253" s="9"/>
      <c r="QIG253" s="4"/>
      <c r="QIH253" s="9"/>
      <c r="QII253" s="4"/>
      <c r="QIJ253" s="9"/>
      <c r="QIK253" s="4"/>
      <c r="QIL253" s="9"/>
      <c r="QIM253" s="4"/>
      <c r="QIN253" s="9"/>
      <c r="QIO253" s="4"/>
      <c r="QIP253" s="9"/>
      <c r="QIQ253" s="4"/>
      <c r="QIR253" s="9"/>
      <c r="QIS253" s="4"/>
      <c r="QIT253" s="9"/>
      <c r="QIU253" s="4"/>
      <c r="QIV253" s="9"/>
      <c r="QIW253" s="4"/>
      <c r="QIX253" s="9"/>
      <c r="QIY253" s="4"/>
      <c r="QIZ253" s="9"/>
      <c r="QJA253" s="4"/>
      <c r="QJB253" s="9"/>
      <c r="QJC253" s="4"/>
      <c r="QJD253" s="9"/>
      <c r="QJE253" s="4"/>
      <c r="QJF253" s="9"/>
      <c r="QJG253" s="4"/>
      <c r="QJH253" s="9"/>
      <c r="QJI253" s="4"/>
      <c r="QJJ253" s="9"/>
      <c r="QJK253" s="4"/>
      <c r="QJL253" s="9"/>
      <c r="QJM253" s="4"/>
      <c r="QJN253" s="9"/>
      <c r="QJO253" s="4"/>
      <c r="QJP253" s="9"/>
      <c r="QJQ253" s="4"/>
      <c r="QJR253" s="9"/>
      <c r="QJS253" s="4"/>
      <c r="QJT253" s="9"/>
      <c r="QJU253" s="4"/>
      <c r="QJV253" s="9"/>
      <c r="QJW253" s="4"/>
      <c r="QJX253" s="9"/>
      <c r="QJY253" s="4"/>
      <c r="QJZ253" s="9"/>
      <c r="QKA253" s="4"/>
      <c r="QKB253" s="9"/>
      <c r="QKC253" s="4"/>
      <c r="QKD253" s="9"/>
      <c r="QKE253" s="4"/>
      <c r="QKF253" s="9"/>
      <c r="QKG253" s="4"/>
      <c r="QKH253" s="9"/>
      <c r="QKI253" s="4"/>
      <c r="QKJ253" s="9"/>
      <c r="QKK253" s="4"/>
      <c r="QKL253" s="9"/>
      <c r="QKM253" s="4"/>
      <c r="QKN253" s="9"/>
      <c r="QKO253" s="4"/>
      <c r="QKP253" s="9"/>
      <c r="QKQ253" s="4"/>
      <c r="QKR253" s="9"/>
      <c r="QKS253" s="4"/>
      <c r="QKT253" s="9"/>
      <c r="QKU253" s="4"/>
      <c r="QKV253" s="9"/>
      <c r="QKW253" s="4"/>
      <c r="QKX253" s="9"/>
      <c r="QKY253" s="4"/>
      <c r="QKZ253" s="9"/>
      <c r="QLA253" s="4"/>
      <c r="QLB253" s="9"/>
      <c r="QLC253" s="4"/>
      <c r="QLD253" s="9"/>
      <c r="QLE253" s="4"/>
      <c r="QLF253" s="9"/>
      <c r="QLG253" s="4"/>
      <c r="QLH253" s="9"/>
      <c r="QLI253" s="4"/>
      <c r="QLJ253" s="9"/>
      <c r="QLK253" s="4"/>
      <c r="QLL253" s="9"/>
      <c r="QLM253" s="4"/>
      <c r="QLN253" s="9"/>
      <c r="QLO253" s="4"/>
      <c r="QLP253" s="9"/>
      <c r="QLQ253" s="4"/>
      <c r="QLR253" s="9"/>
      <c r="QLS253" s="4"/>
      <c r="QLT253" s="9"/>
      <c r="QLU253" s="4"/>
      <c r="QLV253" s="9"/>
      <c r="QLW253" s="4"/>
      <c r="QLX253" s="9"/>
      <c r="QLY253" s="4"/>
      <c r="QLZ253" s="9"/>
      <c r="QMA253" s="4"/>
      <c r="QMB253" s="9"/>
      <c r="QMC253" s="4"/>
      <c r="QMD253" s="9"/>
      <c r="QME253" s="4"/>
      <c r="QMF253" s="9"/>
      <c r="QMG253" s="4"/>
      <c r="QMH253" s="9"/>
      <c r="QMI253" s="4"/>
      <c r="QMJ253" s="9"/>
      <c r="QMK253" s="4"/>
      <c r="QML253" s="9"/>
      <c r="QMM253" s="4"/>
      <c r="QMN253" s="9"/>
      <c r="QMO253" s="4"/>
      <c r="QMP253" s="9"/>
      <c r="QMQ253" s="4"/>
      <c r="QMR253" s="9"/>
      <c r="QMS253" s="4"/>
      <c r="QMT253" s="9"/>
      <c r="QMU253" s="4"/>
      <c r="QMV253" s="9"/>
      <c r="QMW253" s="4"/>
      <c r="QMX253" s="9"/>
      <c r="QMY253" s="4"/>
      <c r="QMZ253" s="9"/>
      <c r="QNA253" s="4"/>
      <c r="QNB253" s="9"/>
      <c r="QNC253" s="4"/>
      <c r="QND253" s="9"/>
      <c r="QNE253" s="4"/>
      <c r="QNF253" s="9"/>
      <c r="QNG253" s="4"/>
      <c r="QNH253" s="9"/>
      <c r="QNI253" s="4"/>
      <c r="QNJ253" s="9"/>
      <c r="QNK253" s="4"/>
      <c r="QNL253" s="9"/>
      <c r="QNM253" s="4"/>
      <c r="QNN253" s="9"/>
      <c r="QNO253" s="4"/>
      <c r="QNP253" s="9"/>
      <c r="QNQ253" s="4"/>
      <c r="QNR253" s="9"/>
      <c r="QNS253" s="4"/>
      <c r="QNT253" s="9"/>
      <c r="QNU253" s="4"/>
      <c r="QNV253" s="9"/>
      <c r="QNW253" s="4"/>
      <c r="QNX253" s="9"/>
      <c r="QNY253" s="4"/>
      <c r="QNZ253" s="9"/>
      <c r="QOA253" s="4"/>
      <c r="QOB253" s="9"/>
      <c r="QOC253" s="4"/>
      <c r="QOD253" s="9"/>
      <c r="QOE253" s="4"/>
      <c r="QOF253" s="9"/>
      <c r="QOG253" s="4"/>
      <c r="QOH253" s="9"/>
      <c r="QOI253" s="4"/>
      <c r="QOJ253" s="9"/>
      <c r="QOK253" s="4"/>
      <c r="QOL253" s="9"/>
      <c r="QOM253" s="4"/>
      <c r="QON253" s="9"/>
      <c r="QOO253" s="4"/>
      <c r="QOP253" s="9"/>
      <c r="QOQ253" s="4"/>
      <c r="QOR253" s="9"/>
      <c r="QOS253" s="4"/>
      <c r="QOT253" s="9"/>
      <c r="QOU253" s="4"/>
      <c r="QOV253" s="9"/>
      <c r="QOW253" s="4"/>
      <c r="QOX253" s="9"/>
      <c r="QOY253" s="4"/>
      <c r="QOZ253" s="9"/>
      <c r="QPA253" s="4"/>
      <c r="QPB253" s="9"/>
      <c r="QPC253" s="4"/>
      <c r="QPD253" s="9"/>
      <c r="QPE253" s="4"/>
      <c r="QPF253" s="9"/>
      <c r="QPG253" s="4"/>
      <c r="QPH253" s="9"/>
      <c r="QPI253" s="4"/>
      <c r="QPJ253" s="9"/>
      <c r="QPK253" s="4"/>
      <c r="QPL253" s="9"/>
      <c r="QPM253" s="4"/>
      <c r="QPN253" s="9"/>
      <c r="QPO253" s="4"/>
      <c r="QPP253" s="9"/>
      <c r="QPQ253" s="4"/>
      <c r="QPR253" s="9"/>
      <c r="QPS253" s="4"/>
      <c r="QPT253" s="9"/>
      <c r="QPU253" s="4"/>
      <c r="QPV253" s="9"/>
      <c r="QPW253" s="4"/>
      <c r="QPX253" s="9"/>
      <c r="QPY253" s="4"/>
      <c r="QPZ253" s="9"/>
      <c r="QQA253" s="4"/>
      <c r="QQB253" s="9"/>
      <c r="QQC253" s="4"/>
      <c r="QQD253" s="9"/>
      <c r="QQE253" s="4"/>
      <c r="QQF253" s="9"/>
      <c r="QQG253" s="4"/>
      <c r="QQH253" s="9"/>
      <c r="QQI253" s="4"/>
      <c r="QQJ253" s="9"/>
      <c r="QQK253" s="4"/>
      <c r="QQL253" s="9"/>
      <c r="QQM253" s="4"/>
      <c r="QQN253" s="9"/>
      <c r="QQO253" s="4"/>
      <c r="QQP253" s="9"/>
      <c r="QQQ253" s="4"/>
      <c r="QQR253" s="9"/>
      <c r="QQS253" s="4"/>
      <c r="QQT253" s="9"/>
      <c r="QQU253" s="4"/>
      <c r="QQV253" s="9"/>
      <c r="QQW253" s="4"/>
      <c r="QQX253" s="9"/>
      <c r="QQY253" s="4"/>
      <c r="QQZ253" s="9"/>
      <c r="QRA253" s="4"/>
      <c r="QRB253" s="9"/>
      <c r="QRC253" s="4"/>
      <c r="QRD253" s="9"/>
      <c r="QRE253" s="4"/>
      <c r="QRF253" s="9"/>
      <c r="QRG253" s="4"/>
      <c r="QRH253" s="9"/>
      <c r="QRI253" s="4"/>
      <c r="QRJ253" s="9"/>
      <c r="QRK253" s="4"/>
      <c r="QRL253" s="9"/>
      <c r="QRM253" s="4"/>
      <c r="QRN253" s="9"/>
      <c r="QRO253" s="4"/>
      <c r="QRP253" s="9"/>
      <c r="QRQ253" s="4"/>
      <c r="QRR253" s="9"/>
      <c r="QRS253" s="4"/>
      <c r="QRT253" s="9"/>
      <c r="QRU253" s="4"/>
      <c r="QRV253" s="9"/>
      <c r="QRW253" s="4"/>
      <c r="QRX253" s="9"/>
      <c r="QRY253" s="4"/>
      <c r="QRZ253" s="9"/>
      <c r="QSA253" s="4"/>
      <c r="QSB253" s="9"/>
      <c r="QSC253" s="4"/>
      <c r="QSD253" s="9"/>
      <c r="QSE253" s="4"/>
      <c r="QSF253" s="9"/>
      <c r="QSG253" s="4"/>
      <c r="QSH253" s="9"/>
      <c r="QSI253" s="4"/>
      <c r="QSJ253" s="9"/>
      <c r="QSK253" s="4"/>
      <c r="QSL253" s="9"/>
      <c r="QSM253" s="4"/>
      <c r="QSN253" s="9"/>
      <c r="QSO253" s="4"/>
      <c r="QSP253" s="9"/>
      <c r="QSQ253" s="4"/>
      <c r="QSR253" s="9"/>
      <c r="QSS253" s="4"/>
      <c r="QST253" s="9"/>
      <c r="QSU253" s="4"/>
      <c r="QSV253" s="9"/>
      <c r="QSW253" s="4"/>
      <c r="QSX253" s="9"/>
      <c r="QSY253" s="4"/>
      <c r="QSZ253" s="9"/>
      <c r="QTA253" s="4"/>
      <c r="QTB253" s="9"/>
      <c r="QTC253" s="4"/>
      <c r="QTD253" s="9"/>
      <c r="QTE253" s="4"/>
      <c r="QTF253" s="9"/>
      <c r="QTG253" s="4"/>
      <c r="QTH253" s="9"/>
      <c r="QTI253" s="4"/>
      <c r="QTJ253" s="9"/>
      <c r="QTK253" s="4"/>
      <c r="QTL253" s="9"/>
      <c r="QTM253" s="4"/>
      <c r="QTN253" s="9"/>
      <c r="QTO253" s="4"/>
      <c r="QTP253" s="9"/>
      <c r="QTQ253" s="4"/>
      <c r="QTR253" s="9"/>
      <c r="QTS253" s="4"/>
      <c r="QTT253" s="9"/>
      <c r="QTU253" s="4"/>
      <c r="QTV253" s="9"/>
      <c r="QTW253" s="4"/>
      <c r="QTX253" s="9"/>
      <c r="QTY253" s="4"/>
      <c r="QTZ253" s="9"/>
      <c r="QUA253" s="4"/>
      <c r="QUB253" s="9"/>
      <c r="QUC253" s="4"/>
      <c r="QUD253" s="9"/>
      <c r="QUE253" s="4"/>
      <c r="QUF253" s="9"/>
      <c r="QUG253" s="4"/>
      <c r="QUH253" s="9"/>
      <c r="QUI253" s="4"/>
      <c r="QUJ253" s="9"/>
      <c r="QUK253" s="4"/>
      <c r="QUL253" s="9"/>
      <c r="QUM253" s="4"/>
      <c r="QUN253" s="9"/>
      <c r="QUO253" s="4"/>
      <c r="QUP253" s="9"/>
      <c r="QUQ253" s="4"/>
      <c r="QUR253" s="9"/>
      <c r="QUS253" s="4"/>
      <c r="QUT253" s="9"/>
      <c r="QUU253" s="4"/>
      <c r="QUV253" s="9"/>
      <c r="QUW253" s="4"/>
      <c r="QUX253" s="9"/>
      <c r="QUY253" s="4"/>
      <c r="QUZ253" s="9"/>
      <c r="QVA253" s="4"/>
      <c r="QVB253" s="9"/>
      <c r="QVC253" s="4"/>
      <c r="QVD253" s="9"/>
      <c r="QVE253" s="4"/>
      <c r="QVF253" s="9"/>
      <c r="QVG253" s="4"/>
      <c r="QVH253" s="9"/>
      <c r="QVI253" s="4"/>
      <c r="QVJ253" s="9"/>
      <c r="QVK253" s="4"/>
      <c r="QVL253" s="9"/>
      <c r="QVM253" s="4"/>
      <c r="QVN253" s="9"/>
      <c r="QVO253" s="4"/>
      <c r="QVP253" s="9"/>
      <c r="QVQ253" s="4"/>
      <c r="QVR253" s="9"/>
      <c r="QVS253" s="4"/>
      <c r="QVT253" s="9"/>
      <c r="QVU253" s="4"/>
      <c r="QVV253" s="9"/>
      <c r="QVW253" s="4"/>
      <c r="QVX253" s="9"/>
      <c r="QVY253" s="4"/>
      <c r="QVZ253" s="9"/>
      <c r="QWA253" s="4"/>
      <c r="QWB253" s="9"/>
      <c r="QWC253" s="4"/>
      <c r="QWD253" s="9"/>
      <c r="QWE253" s="4"/>
      <c r="QWF253" s="9"/>
      <c r="QWG253" s="4"/>
      <c r="QWH253" s="9"/>
      <c r="QWI253" s="4"/>
      <c r="QWJ253" s="9"/>
      <c r="QWK253" s="4"/>
      <c r="QWL253" s="9"/>
      <c r="QWM253" s="4"/>
      <c r="QWN253" s="9"/>
      <c r="QWO253" s="4"/>
      <c r="QWP253" s="9"/>
      <c r="QWQ253" s="4"/>
      <c r="QWR253" s="9"/>
      <c r="QWS253" s="4"/>
      <c r="QWT253" s="9"/>
      <c r="QWU253" s="4"/>
      <c r="QWV253" s="9"/>
      <c r="QWW253" s="4"/>
      <c r="QWX253" s="9"/>
      <c r="QWY253" s="4"/>
      <c r="QWZ253" s="9"/>
      <c r="QXA253" s="4"/>
      <c r="QXB253" s="9"/>
      <c r="QXC253" s="4"/>
      <c r="QXD253" s="9"/>
      <c r="QXE253" s="4"/>
      <c r="QXF253" s="9"/>
      <c r="QXG253" s="4"/>
      <c r="QXH253" s="9"/>
      <c r="QXI253" s="4"/>
      <c r="QXJ253" s="9"/>
      <c r="QXK253" s="4"/>
      <c r="QXL253" s="9"/>
      <c r="QXM253" s="4"/>
      <c r="QXN253" s="9"/>
      <c r="QXO253" s="4"/>
      <c r="QXP253" s="9"/>
      <c r="QXQ253" s="4"/>
      <c r="QXR253" s="9"/>
      <c r="QXS253" s="4"/>
      <c r="QXT253" s="9"/>
      <c r="QXU253" s="4"/>
      <c r="QXV253" s="9"/>
      <c r="QXW253" s="4"/>
      <c r="QXX253" s="9"/>
      <c r="QXY253" s="4"/>
      <c r="QXZ253" s="9"/>
      <c r="QYA253" s="4"/>
      <c r="QYB253" s="9"/>
      <c r="QYC253" s="4"/>
      <c r="QYD253" s="9"/>
      <c r="QYE253" s="4"/>
      <c r="QYF253" s="9"/>
      <c r="QYG253" s="4"/>
      <c r="QYH253" s="9"/>
      <c r="QYI253" s="4"/>
      <c r="QYJ253" s="9"/>
      <c r="QYK253" s="4"/>
      <c r="QYL253" s="9"/>
      <c r="QYM253" s="4"/>
      <c r="QYN253" s="9"/>
      <c r="QYO253" s="4"/>
      <c r="QYP253" s="9"/>
      <c r="QYQ253" s="4"/>
      <c r="QYR253" s="9"/>
      <c r="QYS253" s="4"/>
      <c r="QYT253" s="9"/>
      <c r="QYU253" s="4"/>
      <c r="QYV253" s="9"/>
      <c r="QYW253" s="4"/>
      <c r="QYX253" s="9"/>
      <c r="QYY253" s="4"/>
      <c r="QYZ253" s="9"/>
      <c r="QZA253" s="4"/>
      <c r="QZB253" s="9"/>
      <c r="QZC253" s="4"/>
      <c r="QZD253" s="9"/>
      <c r="QZE253" s="4"/>
      <c r="QZF253" s="9"/>
      <c r="QZG253" s="4"/>
      <c r="QZH253" s="9"/>
      <c r="QZI253" s="4"/>
      <c r="QZJ253" s="9"/>
      <c r="QZK253" s="4"/>
      <c r="QZL253" s="9"/>
      <c r="QZM253" s="4"/>
      <c r="QZN253" s="9"/>
      <c r="QZO253" s="4"/>
      <c r="QZP253" s="9"/>
      <c r="QZQ253" s="4"/>
      <c r="QZR253" s="9"/>
      <c r="QZS253" s="4"/>
      <c r="QZT253" s="9"/>
      <c r="QZU253" s="4"/>
      <c r="QZV253" s="9"/>
      <c r="QZW253" s="4"/>
      <c r="QZX253" s="9"/>
      <c r="QZY253" s="4"/>
      <c r="QZZ253" s="9"/>
      <c r="RAA253" s="4"/>
      <c r="RAB253" s="9"/>
      <c r="RAC253" s="4"/>
      <c r="RAD253" s="9"/>
      <c r="RAE253" s="4"/>
      <c r="RAF253" s="9"/>
      <c r="RAG253" s="4"/>
      <c r="RAH253" s="9"/>
      <c r="RAI253" s="4"/>
      <c r="RAJ253" s="9"/>
      <c r="RAK253" s="4"/>
      <c r="RAL253" s="9"/>
      <c r="RAM253" s="4"/>
      <c r="RAN253" s="9"/>
      <c r="RAO253" s="4"/>
      <c r="RAP253" s="9"/>
      <c r="RAQ253" s="4"/>
      <c r="RAR253" s="9"/>
      <c r="RAS253" s="4"/>
      <c r="RAT253" s="9"/>
      <c r="RAU253" s="4"/>
      <c r="RAV253" s="9"/>
      <c r="RAW253" s="4"/>
      <c r="RAX253" s="9"/>
      <c r="RAY253" s="4"/>
      <c r="RAZ253" s="9"/>
      <c r="RBA253" s="4"/>
      <c r="RBB253" s="9"/>
      <c r="RBC253" s="4"/>
      <c r="RBD253" s="9"/>
      <c r="RBE253" s="4"/>
      <c r="RBF253" s="9"/>
      <c r="RBG253" s="4"/>
      <c r="RBH253" s="9"/>
      <c r="RBI253" s="4"/>
      <c r="RBJ253" s="9"/>
      <c r="RBK253" s="4"/>
      <c r="RBL253" s="9"/>
      <c r="RBM253" s="4"/>
      <c r="RBN253" s="9"/>
      <c r="RBO253" s="4"/>
      <c r="RBP253" s="9"/>
      <c r="RBQ253" s="4"/>
      <c r="RBR253" s="9"/>
      <c r="RBS253" s="4"/>
      <c r="RBT253" s="9"/>
      <c r="RBU253" s="4"/>
      <c r="RBV253" s="9"/>
      <c r="RBW253" s="4"/>
      <c r="RBX253" s="9"/>
      <c r="RBY253" s="4"/>
      <c r="RBZ253" s="9"/>
      <c r="RCA253" s="4"/>
      <c r="RCB253" s="9"/>
      <c r="RCC253" s="4"/>
      <c r="RCD253" s="9"/>
      <c r="RCE253" s="4"/>
      <c r="RCF253" s="9"/>
      <c r="RCG253" s="4"/>
      <c r="RCH253" s="9"/>
      <c r="RCI253" s="4"/>
      <c r="RCJ253" s="9"/>
      <c r="RCK253" s="4"/>
      <c r="RCL253" s="9"/>
      <c r="RCM253" s="4"/>
      <c r="RCN253" s="9"/>
      <c r="RCO253" s="4"/>
      <c r="RCP253" s="9"/>
      <c r="RCQ253" s="4"/>
      <c r="RCR253" s="9"/>
      <c r="RCS253" s="4"/>
      <c r="RCT253" s="9"/>
      <c r="RCU253" s="4"/>
      <c r="RCV253" s="9"/>
      <c r="RCW253" s="4"/>
      <c r="RCX253" s="9"/>
      <c r="RCY253" s="4"/>
      <c r="RCZ253" s="9"/>
      <c r="RDA253" s="4"/>
      <c r="RDB253" s="9"/>
      <c r="RDC253" s="4"/>
      <c r="RDD253" s="9"/>
      <c r="RDE253" s="4"/>
      <c r="RDF253" s="9"/>
      <c r="RDG253" s="4"/>
      <c r="RDH253" s="9"/>
      <c r="RDI253" s="4"/>
      <c r="RDJ253" s="9"/>
      <c r="RDK253" s="4"/>
      <c r="RDL253" s="9"/>
      <c r="RDM253" s="4"/>
      <c r="RDN253" s="9"/>
      <c r="RDO253" s="4"/>
      <c r="RDP253" s="9"/>
      <c r="RDQ253" s="4"/>
      <c r="RDR253" s="9"/>
      <c r="RDS253" s="4"/>
      <c r="RDT253" s="9"/>
      <c r="RDU253" s="4"/>
      <c r="RDV253" s="9"/>
      <c r="RDW253" s="4"/>
      <c r="RDX253" s="9"/>
      <c r="RDY253" s="4"/>
      <c r="RDZ253" s="9"/>
      <c r="REA253" s="4"/>
      <c r="REB253" s="9"/>
      <c r="REC253" s="4"/>
      <c r="RED253" s="9"/>
      <c r="REE253" s="4"/>
      <c r="REF253" s="9"/>
      <c r="REG253" s="4"/>
      <c r="REH253" s="9"/>
      <c r="REI253" s="4"/>
      <c r="REJ253" s="9"/>
      <c r="REK253" s="4"/>
      <c r="REL253" s="9"/>
      <c r="REM253" s="4"/>
      <c r="REN253" s="9"/>
      <c r="REO253" s="4"/>
      <c r="REP253" s="9"/>
      <c r="REQ253" s="4"/>
      <c r="RER253" s="9"/>
      <c r="RES253" s="4"/>
      <c r="RET253" s="9"/>
      <c r="REU253" s="4"/>
      <c r="REV253" s="9"/>
      <c r="REW253" s="4"/>
      <c r="REX253" s="9"/>
      <c r="REY253" s="4"/>
      <c r="REZ253" s="9"/>
      <c r="RFA253" s="4"/>
      <c r="RFB253" s="9"/>
      <c r="RFC253" s="4"/>
      <c r="RFD253" s="9"/>
      <c r="RFE253" s="4"/>
      <c r="RFF253" s="9"/>
      <c r="RFG253" s="4"/>
      <c r="RFH253" s="9"/>
      <c r="RFI253" s="4"/>
      <c r="RFJ253" s="9"/>
      <c r="RFK253" s="4"/>
      <c r="RFL253" s="9"/>
      <c r="RFM253" s="4"/>
      <c r="RFN253" s="9"/>
      <c r="RFO253" s="4"/>
      <c r="RFP253" s="9"/>
      <c r="RFQ253" s="4"/>
      <c r="RFR253" s="9"/>
      <c r="RFS253" s="4"/>
      <c r="RFT253" s="9"/>
      <c r="RFU253" s="4"/>
      <c r="RFV253" s="9"/>
      <c r="RFW253" s="4"/>
      <c r="RFX253" s="9"/>
      <c r="RFY253" s="4"/>
      <c r="RFZ253" s="9"/>
      <c r="RGA253" s="4"/>
      <c r="RGB253" s="9"/>
      <c r="RGC253" s="4"/>
      <c r="RGD253" s="9"/>
      <c r="RGE253" s="4"/>
      <c r="RGF253" s="9"/>
      <c r="RGG253" s="4"/>
      <c r="RGH253" s="9"/>
      <c r="RGI253" s="4"/>
      <c r="RGJ253" s="9"/>
      <c r="RGK253" s="4"/>
      <c r="RGL253" s="9"/>
      <c r="RGM253" s="4"/>
      <c r="RGN253" s="9"/>
      <c r="RGO253" s="4"/>
      <c r="RGP253" s="9"/>
      <c r="RGQ253" s="4"/>
      <c r="RGR253" s="9"/>
      <c r="RGS253" s="4"/>
      <c r="RGT253" s="9"/>
      <c r="RGU253" s="4"/>
      <c r="RGV253" s="9"/>
      <c r="RGW253" s="4"/>
      <c r="RGX253" s="9"/>
      <c r="RGY253" s="4"/>
      <c r="RGZ253" s="9"/>
      <c r="RHA253" s="4"/>
      <c r="RHB253" s="9"/>
      <c r="RHC253" s="4"/>
      <c r="RHD253" s="9"/>
      <c r="RHE253" s="4"/>
      <c r="RHF253" s="9"/>
      <c r="RHG253" s="4"/>
      <c r="RHH253" s="9"/>
      <c r="RHI253" s="4"/>
      <c r="RHJ253" s="9"/>
      <c r="RHK253" s="4"/>
      <c r="RHL253" s="9"/>
      <c r="RHM253" s="4"/>
      <c r="RHN253" s="9"/>
      <c r="RHO253" s="4"/>
      <c r="RHP253" s="9"/>
      <c r="RHQ253" s="4"/>
      <c r="RHR253" s="9"/>
      <c r="RHS253" s="4"/>
      <c r="RHT253" s="9"/>
      <c r="RHU253" s="4"/>
      <c r="RHV253" s="9"/>
      <c r="RHW253" s="4"/>
      <c r="RHX253" s="9"/>
      <c r="RHY253" s="4"/>
      <c r="RHZ253" s="9"/>
      <c r="RIA253" s="4"/>
      <c r="RIB253" s="9"/>
      <c r="RIC253" s="4"/>
      <c r="RID253" s="9"/>
      <c r="RIE253" s="4"/>
      <c r="RIF253" s="9"/>
      <c r="RIG253" s="4"/>
      <c r="RIH253" s="9"/>
      <c r="RII253" s="4"/>
      <c r="RIJ253" s="9"/>
      <c r="RIK253" s="4"/>
      <c r="RIL253" s="9"/>
      <c r="RIM253" s="4"/>
      <c r="RIN253" s="9"/>
      <c r="RIO253" s="4"/>
      <c r="RIP253" s="9"/>
      <c r="RIQ253" s="4"/>
      <c r="RIR253" s="9"/>
      <c r="RIS253" s="4"/>
      <c r="RIT253" s="9"/>
      <c r="RIU253" s="4"/>
      <c r="RIV253" s="9"/>
      <c r="RIW253" s="4"/>
      <c r="RIX253" s="9"/>
      <c r="RIY253" s="4"/>
      <c r="RIZ253" s="9"/>
      <c r="RJA253" s="4"/>
      <c r="RJB253" s="9"/>
      <c r="RJC253" s="4"/>
      <c r="RJD253" s="9"/>
      <c r="RJE253" s="4"/>
      <c r="RJF253" s="9"/>
      <c r="RJG253" s="4"/>
      <c r="RJH253" s="9"/>
      <c r="RJI253" s="4"/>
      <c r="RJJ253" s="9"/>
      <c r="RJK253" s="4"/>
      <c r="RJL253" s="9"/>
      <c r="RJM253" s="4"/>
      <c r="RJN253" s="9"/>
      <c r="RJO253" s="4"/>
      <c r="RJP253" s="9"/>
      <c r="RJQ253" s="4"/>
      <c r="RJR253" s="9"/>
      <c r="RJS253" s="4"/>
      <c r="RJT253" s="9"/>
      <c r="RJU253" s="4"/>
      <c r="RJV253" s="9"/>
      <c r="RJW253" s="4"/>
      <c r="RJX253" s="9"/>
      <c r="RJY253" s="4"/>
      <c r="RJZ253" s="9"/>
      <c r="RKA253" s="4"/>
      <c r="RKB253" s="9"/>
      <c r="RKC253" s="4"/>
      <c r="RKD253" s="9"/>
      <c r="RKE253" s="4"/>
      <c r="RKF253" s="9"/>
      <c r="RKG253" s="4"/>
      <c r="RKH253" s="9"/>
      <c r="RKI253" s="4"/>
      <c r="RKJ253" s="9"/>
      <c r="RKK253" s="4"/>
      <c r="RKL253" s="9"/>
      <c r="RKM253" s="4"/>
      <c r="RKN253" s="9"/>
      <c r="RKO253" s="4"/>
      <c r="RKP253" s="9"/>
      <c r="RKQ253" s="4"/>
      <c r="RKR253" s="9"/>
      <c r="RKS253" s="4"/>
      <c r="RKT253" s="9"/>
      <c r="RKU253" s="4"/>
      <c r="RKV253" s="9"/>
      <c r="RKW253" s="4"/>
      <c r="RKX253" s="9"/>
      <c r="RKY253" s="4"/>
      <c r="RKZ253" s="9"/>
      <c r="RLA253" s="4"/>
      <c r="RLB253" s="9"/>
      <c r="RLC253" s="4"/>
      <c r="RLD253" s="9"/>
      <c r="RLE253" s="4"/>
      <c r="RLF253" s="9"/>
      <c r="RLG253" s="4"/>
      <c r="RLH253" s="9"/>
      <c r="RLI253" s="4"/>
      <c r="RLJ253" s="9"/>
      <c r="RLK253" s="4"/>
      <c r="RLL253" s="9"/>
      <c r="RLM253" s="4"/>
      <c r="RLN253" s="9"/>
      <c r="RLO253" s="4"/>
      <c r="RLP253" s="9"/>
      <c r="RLQ253" s="4"/>
      <c r="RLR253" s="9"/>
      <c r="RLS253" s="4"/>
      <c r="RLT253" s="9"/>
      <c r="RLU253" s="4"/>
      <c r="RLV253" s="9"/>
      <c r="RLW253" s="4"/>
      <c r="RLX253" s="9"/>
      <c r="RLY253" s="4"/>
      <c r="RLZ253" s="9"/>
      <c r="RMA253" s="4"/>
      <c r="RMB253" s="9"/>
      <c r="RMC253" s="4"/>
      <c r="RMD253" s="9"/>
      <c r="RME253" s="4"/>
      <c r="RMF253" s="9"/>
      <c r="RMG253" s="4"/>
      <c r="RMH253" s="9"/>
      <c r="RMI253" s="4"/>
      <c r="RMJ253" s="9"/>
      <c r="RMK253" s="4"/>
      <c r="RML253" s="9"/>
      <c r="RMM253" s="4"/>
      <c r="RMN253" s="9"/>
      <c r="RMO253" s="4"/>
      <c r="RMP253" s="9"/>
      <c r="RMQ253" s="4"/>
      <c r="RMR253" s="9"/>
      <c r="RMS253" s="4"/>
      <c r="RMT253" s="9"/>
      <c r="RMU253" s="4"/>
      <c r="RMV253" s="9"/>
      <c r="RMW253" s="4"/>
      <c r="RMX253" s="9"/>
      <c r="RMY253" s="4"/>
      <c r="RMZ253" s="9"/>
      <c r="RNA253" s="4"/>
      <c r="RNB253" s="9"/>
      <c r="RNC253" s="4"/>
      <c r="RND253" s="9"/>
      <c r="RNE253" s="4"/>
      <c r="RNF253" s="9"/>
      <c r="RNG253" s="4"/>
      <c r="RNH253" s="9"/>
      <c r="RNI253" s="4"/>
      <c r="RNJ253" s="9"/>
      <c r="RNK253" s="4"/>
      <c r="RNL253" s="9"/>
      <c r="RNM253" s="4"/>
      <c r="RNN253" s="9"/>
      <c r="RNO253" s="4"/>
      <c r="RNP253" s="9"/>
      <c r="RNQ253" s="4"/>
      <c r="RNR253" s="9"/>
      <c r="RNS253" s="4"/>
      <c r="RNT253" s="9"/>
      <c r="RNU253" s="4"/>
      <c r="RNV253" s="9"/>
      <c r="RNW253" s="4"/>
      <c r="RNX253" s="9"/>
      <c r="RNY253" s="4"/>
      <c r="RNZ253" s="9"/>
      <c r="ROA253" s="4"/>
      <c r="ROB253" s="9"/>
      <c r="ROC253" s="4"/>
      <c r="ROD253" s="9"/>
      <c r="ROE253" s="4"/>
      <c r="ROF253" s="9"/>
      <c r="ROG253" s="4"/>
      <c r="ROH253" s="9"/>
      <c r="ROI253" s="4"/>
      <c r="ROJ253" s="9"/>
      <c r="ROK253" s="4"/>
      <c r="ROL253" s="9"/>
      <c r="ROM253" s="4"/>
      <c r="RON253" s="9"/>
      <c r="ROO253" s="4"/>
      <c r="ROP253" s="9"/>
      <c r="ROQ253" s="4"/>
      <c r="ROR253" s="9"/>
      <c r="ROS253" s="4"/>
      <c r="ROT253" s="9"/>
      <c r="ROU253" s="4"/>
      <c r="ROV253" s="9"/>
      <c r="ROW253" s="4"/>
      <c r="ROX253" s="9"/>
      <c r="ROY253" s="4"/>
      <c r="ROZ253" s="9"/>
      <c r="RPA253" s="4"/>
      <c r="RPB253" s="9"/>
      <c r="RPC253" s="4"/>
      <c r="RPD253" s="9"/>
      <c r="RPE253" s="4"/>
      <c r="RPF253" s="9"/>
      <c r="RPG253" s="4"/>
      <c r="RPH253" s="9"/>
      <c r="RPI253" s="4"/>
      <c r="RPJ253" s="9"/>
      <c r="RPK253" s="4"/>
      <c r="RPL253" s="9"/>
      <c r="RPM253" s="4"/>
      <c r="RPN253" s="9"/>
      <c r="RPO253" s="4"/>
      <c r="RPP253" s="9"/>
      <c r="RPQ253" s="4"/>
      <c r="RPR253" s="9"/>
      <c r="RPS253" s="4"/>
      <c r="RPT253" s="9"/>
      <c r="RPU253" s="4"/>
      <c r="RPV253" s="9"/>
      <c r="RPW253" s="4"/>
      <c r="RPX253" s="9"/>
      <c r="RPY253" s="4"/>
      <c r="RPZ253" s="9"/>
      <c r="RQA253" s="4"/>
      <c r="RQB253" s="9"/>
      <c r="RQC253" s="4"/>
      <c r="RQD253" s="9"/>
      <c r="RQE253" s="4"/>
      <c r="RQF253" s="9"/>
      <c r="RQG253" s="4"/>
      <c r="RQH253" s="9"/>
      <c r="RQI253" s="4"/>
      <c r="RQJ253" s="9"/>
      <c r="RQK253" s="4"/>
      <c r="RQL253" s="9"/>
      <c r="RQM253" s="4"/>
      <c r="RQN253" s="9"/>
      <c r="RQO253" s="4"/>
      <c r="RQP253" s="9"/>
      <c r="RQQ253" s="4"/>
      <c r="RQR253" s="9"/>
      <c r="RQS253" s="4"/>
      <c r="RQT253" s="9"/>
      <c r="RQU253" s="4"/>
      <c r="RQV253" s="9"/>
      <c r="RQW253" s="4"/>
      <c r="RQX253" s="9"/>
      <c r="RQY253" s="4"/>
      <c r="RQZ253" s="9"/>
      <c r="RRA253" s="4"/>
      <c r="RRB253" s="9"/>
      <c r="RRC253" s="4"/>
      <c r="RRD253" s="9"/>
      <c r="RRE253" s="4"/>
      <c r="RRF253" s="9"/>
      <c r="RRG253" s="4"/>
      <c r="RRH253" s="9"/>
      <c r="RRI253" s="4"/>
      <c r="RRJ253" s="9"/>
      <c r="RRK253" s="4"/>
      <c r="RRL253" s="9"/>
      <c r="RRM253" s="4"/>
      <c r="RRN253" s="9"/>
      <c r="RRO253" s="4"/>
      <c r="RRP253" s="9"/>
      <c r="RRQ253" s="4"/>
      <c r="RRR253" s="9"/>
      <c r="RRS253" s="4"/>
      <c r="RRT253" s="9"/>
      <c r="RRU253" s="4"/>
      <c r="RRV253" s="9"/>
      <c r="RRW253" s="4"/>
      <c r="RRX253" s="9"/>
      <c r="RRY253" s="4"/>
      <c r="RRZ253" s="9"/>
      <c r="RSA253" s="4"/>
      <c r="RSB253" s="9"/>
      <c r="RSC253" s="4"/>
      <c r="RSD253" s="9"/>
      <c r="RSE253" s="4"/>
      <c r="RSF253" s="9"/>
      <c r="RSG253" s="4"/>
      <c r="RSH253" s="9"/>
      <c r="RSI253" s="4"/>
      <c r="RSJ253" s="9"/>
      <c r="RSK253" s="4"/>
      <c r="RSL253" s="9"/>
      <c r="RSM253" s="4"/>
      <c r="RSN253" s="9"/>
      <c r="RSO253" s="4"/>
      <c r="RSP253" s="9"/>
      <c r="RSQ253" s="4"/>
      <c r="RSR253" s="9"/>
      <c r="RSS253" s="4"/>
      <c r="RST253" s="9"/>
      <c r="RSU253" s="4"/>
      <c r="RSV253" s="9"/>
      <c r="RSW253" s="4"/>
      <c r="RSX253" s="9"/>
      <c r="RSY253" s="4"/>
      <c r="RSZ253" s="9"/>
      <c r="RTA253" s="4"/>
      <c r="RTB253" s="9"/>
      <c r="RTC253" s="4"/>
      <c r="RTD253" s="9"/>
      <c r="RTE253" s="4"/>
      <c r="RTF253" s="9"/>
      <c r="RTG253" s="4"/>
      <c r="RTH253" s="9"/>
      <c r="RTI253" s="4"/>
      <c r="RTJ253" s="9"/>
      <c r="RTK253" s="4"/>
      <c r="RTL253" s="9"/>
      <c r="RTM253" s="4"/>
      <c r="RTN253" s="9"/>
      <c r="RTO253" s="4"/>
      <c r="RTP253" s="9"/>
      <c r="RTQ253" s="4"/>
      <c r="RTR253" s="9"/>
      <c r="RTS253" s="4"/>
      <c r="RTT253" s="9"/>
      <c r="RTU253" s="4"/>
      <c r="RTV253" s="9"/>
      <c r="RTW253" s="4"/>
      <c r="RTX253" s="9"/>
      <c r="RTY253" s="4"/>
      <c r="RTZ253" s="9"/>
      <c r="RUA253" s="4"/>
      <c r="RUB253" s="9"/>
      <c r="RUC253" s="4"/>
      <c r="RUD253" s="9"/>
      <c r="RUE253" s="4"/>
      <c r="RUF253" s="9"/>
      <c r="RUG253" s="4"/>
      <c r="RUH253" s="9"/>
      <c r="RUI253" s="4"/>
      <c r="RUJ253" s="9"/>
      <c r="RUK253" s="4"/>
      <c r="RUL253" s="9"/>
      <c r="RUM253" s="4"/>
      <c r="RUN253" s="9"/>
      <c r="RUO253" s="4"/>
      <c r="RUP253" s="9"/>
      <c r="RUQ253" s="4"/>
      <c r="RUR253" s="9"/>
      <c r="RUS253" s="4"/>
      <c r="RUT253" s="9"/>
      <c r="RUU253" s="4"/>
      <c r="RUV253" s="9"/>
      <c r="RUW253" s="4"/>
      <c r="RUX253" s="9"/>
      <c r="RUY253" s="4"/>
      <c r="RUZ253" s="9"/>
      <c r="RVA253" s="4"/>
      <c r="RVB253" s="9"/>
      <c r="RVC253" s="4"/>
      <c r="RVD253" s="9"/>
      <c r="RVE253" s="4"/>
      <c r="RVF253" s="9"/>
      <c r="RVG253" s="4"/>
      <c r="RVH253" s="9"/>
      <c r="RVI253" s="4"/>
      <c r="RVJ253" s="9"/>
      <c r="RVK253" s="4"/>
      <c r="RVL253" s="9"/>
      <c r="RVM253" s="4"/>
      <c r="RVN253" s="9"/>
      <c r="RVO253" s="4"/>
      <c r="RVP253" s="9"/>
      <c r="RVQ253" s="4"/>
      <c r="RVR253" s="9"/>
      <c r="RVS253" s="4"/>
      <c r="RVT253" s="9"/>
      <c r="RVU253" s="4"/>
      <c r="RVV253" s="9"/>
      <c r="RVW253" s="4"/>
      <c r="RVX253" s="9"/>
      <c r="RVY253" s="4"/>
      <c r="RVZ253" s="9"/>
      <c r="RWA253" s="4"/>
      <c r="RWB253" s="9"/>
      <c r="RWC253" s="4"/>
      <c r="RWD253" s="9"/>
      <c r="RWE253" s="4"/>
      <c r="RWF253" s="9"/>
      <c r="RWG253" s="4"/>
      <c r="RWH253" s="9"/>
      <c r="RWI253" s="4"/>
      <c r="RWJ253" s="9"/>
      <c r="RWK253" s="4"/>
      <c r="RWL253" s="9"/>
      <c r="RWM253" s="4"/>
      <c r="RWN253" s="9"/>
      <c r="RWO253" s="4"/>
      <c r="RWP253" s="9"/>
      <c r="RWQ253" s="4"/>
      <c r="RWR253" s="9"/>
      <c r="RWS253" s="4"/>
      <c r="RWT253" s="9"/>
      <c r="RWU253" s="4"/>
      <c r="RWV253" s="9"/>
      <c r="RWW253" s="4"/>
      <c r="RWX253" s="9"/>
      <c r="RWY253" s="4"/>
      <c r="RWZ253" s="9"/>
      <c r="RXA253" s="4"/>
      <c r="RXB253" s="9"/>
      <c r="RXC253" s="4"/>
      <c r="RXD253" s="9"/>
      <c r="RXE253" s="4"/>
      <c r="RXF253" s="9"/>
      <c r="RXG253" s="4"/>
      <c r="RXH253" s="9"/>
      <c r="RXI253" s="4"/>
      <c r="RXJ253" s="9"/>
      <c r="RXK253" s="4"/>
      <c r="RXL253" s="9"/>
      <c r="RXM253" s="4"/>
      <c r="RXN253" s="9"/>
      <c r="RXO253" s="4"/>
      <c r="RXP253" s="9"/>
      <c r="RXQ253" s="4"/>
      <c r="RXR253" s="9"/>
      <c r="RXS253" s="4"/>
      <c r="RXT253" s="9"/>
      <c r="RXU253" s="4"/>
      <c r="RXV253" s="9"/>
      <c r="RXW253" s="4"/>
      <c r="RXX253" s="9"/>
      <c r="RXY253" s="4"/>
      <c r="RXZ253" s="9"/>
      <c r="RYA253" s="4"/>
      <c r="RYB253" s="9"/>
      <c r="RYC253" s="4"/>
      <c r="RYD253" s="9"/>
      <c r="RYE253" s="4"/>
      <c r="RYF253" s="9"/>
      <c r="RYG253" s="4"/>
      <c r="RYH253" s="9"/>
      <c r="RYI253" s="4"/>
      <c r="RYJ253" s="9"/>
      <c r="RYK253" s="4"/>
      <c r="RYL253" s="9"/>
      <c r="RYM253" s="4"/>
      <c r="RYN253" s="9"/>
      <c r="RYO253" s="4"/>
      <c r="RYP253" s="9"/>
      <c r="RYQ253" s="4"/>
      <c r="RYR253" s="9"/>
      <c r="RYS253" s="4"/>
      <c r="RYT253" s="9"/>
      <c r="RYU253" s="4"/>
      <c r="RYV253" s="9"/>
      <c r="RYW253" s="4"/>
      <c r="RYX253" s="9"/>
      <c r="RYY253" s="4"/>
      <c r="RYZ253" s="9"/>
      <c r="RZA253" s="4"/>
      <c r="RZB253" s="9"/>
      <c r="RZC253" s="4"/>
      <c r="RZD253" s="9"/>
      <c r="RZE253" s="4"/>
      <c r="RZF253" s="9"/>
      <c r="RZG253" s="4"/>
      <c r="RZH253" s="9"/>
      <c r="RZI253" s="4"/>
      <c r="RZJ253" s="9"/>
      <c r="RZK253" s="4"/>
      <c r="RZL253" s="9"/>
      <c r="RZM253" s="4"/>
      <c r="RZN253" s="9"/>
      <c r="RZO253" s="4"/>
      <c r="RZP253" s="9"/>
      <c r="RZQ253" s="4"/>
      <c r="RZR253" s="9"/>
      <c r="RZS253" s="4"/>
      <c r="RZT253" s="9"/>
      <c r="RZU253" s="4"/>
      <c r="RZV253" s="9"/>
      <c r="RZW253" s="4"/>
      <c r="RZX253" s="9"/>
      <c r="RZY253" s="4"/>
      <c r="RZZ253" s="9"/>
      <c r="SAA253" s="4"/>
      <c r="SAB253" s="9"/>
      <c r="SAC253" s="4"/>
      <c r="SAD253" s="9"/>
      <c r="SAE253" s="4"/>
      <c r="SAF253" s="9"/>
      <c r="SAG253" s="4"/>
      <c r="SAH253" s="9"/>
      <c r="SAI253" s="4"/>
      <c r="SAJ253" s="9"/>
      <c r="SAK253" s="4"/>
      <c r="SAL253" s="9"/>
      <c r="SAM253" s="4"/>
      <c r="SAN253" s="9"/>
      <c r="SAO253" s="4"/>
      <c r="SAP253" s="9"/>
      <c r="SAQ253" s="4"/>
      <c r="SAR253" s="9"/>
      <c r="SAS253" s="4"/>
      <c r="SAT253" s="9"/>
      <c r="SAU253" s="4"/>
      <c r="SAV253" s="9"/>
      <c r="SAW253" s="4"/>
      <c r="SAX253" s="9"/>
      <c r="SAY253" s="4"/>
      <c r="SAZ253" s="9"/>
      <c r="SBA253" s="4"/>
      <c r="SBB253" s="9"/>
      <c r="SBC253" s="4"/>
      <c r="SBD253" s="9"/>
      <c r="SBE253" s="4"/>
      <c r="SBF253" s="9"/>
      <c r="SBG253" s="4"/>
      <c r="SBH253" s="9"/>
      <c r="SBI253" s="4"/>
      <c r="SBJ253" s="9"/>
      <c r="SBK253" s="4"/>
      <c r="SBL253" s="9"/>
      <c r="SBM253" s="4"/>
      <c r="SBN253" s="9"/>
      <c r="SBO253" s="4"/>
      <c r="SBP253" s="9"/>
      <c r="SBQ253" s="4"/>
      <c r="SBR253" s="9"/>
      <c r="SBS253" s="4"/>
      <c r="SBT253" s="9"/>
      <c r="SBU253" s="4"/>
      <c r="SBV253" s="9"/>
      <c r="SBW253" s="4"/>
      <c r="SBX253" s="9"/>
      <c r="SBY253" s="4"/>
      <c r="SBZ253" s="9"/>
      <c r="SCA253" s="4"/>
      <c r="SCB253" s="9"/>
      <c r="SCC253" s="4"/>
      <c r="SCD253" s="9"/>
      <c r="SCE253" s="4"/>
      <c r="SCF253" s="9"/>
      <c r="SCG253" s="4"/>
      <c r="SCH253" s="9"/>
      <c r="SCI253" s="4"/>
      <c r="SCJ253" s="9"/>
      <c r="SCK253" s="4"/>
      <c r="SCL253" s="9"/>
      <c r="SCM253" s="4"/>
      <c r="SCN253" s="9"/>
      <c r="SCO253" s="4"/>
      <c r="SCP253" s="9"/>
      <c r="SCQ253" s="4"/>
      <c r="SCR253" s="9"/>
      <c r="SCS253" s="4"/>
      <c r="SCT253" s="9"/>
      <c r="SCU253" s="4"/>
      <c r="SCV253" s="9"/>
      <c r="SCW253" s="4"/>
      <c r="SCX253" s="9"/>
      <c r="SCY253" s="4"/>
      <c r="SCZ253" s="9"/>
      <c r="SDA253" s="4"/>
      <c r="SDB253" s="9"/>
      <c r="SDC253" s="4"/>
      <c r="SDD253" s="9"/>
      <c r="SDE253" s="4"/>
      <c r="SDF253" s="9"/>
      <c r="SDG253" s="4"/>
      <c r="SDH253" s="9"/>
      <c r="SDI253" s="4"/>
      <c r="SDJ253" s="9"/>
      <c r="SDK253" s="4"/>
      <c r="SDL253" s="9"/>
      <c r="SDM253" s="4"/>
      <c r="SDN253" s="9"/>
      <c r="SDO253" s="4"/>
      <c r="SDP253" s="9"/>
      <c r="SDQ253" s="4"/>
      <c r="SDR253" s="9"/>
      <c r="SDS253" s="4"/>
      <c r="SDT253" s="9"/>
      <c r="SDU253" s="4"/>
      <c r="SDV253" s="9"/>
      <c r="SDW253" s="4"/>
      <c r="SDX253" s="9"/>
      <c r="SDY253" s="4"/>
      <c r="SDZ253" s="9"/>
      <c r="SEA253" s="4"/>
      <c r="SEB253" s="9"/>
      <c r="SEC253" s="4"/>
      <c r="SED253" s="9"/>
      <c r="SEE253" s="4"/>
      <c r="SEF253" s="9"/>
      <c r="SEG253" s="4"/>
      <c r="SEH253" s="9"/>
      <c r="SEI253" s="4"/>
      <c r="SEJ253" s="9"/>
      <c r="SEK253" s="4"/>
      <c r="SEL253" s="9"/>
      <c r="SEM253" s="4"/>
      <c r="SEN253" s="9"/>
      <c r="SEO253" s="4"/>
      <c r="SEP253" s="9"/>
      <c r="SEQ253" s="4"/>
      <c r="SER253" s="9"/>
      <c r="SES253" s="4"/>
      <c r="SET253" s="9"/>
      <c r="SEU253" s="4"/>
      <c r="SEV253" s="9"/>
      <c r="SEW253" s="4"/>
      <c r="SEX253" s="9"/>
      <c r="SEY253" s="4"/>
      <c r="SEZ253" s="9"/>
      <c r="SFA253" s="4"/>
      <c r="SFB253" s="9"/>
      <c r="SFC253" s="4"/>
      <c r="SFD253" s="9"/>
      <c r="SFE253" s="4"/>
      <c r="SFF253" s="9"/>
      <c r="SFG253" s="4"/>
      <c r="SFH253" s="9"/>
      <c r="SFI253" s="4"/>
      <c r="SFJ253" s="9"/>
      <c r="SFK253" s="4"/>
      <c r="SFL253" s="9"/>
      <c r="SFM253" s="4"/>
      <c r="SFN253" s="9"/>
      <c r="SFO253" s="4"/>
      <c r="SFP253" s="9"/>
      <c r="SFQ253" s="4"/>
      <c r="SFR253" s="9"/>
      <c r="SFS253" s="4"/>
      <c r="SFT253" s="9"/>
      <c r="SFU253" s="4"/>
      <c r="SFV253" s="9"/>
      <c r="SFW253" s="4"/>
      <c r="SFX253" s="9"/>
      <c r="SFY253" s="4"/>
      <c r="SFZ253" s="9"/>
      <c r="SGA253" s="4"/>
      <c r="SGB253" s="9"/>
      <c r="SGC253" s="4"/>
      <c r="SGD253" s="9"/>
      <c r="SGE253" s="4"/>
      <c r="SGF253" s="9"/>
      <c r="SGG253" s="4"/>
      <c r="SGH253" s="9"/>
      <c r="SGI253" s="4"/>
      <c r="SGJ253" s="9"/>
      <c r="SGK253" s="4"/>
      <c r="SGL253" s="9"/>
      <c r="SGM253" s="4"/>
      <c r="SGN253" s="9"/>
      <c r="SGO253" s="4"/>
      <c r="SGP253" s="9"/>
      <c r="SGQ253" s="4"/>
      <c r="SGR253" s="9"/>
      <c r="SGS253" s="4"/>
      <c r="SGT253" s="9"/>
      <c r="SGU253" s="4"/>
      <c r="SGV253" s="9"/>
      <c r="SGW253" s="4"/>
      <c r="SGX253" s="9"/>
      <c r="SGY253" s="4"/>
      <c r="SGZ253" s="9"/>
      <c r="SHA253" s="4"/>
      <c r="SHB253" s="9"/>
      <c r="SHC253" s="4"/>
      <c r="SHD253" s="9"/>
      <c r="SHE253" s="4"/>
      <c r="SHF253" s="9"/>
      <c r="SHG253" s="4"/>
      <c r="SHH253" s="9"/>
      <c r="SHI253" s="4"/>
      <c r="SHJ253" s="9"/>
      <c r="SHK253" s="4"/>
      <c r="SHL253" s="9"/>
      <c r="SHM253" s="4"/>
      <c r="SHN253" s="9"/>
      <c r="SHO253" s="4"/>
      <c r="SHP253" s="9"/>
      <c r="SHQ253" s="4"/>
      <c r="SHR253" s="9"/>
      <c r="SHS253" s="4"/>
      <c r="SHT253" s="9"/>
      <c r="SHU253" s="4"/>
      <c r="SHV253" s="9"/>
      <c r="SHW253" s="4"/>
      <c r="SHX253" s="9"/>
      <c r="SHY253" s="4"/>
      <c r="SHZ253" s="9"/>
      <c r="SIA253" s="4"/>
      <c r="SIB253" s="9"/>
      <c r="SIC253" s="4"/>
      <c r="SID253" s="9"/>
      <c r="SIE253" s="4"/>
      <c r="SIF253" s="9"/>
      <c r="SIG253" s="4"/>
      <c r="SIH253" s="9"/>
      <c r="SII253" s="4"/>
      <c r="SIJ253" s="9"/>
      <c r="SIK253" s="4"/>
      <c r="SIL253" s="9"/>
      <c r="SIM253" s="4"/>
      <c r="SIN253" s="9"/>
      <c r="SIO253" s="4"/>
      <c r="SIP253" s="9"/>
      <c r="SIQ253" s="4"/>
      <c r="SIR253" s="9"/>
      <c r="SIS253" s="4"/>
      <c r="SIT253" s="9"/>
      <c r="SIU253" s="4"/>
      <c r="SIV253" s="9"/>
      <c r="SIW253" s="4"/>
      <c r="SIX253" s="9"/>
      <c r="SIY253" s="4"/>
      <c r="SIZ253" s="9"/>
      <c r="SJA253" s="4"/>
      <c r="SJB253" s="9"/>
      <c r="SJC253" s="4"/>
      <c r="SJD253" s="9"/>
      <c r="SJE253" s="4"/>
      <c r="SJF253" s="9"/>
      <c r="SJG253" s="4"/>
      <c r="SJH253" s="9"/>
      <c r="SJI253" s="4"/>
      <c r="SJJ253" s="9"/>
      <c r="SJK253" s="4"/>
      <c r="SJL253" s="9"/>
      <c r="SJM253" s="4"/>
      <c r="SJN253" s="9"/>
      <c r="SJO253" s="4"/>
      <c r="SJP253" s="9"/>
      <c r="SJQ253" s="4"/>
      <c r="SJR253" s="9"/>
      <c r="SJS253" s="4"/>
      <c r="SJT253" s="9"/>
      <c r="SJU253" s="4"/>
      <c r="SJV253" s="9"/>
      <c r="SJW253" s="4"/>
      <c r="SJX253" s="9"/>
      <c r="SJY253" s="4"/>
      <c r="SJZ253" s="9"/>
      <c r="SKA253" s="4"/>
      <c r="SKB253" s="9"/>
      <c r="SKC253" s="4"/>
      <c r="SKD253" s="9"/>
      <c r="SKE253" s="4"/>
      <c r="SKF253" s="9"/>
      <c r="SKG253" s="4"/>
      <c r="SKH253" s="9"/>
      <c r="SKI253" s="4"/>
      <c r="SKJ253" s="9"/>
      <c r="SKK253" s="4"/>
      <c r="SKL253" s="9"/>
      <c r="SKM253" s="4"/>
      <c r="SKN253" s="9"/>
      <c r="SKO253" s="4"/>
      <c r="SKP253" s="9"/>
      <c r="SKQ253" s="4"/>
      <c r="SKR253" s="9"/>
      <c r="SKS253" s="4"/>
      <c r="SKT253" s="9"/>
      <c r="SKU253" s="4"/>
      <c r="SKV253" s="9"/>
      <c r="SKW253" s="4"/>
      <c r="SKX253" s="9"/>
      <c r="SKY253" s="4"/>
      <c r="SKZ253" s="9"/>
      <c r="SLA253" s="4"/>
      <c r="SLB253" s="9"/>
      <c r="SLC253" s="4"/>
      <c r="SLD253" s="9"/>
      <c r="SLE253" s="4"/>
      <c r="SLF253" s="9"/>
      <c r="SLG253" s="4"/>
      <c r="SLH253" s="9"/>
      <c r="SLI253" s="4"/>
      <c r="SLJ253" s="9"/>
      <c r="SLK253" s="4"/>
      <c r="SLL253" s="9"/>
      <c r="SLM253" s="4"/>
      <c r="SLN253" s="9"/>
      <c r="SLO253" s="4"/>
      <c r="SLP253" s="9"/>
      <c r="SLQ253" s="4"/>
      <c r="SLR253" s="9"/>
      <c r="SLS253" s="4"/>
      <c r="SLT253" s="9"/>
      <c r="SLU253" s="4"/>
      <c r="SLV253" s="9"/>
      <c r="SLW253" s="4"/>
      <c r="SLX253" s="9"/>
      <c r="SLY253" s="4"/>
      <c r="SLZ253" s="9"/>
      <c r="SMA253" s="4"/>
      <c r="SMB253" s="9"/>
      <c r="SMC253" s="4"/>
      <c r="SMD253" s="9"/>
      <c r="SME253" s="4"/>
      <c r="SMF253" s="9"/>
      <c r="SMG253" s="4"/>
      <c r="SMH253" s="9"/>
      <c r="SMI253" s="4"/>
      <c r="SMJ253" s="9"/>
      <c r="SMK253" s="4"/>
      <c r="SML253" s="9"/>
      <c r="SMM253" s="4"/>
      <c r="SMN253" s="9"/>
      <c r="SMO253" s="4"/>
      <c r="SMP253" s="9"/>
      <c r="SMQ253" s="4"/>
      <c r="SMR253" s="9"/>
      <c r="SMS253" s="4"/>
      <c r="SMT253" s="9"/>
      <c r="SMU253" s="4"/>
      <c r="SMV253" s="9"/>
      <c r="SMW253" s="4"/>
      <c r="SMX253" s="9"/>
      <c r="SMY253" s="4"/>
      <c r="SMZ253" s="9"/>
      <c r="SNA253" s="4"/>
      <c r="SNB253" s="9"/>
      <c r="SNC253" s="4"/>
      <c r="SND253" s="9"/>
      <c r="SNE253" s="4"/>
      <c r="SNF253" s="9"/>
      <c r="SNG253" s="4"/>
      <c r="SNH253" s="9"/>
      <c r="SNI253" s="4"/>
      <c r="SNJ253" s="9"/>
      <c r="SNK253" s="4"/>
      <c r="SNL253" s="9"/>
      <c r="SNM253" s="4"/>
      <c r="SNN253" s="9"/>
      <c r="SNO253" s="4"/>
      <c r="SNP253" s="9"/>
      <c r="SNQ253" s="4"/>
      <c r="SNR253" s="9"/>
      <c r="SNS253" s="4"/>
      <c r="SNT253" s="9"/>
      <c r="SNU253" s="4"/>
      <c r="SNV253" s="9"/>
      <c r="SNW253" s="4"/>
      <c r="SNX253" s="9"/>
      <c r="SNY253" s="4"/>
      <c r="SNZ253" s="9"/>
      <c r="SOA253" s="4"/>
      <c r="SOB253" s="9"/>
      <c r="SOC253" s="4"/>
      <c r="SOD253" s="9"/>
      <c r="SOE253" s="4"/>
      <c r="SOF253" s="9"/>
      <c r="SOG253" s="4"/>
      <c r="SOH253" s="9"/>
      <c r="SOI253" s="4"/>
      <c r="SOJ253" s="9"/>
      <c r="SOK253" s="4"/>
      <c r="SOL253" s="9"/>
      <c r="SOM253" s="4"/>
      <c r="SON253" s="9"/>
      <c r="SOO253" s="4"/>
      <c r="SOP253" s="9"/>
      <c r="SOQ253" s="4"/>
      <c r="SOR253" s="9"/>
      <c r="SOS253" s="4"/>
      <c r="SOT253" s="9"/>
      <c r="SOU253" s="4"/>
      <c r="SOV253" s="9"/>
      <c r="SOW253" s="4"/>
      <c r="SOX253" s="9"/>
      <c r="SOY253" s="4"/>
      <c r="SOZ253" s="9"/>
      <c r="SPA253" s="4"/>
      <c r="SPB253" s="9"/>
      <c r="SPC253" s="4"/>
      <c r="SPD253" s="9"/>
      <c r="SPE253" s="4"/>
      <c r="SPF253" s="9"/>
      <c r="SPG253" s="4"/>
      <c r="SPH253" s="9"/>
      <c r="SPI253" s="4"/>
      <c r="SPJ253" s="9"/>
      <c r="SPK253" s="4"/>
      <c r="SPL253" s="9"/>
      <c r="SPM253" s="4"/>
      <c r="SPN253" s="9"/>
      <c r="SPO253" s="4"/>
      <c r="SPP253" s="9"/>
      <c r="SPQ253" s="4"/>
      <c r="SPR253" s="9"/>
      <c r="SPS253" s="4"/>
      <c r="SPT253" s="9"/>
      <c r="SPU253" s="4"/>
      <c r="SPV253" s="9"/>
      <c r="SPW253" s="4"/>
      <c r="SPX253" s="9"/>
      <c r="SPY253" s="4"/>
      <c r="SPZ253" s="9"/>
      <c r="SQA253" s="4"/>
      <c r="SQB253" s="9"/>
      <c r="SQC253" s="4"/>
      <c r="SQD253" s="9"/>
      <c r="SQE253" s="4"/>
      <c r="SQF253" s="9"/>
      <c r="SQG253" s="4"/>
      <c r="SQH253" s="9"/>
      <c r="SQI253" s="4"/>
      <c r="SQJ253" s="9"/>
      <c r="SQK253" s="4"/>
      <c r="SQL253" s="9"/>
      <c r="SQM253" s="4"/>
      <c r="SQN253" s="9"/>
      <c r="SQO253" s="4"/>
      <c r="SQP253" s="9"/>
      <c r="SQQ253" s="4"/>
      <c r="SQR253" s="9"/>
      <c r="SQS253" s="4"/>
      <c r="SQT253" s="9"/>
      <c r="SQU253" s="4"/>
      <c r="SQV253" s="9"/>
      <c r="SQW253" s="4"/>
      <c r="SQX253" s="9"/>
      <c r="SQY253" s="4"/>
      <c r="SQZ253" s="9"/>
      <c r="SRA253" s="4"/>
      <c r="SRB253" s="9"/>
      <c r="SRC253" s="4"/>
      <c r="SRD253" s="9"/>
      <c r="SRE253" s="4"/>
      <c r="SRF253" s="9"/>
      <c r="SRG253" s="4"/>
      <c r="SRH253" s="9"/>
      <c r="SRI253" s="4"/>
      <c r="SRJ253" s="9"/>
      <c r="SRK253" s="4"/>
      <c r="SRL253" s="9"/>
      <c r="SRM253" s="4"/>
      <c r="SRN253" s="9"/>
      <c r="SRO253" s="4"/>
      <c r="SRP253" s="9"/>
      <c r="SRQ253" s="4"/>
      <c r="SRR253" s="9"/>
      <c r="SRS253" s="4"/>
      <c r="SRT253" s="9"/>
      <c r="SRU253" s="4"/>
      <c r="SRV253" s="9"/>
      <c r="SRW253" s="4"/>
      <c r="SRX253" s="9"/>
      <c r="SRY253" s="4"/>
      <c r="SRZ253" s="9"/>
      <c r="SSA253" s="4"/>
      <c r="SSB253" s="9"/>
      <c r="SSC253" s="4"/>
      <c r="SSD253" s="9"/>
      <c r="SSE253" s="4"/>
      <c r="SSF253" s="9"/>
      <c r="SSG253" s="4"/>
      <c r="SSH253" s="9"/>
      <c r="SSI253" s="4"/>
      <c r="SSJ253" s="9"/>
      <c r="SSK253" s="4"/>
      <c r="SSL253" s="9"/>
      <c r="SSM253" s="4"/>
      <c r="SSN253" s="9"/>
      <c r="SSO253" s="4"/>
      <c r="SSP253" s="9"/>
      <c r="SSQ253" s="4"/>
      <c r="SSR253" s="9"/>
      <c r="SSS253" s="4"/>
      <c r="SST253" s="9"/>
      <c r="SSU253" s="4"/>
      <c r="SSV253" s="9"/>
      <c r="SSW253" s="4"/>
      <c r="SSX253" s="9"/>
      <c r="SSY253" s="4"/>
      <c r="SSZ253" s="9"/>
      <c r="STA253" s="4"/>
      <c r="STB253" s="9"/>
      <c r="STC253" s="4"/>
      <c r="STD253" s="9"/>
      <c r="STE253" s="4"/>
      <c r="STF253" s="9"/>
      <c r="STG253" s="4"/>
      <c r="STH253" s="9"/>
      <c r="STI253" s="4"/>
      <c r="STJ253" s="9"/>
      <c r="STK253" s="4"/>
      <c r="STL253" s="9"/>
      <c r="STM253" s="4"/>
      <c r="STN253" s="9"/>
      <c r="STO253" s="4"/>
      <c r="STP253" s="9"/>
      <c r="STQ253" s="4"/>
      <c r="STR253" s="9"/>
      <c r="STS253" s="4"/>
      <c r="STT253" s="9"/>
      <c r="STU253" s="4"/>
      <c r="STV253" s="9"/>
      <c r="STW253" s="4"/>
      <c r="STX253" s="9"/>
      <c r="STY253" s="4"/>
      <c r="STZ253" s="9"/>
      <c r="SUA253" s="4"/>
      <c r="SUB253" s="9"/>
      <c r="SUC253" s="4"/>
      <c r="SUD253" s="9"/>
      <c r="SUE253" s="4"/>
      <c r="SUF253" s="9"/>
      <c r="SUG253" s="4"/>
      <c r="SUH253" s="9"/>
      <c r="SUI253" s="4"/>
      <c r="SUJ253" s="9"/>
      <c r="SUK253" s="4"/>
      <c r="SUL253" s="9"/>
      <c r="SUM253" s="4"/>
      <c r="SUN253" s="9"/>
      <c r="SUO253" s="4"/>
      <c r="SUP253" s="9"/>
      <c r="SUQ253" s="4"/>
      <c r="SUR253" s="9"/>
      <c r="SUS253" s="4"/>
      <c r="SUT253" s="9"/>
      <c r="SUU253" s="4"/>
      <c r="SUV253" s="9"/>
      <c r="SUW253" s="4"/>
      <c r="SUX253" s="9"/>
      <c r="SUY253" s="4"/>
      <c r="SUZ253" s="9"/>
      <c r="SVA253" s="4"/>
      <c r="SVB253" s="9"/>
      <c r="SVC253" s="4"/>
      <c r="SVD253" s="9"/>
      <c r="SVE253" s="4"/>
      <c r="SVF253" s="9"/>
      <c r="SVG253" s="4"/>
      <c r="SVH253" s="9"/>
      <c r="SVI253" s="4"/>
      <c r="SVJ253" s="9"/>
      <c r="SVK253" s="4"/>
      <c r="SVL253" s="9"/>
      <c r="SVM253" s="4"/>
      <c r="SVN253" s="9"/>
      <c r="SVO253" s="4"/>
      <c r="SVP253" s="9"/>
      <c r="SVQ253" s="4"/>
      <c r="SVR253" s="9"/>
      <c r="SVS253" s="4"/>
      <c r="SVT253" s="9"/>
      <c r="SVU253" s="4"/>
      <c r="SVV253" s="9"/>
      <c r="SVW253" s="4"/>
      <c r="SVX253" s="9"/>
      <c r="SVY253" s="4"/>
      <c r="SVZ253" s="9"/>
      <c r="SWA253" s="4"/>
      <c r="SWB253" s="9"/>
      <c r="SWC253" s="4"/>
      <c r="SWD253" s="9"/>
      <c r="SWE253" s="4"/>
      <c r="SWF253" s="9"/>
      <c r="SWG253" s="4"/>
      <c r="SWH253" s="9"/>
      <c r="SWI253" s="4"/>
      <c r="SWJ253" s="9"/>
      <c r="SWK253" s="4"/>
      <c r="SWL253" s="9"/>
      <c r="SWM253" s="4"/>
      <c r="SWN253" s="9"/>
      <c r="SWO253" s="4"/>
      <c r="SWP253" s="9"/>
      <c r="SWQ253" s="4"/>
      <c r="SWR253" s="9"/>
      <c r="SWS253" s="4"/>
      <c r="SWT253" s="9"/>
      <c r="SWU253" s="4"/>
      <c r="SWV253" s="9"/>
      <c r="SWW253" s="4"/>
      <c r="SWX253" s="9"/>
      <c r="SWY253" s="4"/>
      <c r="SWZ253" s="9"/>
      <c r="SXA253" s="4"/>
      <c r="SXB253" s="9"/>
      <c r="SXC253" s="4"/>
      <c r="SXD253" s="9"/>
      <c r="SXE253" s="4"/>
      <c r="SXF253" s="9"/>
      <c r="SXG253" s="4"/>
      <c r="SXH253" s="9"/>
      <c r="SXI253" s="4"/>
      <c r="SXJ253" s="9"/>
      <c r="SXK253" s="4"/>
      <c r="SXL253" s="9"/>
      <c r="SXM253" s="4"/>
      <c r="SXN253" s="9"/>
      <c r="SXO253" s="4"/>
      <c r="SXP253" s="9"/>
      <c r="SXQ253" s="4"/>
      <c r="SXR253" s="9"/>
      <c r="SXS253" s="4"/>
      <c r="SXT253" s="9"/>
      <c r="SXU253" s="4"/>
      <c r="SXV253" s="9"/>
      <c r="SXW253" s="4"/>
      <c r="SXX253" s="9"/>
      <c r="SXY253" s="4"/>
      <c r="SXZ253" s="9"/>
      <c r="SYA253" s="4"/>
      <c r="SYB253" s="9"/>
      <c r="SYC253" s="4"/>
      <c r="SYD253" s="9"/>
      <c r="SYE253" s="4"/>
      <c r="SYF253" s="9"/>
      <c r="SYG253" s="4"/>
      <c r="SYH253" s="9"/>
      <c r="SYI253" s="4"/>
      <c r="SYJ253" s="9"/>
      <c r="SYK253" s="4"/>
      <c r="SYL253" s="9"/>
      <c r="SYM253" s="4"/>
      <c r="SYN253" s="9"/>
      <c r="SYO253" s="4"/>
      <c r="SYP253" s="9"/>
      <c r="SYQ253" s="4"/>
      <c r="SYR253" s="9"/>
      <c r="SYS253" s="4"/>
      <c r="SYT253" s="9"/>
      <c r="SYU253" s="4"/>
      <c r="SYV253" s="9"/>
      <c r="SYW253" s="4"/>
      <c r="SYX253" s="9"/>
      <c r="SYY253" s="4"/>
      <c r="SYZ253" s="9"/>
      <c r="SZA253" s="4"/>
      <c r="SZB253" s="9"/>
      <c r="SZC253" s="4"/>
      <c r="SZD253" s="9"/>
      <c r="SZE253" s="4"/>
      <c r="SZF253" s="9"/>
      <c r="SZG253" s="4"/>
      <c r="SZH253" s="9"/>
      <c r="SZI253" s="4"/>
      <c r="SZJ253" s="9"/>
      <c r="SZK253" s="4"/>
      <c r="SZL253" s="9"/>
      <c r="SZM253" s="4"/>
      <c r="SZN253" s="9"/>
      <c r="SZO253" s="4"/>
      <c r="SZP253" s="9"/>
      <c r="SZQ253" s="4"/>
      <c r="SZR253" s="9"/>
      <c r="SZS253" s="4"/>
      <c r="SZT253" s="9"/>
      <c r="SZU253" s="4"/>
      <c r="SZV253" s="9"/>
      <c r="SZW253" s="4"/>
      <c r="SZX253" s="9"/>
      <c r="SZY253" s="4"/>
      <c r="SZZ253" s="9"/>
      <c r="TAA253" s="4"/>
      <c r="TAB253" s="9"/>
      <c r="TAC253" s="4"/>
      <c r="TAD253" s="9"/>
      <c r="TAE253" s="4"/>
      <c r="TAF253" s="9"/>
      <c r="TAG253" s="4"/>
      <c r="TAH253" s="9"/>
      <c r="TAI253" s="4"/>
      <c r="TAJ253" s="9"/>
      <c r="TAK253" s="4"/>
      <c r="TAL253" s="9"/>
      <c r="TAM253" s="4"/>
      <c r="TAN253" s="9"/>
      <c r="TAO253" s="4"/>
      <c r="TAP253" s="9"/>
      <c r="TAQ253" s="4"/>
      <c r="TAR253" s="9"/>
      <c r="TAS253" s="4"/>
      <c r="TAT253" s="9"/>
      <c r="TAU253" s="4"/>
      <c r="TAV253" s="9"/>
      <c r="TAW253" s="4"/>
      <c r="TAX253" s="9"/>
      <c r="TAY253" s="4"/>
      <c r="TAZ253" s="9"/>
      <c r="TBA253" s="4"/>
      <c r="TBB253" s="9"/>
      <c r="TBC253" s="4"/>
      <c r="TBD253" s="9"/>
      <c r="TBE253" s="4"/>
      <c r="TBF253" s="9"/>
      <c r="TBG253" s="4"/>
      <c r="TBH253" s="9"/>
      <c r="TBI253" s="4"/>
      <c r="TBJ253" s="9"/>
      <c r="TBK253" s="4"/>
      <c r="TBL253" s="9"/>
      <c r="TBM253" s="4"/>
      <c r="TBN253" s="9"/>
      <c r="TBO253" s="4"/>
      <c r="TBP253" s="9"/>
      <c r="TBQ253" s="4"/>
      <c r="TBR253" s="9"/>
      <c r="TBS253" s="4"/>
      <c r="TBT253" s="9"/>
      <c r="TBU253" s="4"/>
      <c r="TBV253" s="9"/>
      <c r="TBW253" s="4"/>
      <c r="TBX253" s="9"/>
      <c r="TBY253" s="4"/>
      <c r="TBZ253" s="9"/>
      <c r="TCA253" s="4"/>
      <c r="TCB253" s="9"/>
      <c r="TCC253" s="4"/>
      <c r="TCD253" s="9"/>
      <c r="TCE253" s="4"/>
      <c r="TCF253" s="9"/>
      <c r="TCG253" s="4"/>
      <c r="TCH253" s="9"/>
      <c r="TCI253" s="4"/>
      <c r="TCJ253" s="9"/>
      <c r="TCK253" s="4"/>
      <c r="TCL253" s="9"/>
      <c r="TCM253" s="4"/>
      <c r="TCN253" s="9"/>
      <c r="TCO253" s="4"/>
      <c r="TCP253" s="9"/>
      <c r="TCQ253" s="4"/>
      <c r="TCR253" s="9"/>
      <c r="TCS253" s="4"/>
      <c r="TCT253" s="9"/>
      <c r="TCU253" s="4"/>
      <c r="TCV253" s="9"/>
      <c r="TCW253" s="4"/>
      <c r="TCX253" s="9"/>
      <c r="TCY253" s="4"/>
      <c r="TCZ253" s="9"/>
      <c r="TDA253" s="4"/>
      <c r="TDB253" s="9"/>
      <c r="TDC253" s="4"/>
      <c r="TDD253" s="9"/>
      <c r="TDE253" s="4"/>
      <c r="TDF253" s="9"/>
      <c r="TDG253" s="4"/>
      <c r="TDH253" s="9"/>
      <c r="TDI253" s="4"/>
      <c r="TDJ253" s="9"/>
      <c r="TDK253" s="4"/>
      <c r="TDL253" s="9"/>
      <c r="TDM253" s="4"/>
      <c r="TDN253" s="9"/>
      <c r="TDO253" s="4"/>
      <c r="TDP253" s="9"/>
      <c r="TDQ253" s="4"/>
      <c r="TDR253" s="9"/>
      <c r="TDS253" s="4"/>
      <c r="TDT253" s="9"/>
      <c r="TDU253" s="4"/>
      <c r="TDV253" s="9"/>
      <c r="TDW253" s="4"/>
      <c r="TDX253" s="9"/>
      <c r="TDY253" s="4"/>
      <c r="TDZ253" s="9"/>
      <c r="TEA253" s="4"/>
      <c r="TEB253" s="9"/>
      <c r="TEC253" s="4"/>
      <c r="TED253" s="9"/>
      <c r="TEE253" s="4"/>
      <c r="TEF253" s="9"/>
      <c r="TEG253" s="4"/>
      <c r="TEH253" s="9"/>
      <c r="TEI253" s="4"/>
      <c r="TEJ253" s="9"/>
      <c r="TEK253" s="4"/>
      <c r="TEL253" s="9"/>
      <c r="TEM253" s="4"/>
      <c r="TEN253" s="9"/>
      <c r="TEO253" s="4"/>
      <c r="TEP253" s="9"/>
      <c r="TEQ253" s="4"/>
      <c r="TER253" s="9"/>
      <c r="TES253" s="4"/>
      <c r="TET253" s="9"/>
      <c r="TEU253" s="4"/>
      <c r="TEV253" s="9"/>
      <c r="TEW253" s="4"/>
      <c r="TEX253" s="9"/>
      <c r="TEY253" s="4"/>
      <c r="TEZ253" s="9"/>
      <c r="TFA253" s="4"/>
      <c r="TFB253" s="9"/>
      <c r="TFC253" s="4"/>
      <c r="TFD253" s="9"/>
      <c r="TFE253" s="4"/>
      <c r="TFF253" s="9"/>
      <c r="TFG253" s="4"/>
      <c r="TFH253" s="9"/>
      <c r="TFI253" s="4"/>
      <c r="TFJ253" s="9"/>
      <c r="TFK253" s="4"/>
      <c r="TFL253" s="9"/>
      <c r="TFM253" s="4"/>
      <c r="TFN253" s="9"/>
      <c r="TFO253" s="4"/>
      <c r="TFP253" s="9"/>
      <c r="TFQ253" s="4"/>
      <c r="TFR253" s="9"/>
      <c r="TFS253" s="4"/>
      <c r="TFT253" s="9"/>
      <c r="TFU253" s="4"/>
      <c r="TFV253" s="9"/>
      <c r="TFW253" s="4"/>
      <c r="TFX253" s="9"/>
      <c r="TFY253" s="4"/>
      <c r="TFZ253" s="9"/>
      <c r="TGA253" s="4"/>
      <c r="TGB253" s="9"/>
      <c r="TGC253" s="4"/>
      <c r="TGD253" s="9"/>
      <c r="TGE253" s="4"/>
      <c r="TGF253" s="9"/>
      <c r="TGG253" s="4"/>
      <c r="TGH253" s="9"/>
      <c r="TGI253" s="4"/>
      <c r="TGJ253" s="9"/>
      <c r="TGK253" s="4"/>
      <c r="TGL253" s="9"/>
      <c r="TGM253" s="4"/>
      <c r="TGN253" s="9"/>
      <c r="TGO253" s="4"/>
      <c r="TGP253" s="9"/>
      <c r="TGQ253" s="4"/>
      <c r="TGR253" s="9"/>
      <c r="TGS253" s="4"/>
      <c r="TGT253" s="9"/>
      <c r="TGU253" s="4"/>
      <c r="TGV253" s="9"/>
      <c r="TGW253" s="4"/>
      <c r="TGX253" s="9"/>
      <c r="TGY253" s="4"/>
      <c r="TGZ253" s="9"/>
      <c r="THA253" s="4"/>
      <c r="THB253" s="9"/>
      <c r="THC253" s="4"/>
      <c r="THD253" s="9"/>
      <c r="THE253" s="4"/>
      <c r="THF253" s="9"/>
      <c r="THG253" s="4"/>
      <c r="THH253" s="9"/>
      <c r="THI253" s="4"/>
      <c r="THJ253" s="9"/>
      <c r="THK253" s="4"/>
      <c r="THL253" s="9"/>
      <c r="THM253" s="4"/>
      <c r="THN253" s="9"/>
      <c r="THO253" s="4"/>
      <c r="THP253" s="9"/>
      <c r="THQ253" s="4"/>
      <c r="THR253" s="9"/>
      <c r="THS253" s="4"/>
      <c r="THT253" s="9"/>
      <c r="THU253" s="4"/>
      <c r="THV253" s="9"/>
      <c r="THW253" s="4"/>
      <c r="THX253" s="9"/>
      <c r="THY253" s="4"/>
      <c r="THZ253" s="9"/>
      <c r="TIA253" s="4"/>
      <c r="TIB253" s="9"/>
      <c r="TIC253" s="4"/>
      <c r="TID253" s="9"/>
      <c r="TIE253" s="4"/>
      <c r="TIF253" s="9"/>
      <c r="TIG253" s="4"/>
      <c r="TIH253" s="9"/>
      <c r="TII253" s="4"/>
      <c r="TIJ253" s="9"/>
      <c r="TIK253" s="4"/>
      <c r="TIL253" s="9"/>
      <c r="TIM253" s="4"/>
      <c r="TIN253" s="9"/>
      <c r="TIO253" s="4"/>
      <c r="TIP253" s="9"/>
      <c r="TIQ253" s="4"/>
      <c r="TIR253" s="9"/>
      <c r="TIS253" s="4"/>
      <c r="TIT253" s="9"/>
      <c r="TIU253" s="4"/>
      <c r="TIV253" s="9"/>
      <c r="TIW253" s="4"/>
      <c r="TIX253" s="9"/>
      <c r="TIY253" s="4"/>
      <c r="TIZ253" s="9"/>
      <c r="TJA253" s="4"/>
      <c r="TJB253" s="9"/>
      <c r="TJC253" s="4"/>
      <c r="TJD253" s="9"/>
      <c r="TJE253" s="4"/>
      <c r="TJF253" s="9"/>
      <c r="TJG253" s="4"/>
      <c r="TJH253" s="9"/>
      <c r="TJI253" s="4"/>
      <c r="TJJ253" s="9"/>
      <c r="TJK253" s="4"/>
      <c r="TJL253" s="9"/>
      <c r="TJM253" s="4"/>
      <c r="TJN253" s="9"/>
      <c r="TJO253" s="4"/>
      <c r="TJP253" s="9"/>
      <c r="TJQ253" s="4"/>
      <c r="TJR253" s="9"/>
      <c r="TJS253" s="4"/>
      <c r="TJT253" s="9"/>
      <c r="TJU253" s="4"/>
      <c r="TJV253" s="9"/>
      <c r="TJW253" s="4"/>
      <c r="TJX253" s="9"/>
      <c r="TJY253" s="4"/>
      <c r="TJZ253" s="9"/>
      <c r="TKA253" s="4"/>
      <c r="TKB253" s="9"/>
      <c r="TKC253" s="4"/>
      <c r="TKD253" s="9"/>
      <c r="TKE253" s="4"/>
      <c r="TKF253" s="9"/>
      <c r="TKG253" s="4"/>
      <c r="TKH253" s="9"/>
      <c r="TKI253" s="4"/>
      <c r="TKJ253" s="9"/>
      <c r="TKK253" s="4"/>
      <c r="TKL253" s="9"/>
      <c r="TKM253" s="4"/>
      <c r="TKN253" s="9"/>
      <c r="TKO253" s="4"/>
      <c r="TKP253" s="9"/>
      <c r="TKQ253" s="4"/>
      <c r="TKR253" s="9"/>
      <c r="TKS253" s="4"/>
      <c r="TKT253" s="9"/>
      <c r="TKU253" s="4"/>
      <c r="TKV253" s="9"/>
      <c r="TKW253" s="4"/>
      <c r="TKX253" s="9"/>
      <c r="TKY253" s="4"/>
      <c r="TKZ253" s="9"/>
      <c r="TLA253" s="4"/>
      <c r="TLB253" s="9"/>
      <c r="TLC253" s="4"/>
      <c r="TLD253" s="9"/>
      <c r="TLE253" s="4"/>
      <c r="TLF253" s="9"/>
      <c r="TLG253" s="4"/>
      <c r="TLH253" s="9"/>
      <c r="TLI253" s="4"/>
      <c r="TLJ253" s="9"/>
      <c r="TLK253" s="4"/>
      <c r="TLL253" s="9"/>
      <c r="TLM253" s="4"/>
      <c r="TLN253" s="9"/>
      <c r="TLO253" s="4"/>
      <c r="TLP253" s="9"/>
      <c r="TLQ253" s="4"/>
      <c r="TLR253" s="9"/>
      <c r="TLS253" s="4"/>
      <c r="TLT253" s="9"/>
      <c r="TLU253" s="4"/>
      <c r="TLV253" s="9"/>
      <c r="TLW253" s="4"/>
      <c r="TLX253" s="9"/>
      <c r="TLY253" s="4"/>
      <c r="TLZ253" s="9"/>
      <c r="TMA253" s="4"/>
      <c r="TMB253" s="9"/>
      <c r="TMC253" s="4"/>
      <c r="TMD253" s="9"/>
      <c r="TME253" s="4"/>
      <c r="TMF253" s="9"/>
      <c r="TMG253" s="4"/>
      <c r="TMH253" s="9"/>
      <c r="TMI253" s="4"/>
      <c r="TMJ253" s="9"/>
      <c r="TMK253" s="4"/>
      <c r="TML253" s="9"/>
      <c r="TMM253" s="4"/>
      <c r="TMN253" s="9"/>
      <c r="TMO253" s="4"/>
      <c r="TMP253" s="9"/>
      <c r="TMQ253" s="4"/>
      <c r="TMR253" s="9"/>
      <c r="TMS253" s="4"/>
      <c r="TMT253" s="9"/>
      <c r="TMU253" s="4"/>
      <c r="TMV253" s="9"/>
      <c r="TMW253" s="4"/>
      <c r="TMX253" s="9"/>
      <c r="TMY253" s="4"/>
      <c r="TMZ253" s="9"/>
      <c r="TNA253" s="4"/>
      <c r="TNB253" s="9"/>
      <c r="TNC253" s="4"/>
      <c r="TND253" s="9"/>
      <c r="TNE253" s="4"/>
      <c r="TNF253" s="9"/>
      <c r="TNG253" s="4"/>
      <c r="TNH253" s="9"/>
      <c r="TNI253" s="4"/>
      <c r="TNJ253" s="9"/>
      <c r="TNK253" s="4"/>
      <c r="TNL253" s="9"/>
      <c r="TNM253" s="4"/>
      <c r="TNN253" s="9"/>
      <c r="TNO253" s="4"/>
      <c r="TNP253" s="9"/>
      <c r="TNQ253" s="4"/>
      <c r="TNR253" s="9"/>
      <c r="TNS253" s="4"/>
      <c r="TNT253" s="9"/>
      <c r="TNU253" s="4"/>
      <c r="TNV253" s="9"/>
      <c r="TNW253" s="4"/>
      <c r="TNX253" s="9"/>
      <c r="TNY253" s="4"/>
      <c r="TNZ253" s="9"/>
      <c r="TOA253" s="4"/>
      <c r="TOB253" s="9"/>
      <c r="TOC253" s="4"/>
      <c r="TOD253" s="9"/>
      <c r="TOE253" s="4"/>
      <c r="TOF253" s="9"/>
      <c r="TOG253" s="4"/>
      <c r="TOH253" s="9"/>
      <c r="TOI253" s="4"/>
      <c r="TOJ253" s="9"/>
      <c r="TOK253" s="4"/>
      <c r="TOL253" s="9"/>
      <c r="TOM253" s="4"/>
      <c r="TON253" s="9"/>
      <c r="TOO253" s="4"/>
      <c r="TOP253" s="9"/>
      <c r="TOQ253" s="4"/>
      <c r="TOR253" s="9"/>
      <c r="TOS253" s="4"/>
      <c r="TOT253" s="9"/>
      <c r="TOU253" s="4"/>
      <c r="TOV253" s="9"/>
      <c r="TOW253" s="4"/>
      <c r="TOX253" s="9"/>
      <c r="TOY253" s="4"/>
      <c r="TOZ253" s="9"/>
      <c r="TPA253" s="4"/>
      <c r="TPB253" s="9"/>
      <c r="TPC253" s="4"/>
      <c r="TPD253" s="9"/>
      <c r="TPE253" s="4"/>
      <c r="TPF253" s="9"/>
      <c r="TPG253" s="4"/>
      <c r="TPH253" s="9"/>
      <c r="TPI253" s="4"/>
      <c r="TPJ253" s="9"/>
      <c r="TPK253" s="4"/>
      <c r="TPL253" s="9"/>
      <c r="TPM253" s="4"/>
      <c r="TPN253" s="9"/>
      <c r="TPO253" s="4"/>
      <c r="TPP253" s="9"/>
      <c r="TPQ253" s="4"/>
      <c r="TPR253" s="9"/>
      <c r="TPS253" s="4"/>
      <c r="TPT253" s="9"/>
      <c r="TPU253" s="4"/>
      <c r="TPV253" s="9"/>
      <c r="TPW253" s="4"/>
      <c r="TPX253" s="9"/>
      <c r="TPY253" s="4"/>
      <c r="TPZ253" s="9"/>
      <c r="TQA253" s="4"/>
      <c r="TQB253" s="9"/>
      <c r="TQC253" s="4"/>
      <c r="TQD253" s="9"/>
      <c r="TQE253" s="4"/>
      <c r="TQF253" s="9"/>
      <c r="TQG253" s="4"/>
      <c r="TQH253" s="9"/>
      <c r="TQI253" s="4"/>
      <c r="TQJ253" s="9"/>
      <c r="TQK253" s="4"/>
      <c r="TQL253" s="9"/>
      <c r="TQM253" s="4"/>
      <c r="TQN253" s="9"/>
      <c r="TQO253" s="4"/>
      <c r="TQP253" s="9"/>
      <c r="TQQ253" s="4"/>
      <c r="TQR253" s="9"/>
      <c r="TQS253" s="4"/>
      <c r="TQT253" s="9"/>
      <c r="TQU253" s="4"/>
      <c r="TQV253" s="9"/>
      <c r="TQW253" s="4"/>
      <c r="TQX253" s="9"/>
      <c r="TQY253" s="4"/>
      <c r="TQZ253" s="9"/>
      <c r="TRA253" s="4"/>
      <c r="TRB253" s="9"/>
      <c r="TRC253" s="4"/>
      <c r="TRD253" s="9"/>
      <c r="TRE253" s="4"/>
      <c r="TRF253" s="9"/>
      <c r="TRG253" s="4"/>
      <c r="TRH253" s="9"/>
      <c r="TRI253" s="4"/>
      <c r="TRJ253" s="9"/>
      <c r="TRK253" s="4"/>
      <c r="TRL253" s="9"/>
      <c r="TRM253" s="4"/>
      <c r="TRN253" s="9"/>
      <c r="TRO253" s="4"/>
      <c r="TRP253" s="9"/>
      <c r="TRQ253" s="4"/>
      <c r="TRR253" s="9"/>
      <c r="TRS253" s="4"/>
      <c r="TRT253" s="9"/>
      <c r="TRU253" s="4"/>
      <c r="TRV253" s="9"/>
      <c r="TRW253" s="4"/>
      <c r="TRX253" s="9"/>
      <c r="TRY253" s="4"/>
      <c r="TRZ253" s="9"/>
      <c r="TSA253" s="4"/>
      <c r="TSB253" s="9"/>
      <c r="TSC253" s="4"/>
      <c r="TSD253" s="9"/>
      <c r="TSE253" s="4"/>
      <c r="TSF253" s="9"/>
      <c r="TSG253" s="4"/>
      <c r="TSH253" s="9"/>
      <c r="TSI253" s="4"/>
      <c r="TSJ253" s="9"/>
      <c r="TSK253" s="4"/>
      <c r="TSL253" s="9"/>
      <c r="TSM253" s="4"/>
      <c r="TSN253" s="9"/>
      <c r="TSO253" s="4"/>
      <c r="TSP253" s="9"/>
      <c r="TSQ253" s="4"/>
      <c r="TSR253" s="9"/>
      <c r="TSS253" s="4"/>
      <c r="TST253" s="9"/>
      <c r="TSU253" s="4"/>
      <c r="TSV253" s="9"/>
      <c r="TSW253" s="4"/>
      <c r="TSX253" s="9"/>
      <c r="TSY253" s="4"/>
      <c r="TSZ253" s="9"/>
      <c r="TTA253" s="4"/>
      <c r="TTB253" s="9"/>
      <c r="TTC253" s="4"/>
      <c r="TTD253" s="9"/>
      <c r="TTE253" s="4"/>
      <c r="TTF253" s="9"/>
      <c r="TTG253" s="4"/>
      <c r="TTH253" s="9"/>
      <c r="TTI253" s="4"/>
      <c r="TTJ253" s="9"/>
      <c r="TTK253" s="4"/>
      <c r="TTL253" s="9"/>
      <c r="TTM253" s="4"/>
      <c r="TTN253" s="9"/>
      <c r="TTO253" s="4"/>
      <c r="TTP253" s="9"/>
      <c r="TTQ253" s="4"/>
      <c r="TTR253" s="9"/>
      <c r="TTS253" s="4"/>
      <c r="TTT253" s="9"/>
      <c r="TTU253" s="4"/>
      <c r="TTV253" s="9"/>
      <c r="TTW253" s="4"/>
      <c r="TTX253" s="9"/>
      <c r="TTY253" s="4"/>
      <c r="TTZ253" s="9"/>
      <c r="TUA253" s="4"/>
      <c r="TUB253" s="9"/>
      <c r="TUC253" s="4"/>
      <c r="TUD253" s="9"/>
      <c r="TUE253" s="4"/>
      <c r="TUF253" s="9"/>
      <c r="TUG253" s="4"/>
      <c r="TUH253" s="9"/>
      <c r="TUI253" s="4"/>
      <c r="TUJ253" s="9"/>
      <c r="TUK253" s="4"/>
      <c r="TUL253" s="9"/>
      <c r="TUM253" s="4"/>
      <c r="TUN253" s="9"/>
      <c r="TUO253" s="4"/>
      <c r="TUP253" s="9"/>
      <c r="TUQ253" s="4"/>
      <c r="TUR253" s="9"/>
      <c r="TUS253" s="4"/>
      <c r="TUT253" s="9"/>
      <c r="TUU253" s="4"/>
      <c r="TUV253" s="9"/>
      <c r="TUW253" s="4"/>
      <c r="TUX253" s="9"/>
      <c r="TUY253" s="4"/>
      <c r="TUZ253" s="9"/>
      <c r="TVA253" s="4"/>
      <c r="TVB253" s="9"/>
      <c r="TVC253" s="4"/>
      <c r="TVD253" s="9"/>
      <c r="TVE253" s="4"/>
      <c r="TVF253" s="9"/>
      <c r="TVG253" s="4"/>
      <c r="TVH253" s="9"/>
      <c r="TVI253" s="4"/>
      <c r="TVJ253" s="9"/>
      <c r="TVK253" s="4"/>
      <c r="TVL253" s="9"/>
      <c r="TVM253" s="4"/>
      <c r="TVN253" s="9"/>
      <c r="TVO253" s="4"/>
      <c r="TVP253" s="9"/>
      <c r="TVQ253" s="4"/>
      <c r="TVR253" s="9"/>
      <c r="TVS253" s="4"/>
      <c r="TVT253" s="9"/>
      <c r="TVU253" s="4"/>
      <c r="TVV253" s="9"/>
      <c r="TVW253" s="4"/>
      <c r="TVX253" s="9"/>
      <c r="TVY253" s="4"/>
      <c r="TVZ253" s="9"/>
      <c r="TWA253" s="4"/>
      <c r="TWB253" s="9"/>
      <c r="TWC253" s="4"/>
      <c r="TWD253" s="9"/>
      <c r="TWE253" s="4"/>
      <c r="TWF253" s="9"/>
      <c r="TWG253" s="4"/>
      <c r="TWH253" s="9"/>
      <c r="TWI253" s="4"/>
      <c r="TWJ253" s="9"/>
      <c r="TWK253" s="4"/>
      <c r="TWL253" s="9"/>
      <c r="TWM253" s="4"/>
      <c r="TWN253" s="9"/>
      <c r="TWO253" s="4"/>
      <c r="TWP253" s="9"/>
      <c r="TWQ253" s="4"/>
      <c r="TWR253" s="9"/>
      <c r="TWS253" s="4"/>
      <c r="TWT253" s="9"/>
      <c r="TWU253" s="4"/>
      <c r="TWV253" s="9"/>
      <c r="TWW253" s="4"/>
      <c r="TWX253" s="9"/>
      <c r="TWY253" s="4"/>
      <c r="TWZ253" s="9"/>
      <c r="TXA253" s="4"/>
      <c r="TXB253" s="9"/>
      <c r="TXC253" s="4"/>
      <c r="TXD253" s="9"/>
      <c r="TXE253" s="4"/>
      <c r="TXF253" s="9"/>
      <c r="TXG253" s="4"/>
      <c r="TXH253" s="9"/>
      <c r="TXI253" s="4"/>
      <c r="TXJ253" s="9"/>
      <c r="TXK253" s="4"/>
      <c r="TXL253" s="9"/>
      <c r="TXM253" s="4"/>
      <c r="TXN253" s="9"/>
      <c r="TXO253" s="4"/>
      <c r="TXP253" s="9"/>
      <c r="TXQ253" s="4"/>
      <c r="TXR253" s="9"/>
      <c r="TXS253" s="4"/>
      <c r="TXT253" s="9"/>
      <c r="TXU253" s="4"/>
      <c r="TXV253" s="9"/>
      <c r="TXW253" s="4"/>
      <c r="TXX253" s="9"/>
      <c r="TXY253" s="4"/>
      <c r="TXZ253" s="9"/>
      <c r="TYA253" s="4"/>
      <c r="TYB253" s="9"/>
      <c r="TYC253" s="4"/>
      <c r="TYD253" s="9"/>
      <c r="TYE253" s="4"/>
      <c r="TYF253" s="9"/>
      <c r="TYG253" s="4"/>
      <c r="TYH253" s="9"/>
      <c r="TYI253" s="4"/>
      <c r="TYJ253" s="9"/>
      <c r="TYK253" s="4"/>
      <c r="TYL253" s="9"/>
      <c r="TYM253" s="4"/>
      <c r="TYN253" s="9"/>
      <c r="TYO253" s="4"/>
      <c r="TYP253" s="9"/>
      <c r="TYQ253" s="4"/>
      <c r="TYR253" s="9"/>
      <c r="TYS253" s="4"/>
      <c r="TYT253" s="9"/>
      <c r="TYU253" s="4"/>
      <c r="TYV253" s="9"/>
      <c r="TYW253" s="4"/>
      <c r="TYX253" s="9"/>
      <c r="TYY253" s="4"/>
      <c r="TYZ253" s="9"/>
      <c r="TZA253" s="4"/>
      <c r="TZB253" s="9"/>
      <c r="TZC253" s="4"/>
      <c r="TZD253" s="9"/>
      <c r="TZE253" s="4"/>
      <c r="TZF253" s="9"/>
      <c r="TZG253" s="4"/>
      <c r="TZH253" s="9"/>
      <c r="TZI253" s="4"/>
      <c r="TZJ253" s="9"/>
      <c r="TZK253" s="4"/>
      <c r="TZL253" s="9"/>
      <c r="TZM253" s="4"/>
      <c r="TZN253" s="9"/>
      <c r="TZO253" s="4"/>
      <c r="TZP253" s="9"/>
      <c r="TZQ253" s="4"/>
      <c r="TZR253" s="9"/>
      <c r="TZS253" s="4"/>
      <c r="TZT253" s="9"/>
      <c r="TZU253" s="4"/>
      <c r="TZV253" s="9"/>
      <c r="TZW253" s="4"/>
      <c r="TZX253" s="9"/>
      <c r="TZY253" s="4"/>
      <c r="TZZ253" s="9"/>
      <c r="UAA253" s="4"/>
      <c r="UAB253" s="9"/>
      <c r="UAC253" s="4"/>
      <c r="UAD253" s="9"/>
      <c r="UAE253" s="4"/>
      <c r="UAF253" s="9"/>
      <c r="UAG253" s="4"/>
      <c r="UAH253" s="9"/>
      <c r="UAI253" s="4"/>
      <c r="UAJ253" s="9"/>
      <c r="UAK253" s="4"/>
      <c r="UAL253" s="9"/>
      <c r="UAM253" s="4"/>
      <c r="UAN253" s="9"/>
      <c r="UAO253" s="4"/>
      <c r="UAP253" s="9"/>
      <c r="UAQ253" s="4"/>
      <c r="UAR253" s="9"/>
      <c r="UAS253" s="4"/>
      <c r="UAT253" s="9"/>
      <c r="UAU253" s="4"/>
      <c r="UAV253" s="9"/>
      <c r="UAW253" s="4"/>
      <c r="UAX253" s="9"/>
      <c r="UAY253" s="4"/>
      <c r="UAZ253" s="9"/>
      <c r="UBA253" s="4"/>
      <c r="UBB253" s="9"/>
      <c r="UBC253" s="4"/>
      <c r="UBD253" s="9"/>
      <c r="UBE253" s="4"/>
      <c r="UBF253" s="9"/>
      <c r="UBG253" s="4"/>
      <c r="UBH253" s="9"/>
      <c r="UBI253" s="4"/>
      <c r="UBJ253" s="9"/>
      <c r="UBK253" s="4"/>
      <c r="UBL253" s="9"/>
      <c r="UBM253" s="4"/>
      <c r="UBN253" s="9"/>
      <c r="UBO253" s="4"/>
      <c r="UBP253" s="9"/>
      <c r="UBQ253" s="4"/>
      <c r="UBR253" s="9"/>
      <c r="UBS253" s="4"/>
      <c r="UBT253" s="9"/>
      <c r="UBU253" s="4"/>
      <c r="UBV253" s="9"/>
      <c r="UBW253" s="4"/>
      <c r="UBX253" s="9"/>
      <c r="UBY253" s="4"/>
      <c r="UBZ253" s="9"/>
      <c r="UCA253" s="4"/>
      <c r="UCB253" s="9"/>
      <c r="UCC253" s="4"/>
      <c r="UCD253" s="9"/>
      <c r="UCE253" s="4"/>
      <c r="UCF253" s="9"/>
      <c r="UCG253" s="4"/>
      <c r="UCH253" s="9"/>
      <c r="UCI253" s="4"/>
      <c r="UCJ253" s="9"/>
      <c r="UCK253" s="4"/>
      <c r="UCL253" s="9"/>
      <c r="UCM253" s="4"/>
      <c r="UCN253" s="9"/>
      <c r="UCO253" s="4"/>
      <c r="UCP253" s="9"/>
      <c r="UCQ253" s="4"/>
      <c r="UCR253" s="9"/>
      <c r="UCS253" s="4"/>
      <c r="UCT253" s="9"/>
      <c r="UCU253" s="4"/>
      <c r="UCV253" s="9"/>
      <c r="UCW253" s="4"/>
      <c r="UCX253" s="9"/>
      <c r="UCY253" s="4"/>
      <c r="UCZ253" s="9"/>
      <c r="UDA253" s="4"/>
      <c r="UDB253" s="9"/>
      <c r="UDC253" s="4"/>
      <c r="UDD253" s="9"/>
      <c r="UDE253" s="4"/>
      <c r="UDF253" s="9"/>
      <c r="UDG253" s="4"/>
      <c r="UDH253" s="9"/>
      <c r="UDI253" s="4"/>
      <c r="UDJ253" s="9"/>
      <c r="UDK253" s="4"/>
      <c r="UDL253" s="9"/>
      <c r="UDM253" s="4"/>
      <c r="UDN253" s="9"/>
      <c r="UDO253" s="4"/>
      <c r="UDP253" s="9"/>
      <c r="UDQ253" s="4"/>
      <c r="UDR253" s="9"/>
      <c r="UDS253" s="4"/>
      <c r="UDT253" s="9"/>
      <c r="UDU253" s="4"/>
      <c r="UDV253" s="9"/>
      <c r="UDW253" s="4"/>
      <c r="UDX253" s="9"/>
      <c r="UDY253" s="4"/>
      <c r="UDZ253" s="9"/>
      <c r="UEA253" s="4"/>
      <c r="UEB253" s="9"/>
      <c r="UEC253" s="4"/>
      <c r="UED253" s="9"/>
      <c r="UEE253" s="4"/>
      <c r="UEF253" s="9"/>
      <c r="UEG253" s="4"/>
      <c r="UEH253" s="9"/>
      <c r="UEI253" s="4"/>
      <c r="UEJ253" s="9"/>
      <c r="UEK253" s="4"/>
      <c r="UEL253" s="9"/>
      <c r="UEM253" s="4"/>
      <c r="UEN253" s="9"/>
      <c r="UEO253" s="4"/>
      <c r="UEP253" s="9"/>
      <c r="UEQ253" s="4"/>
      <c r="UER253" s="9"/>
      <c r="UES253" s="4"/>
      <c r="UET253" s="9"/>
      <c r="UEU253" s="4"/>
      <c r="UEV253" s="9"/>
      <c r="UEW253" s="4"/>
      <c r="UEX253" s="9"/>
      <c r="UEY253" s="4"/>
      <c r="UEZ253" s="9"/>
      <c r="UFA253" s="4"/>
      <c r="UFB253" s="9"/>
      <c r="UFC253" s="4"/>
      <c r="UFD253" s="9"/>
      <c r="UFE253" s="4"/>
      <c r="UFF253" s="9"/>
      <c r="UFG253" s="4"/>
      <c r="UFH253" s="9"/>
      <c r="UFI253" s="4"/>
      <c r="UFJ253" s="9"/>
      <c r="UFK253" s="4"/>
      <c r="UFL253" s="9"/>
      <c r="UFM253" s="4"/>
      <c r="UFN253" s="9"/>
      <c r="UFO253" s="4"/>
      <c r="UFP253" s="9"/>
      <c r="UFQ253" s="4"/>
      <c r="UFR253" s="9"/>
      <c r="UFS253" s="4"/>
      <c r="UFT253" s="9"/>
      <c r="UFU253" s="4"/>
      <c r="UFV253" s="9"/>
      <c r="UFW253" s="4"/>
      <c r="UFX253" s="9"/>
      <c r="UFY253" s="4"/>
      <c r="UFZ253" s="9"/>
      <c r="UGA253" s="4"/>
      <c r="UGB253" s="9"/>
      <c r="UGC253" s="4"/>
      <c r="UGD253" s="9"/>
      <c r="UGE253" s="4"/>
      <c r="UGF253" s="9"/>
      <c r="UGG253" s="4"/>
      <c r="UGH253" s="9"/>
      <c r="UGI253" s="4"/>
      <c r="UGJ253" s="9"/>
      <c r="UGK253" s="4"/>
      <c r="UGL253" s="9"/>
      <c r="UGM253" s="4"/>
      <c r="UGN253" s="9"/>
      <c r="UGO253" s="4"/>
      <c r="UGP253" s="9"/>
      <c r="UGQ253" s="4"/>
      <c r="UGR253" s="9"/>
      <c r="UGS253" s="4"/>
      <c r="UGT253" s="9"/>
      <c r="UGU253" s="4"/>
      <c r="UGV253" s="9"/>
      <c r="UGW253" s="4"/>
      <c r="UGX253" s="9"/>
      <c r="UGY253" s="4"/>
      <c r="UGZ253" s="9"/>
      <c r="UHA253" s="4"/>
      <c r="UHB253" s="9"/>
      <c r="UHC253" s="4"/>
      <c r="UHD253" s="9"/>
      <c r="UHE253" s="4"/>
      <c r="UHF253" s="9"/>
      <c r="UHG253" s="4"/>
      <c r="UHH253" s="9"/>
      <c r="UHI253" s="4"/>
      <c r="UHJ253" s="9"/>
      <c r="UHK253" s="4"/>
      <c r="UHL253" s="9"/>
      <c r="UHM253" s="4"/>
      <c r="UHN253" s="9"/>
      <c r="UHO253" s="4"/>
      <c r="UHP253" s="9"/>
      <c r="UHQ253" s="4"/>
      <c r="UHR253" s="9"/>
      <c r="UHS253" s="4"/>
      <c r="UHT253" s="9"/>
      <c r="UHU253" s="4"/>
      <c r="UHV253" s="9"/>
      <c r="UHW253" s="4"/>
      <c r="UHX253" s="9"/>
      <c r="UHY253" s="4"/>
      <c r="UHZ253" s="9"/>
      <c r="UIA253" s="4"/>
      <c r="UIB253" s="9"/>
      <c r="UIC253" s="4"/>
      <c r="UID253" s="9"/>
      <c r="UIE253" s="4"/>
      <c r="UIF253" s="9"/>
      <c r="UIG253" s="4"/>
      <c r="UIH253" s="9"/>
      <c r="UII253" s="4"/>
      <c r="UIJ253" s="9"/>
      <c r="UIK253" s="4"/>
      <c r="UIL253" s="9"/>
      <c r="UIM253" s="4"/>
      <c r="UIN253" s="9"/>
      <c r="UIO253" s="4"/>
      <c r="UIP253" s="9"/>
      <c r="UIQ253" s="4"/>
      <c r="UIR253" s="9"/>
      <c r="UIS253" s="4"/>
      <c r="UIT253" s="9"/>
      <c r="UIU253" s="4"/>
      <c r="UIV253" s="9"/>
      <c r="UIW253" s="4"/>
      <c r="UIX253" s="9"/>
      <c r="UIY253" s="4"/>
      <c r="UIZ253" s="9"/>
      <c r="UJA253" s="4"/>
      <c r="UJB253" s="9"/>
      <c r="UJC253" s="4"/>
      <c r="UJD253" s="9"/>
      <c r="UJE253" s="4"/>
      <c r="UJF253" s="9"/>
      <c r="UJG253" s="4"/>
      <c r="UJH253" s="9"/>
      <c r="UJI253" s="4"/>
      <c r="UJJ253" s="9"/>
      <c r="UJK253" s="4"/>
      <c r="UJL253" s="9"/>
      <c r="UJM253" s="4"/>
      <c r="UJN253" s="9"/>
      <c r="UJO253" s="4"/>
      <c r="UJP253" s="9"/>
      <c r="UJQ253" s="4"/>
      <c r="UJR253" s="9"/>
      <c r="UJS253" s="4"/>
      <c r="UJT253" s="9"/>
      <c r="UJU253" s="4"/>
      <c r="UJV253" s="9"/>
      <c r="UJW253" s="4"/>
      <c r="UJX253" s="9"/>
      <c r="UJY253" s="4"/>
      <c r="UJZ253" s="9"/>
      <c r="UKA253" s="4"/>
      <c r="UKB253" s="9"/>
      <c r="UKC253" s="4"/>
      <c r="UKD253" s="9"/>
      <c r="UKE253" s="4"/>
      <c r="UKF253" s="9"/>
      <c r="UKG253" s="4"/>
      <c r="UKH253" s="9"/>
      <c r="UKI253" s="4"/>
      <c r="UKJ253" s="9"/>
      <c r="UKK253" s="4"/>
      <c r="UKL253" s="9"/>
      <c r="UKM253" s="4"/>
      <c r="UKN253" s="9"/>
      <c r="UKO253" s="4"/>
      <c r="UKP253" s="9"/>
      <c r="UKQ253" s="4"/>
      <c r="UKR253" s="9"/>
      <c r="UKS253" s="4"/>
      <c r="UKT253" s="9"/>
      <c r="UKU253" s="4"/>
      <c r="UKV253" s="9"/>
      <c r="UKW253" s="4"/>
      <c r="UKX253" s="9"/>
      <c r="UKY253" s="4"/>
      <c r="UKZ253" s="9"/>
      <c r="ULA253" s="4"/>
      <c r="ULB253" s="9"/>
      <c r="ULC253" s="4"/>
      <c r="ULD253" s="9"/>
      <c r="ULE253" s="4"/>
      <c r="ULF253" s="9"/>
      <c r="ULG253" s="4"/>
      <c r="ULH253" s="9"/>
      <c r="ULI253" s="4"/>
      <c r="ULJ253" s="9"/>
      <c r="ULK253" s="4"/>
      <c r="ULL253" s="9"/>
      <c r="ULM253" s="4"/>
      <c r="ULN253" s="9"/>
      <c r="ULO253" s="4"/>
      <c r="ULP253" s="9"/>
      <c r="ULQ253" s="4"/>
      <c r="ULR253" s="9"/>
      <c r="ULS253" s="4"/>
      <c r="ULT253" s="9"/>
      <c r="ULU253" s="4"/>
      <c r="ULV253" s="9"/>
      <c r="ULW253" s="4"/>
      <c r="ULX253" s="9"/>
      <c r="ULY253" s="4"/>
      <c r="ULZ253" s="9"/>
      <c r="UMA253" s="4"/>
      <c r="UMB253" s="9"/>
      <c r="UMC253" s="4"/>
      <c r="UMD253" s="9"/>
      <c r="UME253" s="4"/>
      <c r="UMF253" s="9"/>
      <c r="UMG253" s="4"/>
      <c r="UMH253" s="9"/>
      <c r="UMI253" s="4"/>
      <c r="UMJ253" s="9"/>
      <c r="UMK253" s="4"/>
      <c r="UML253" s="9"/>
      <c r="UMM253" s="4"/>
      <c r="UMN253" s="9"/>
      <c r="UMO253" s="4"/>
      <c r="UMP253" s="9"/>
      <c r="UMQ253" s="4"/>
      <c r="UMR253" s="9"/>
      <c r="UMS253" s="4"/>
      <c r="UMT253" s="9"/>
      <c r="UMU253" s="4"/>
      <c r="UMV253" s="9"/>
      <c r="UMW253" s="4"/>
      <c r="UMX253" s="9"/>
      <c r="UMY253" s="4"/>
      <c r="UMZ253" s="9"/>
      <c r="UNA253" s="4"/>
      <c r="UNB253" s="9"/>
      <c r="UNC253" s="4"/>
      <c r="UND253" s="9"/>
      <c r="UNE253" s="4"/>
      <c r="UNF253" s="9"/>
      <c r="UNG253" s="4"/>
      <c r="UNH253" s="9"/>
      <c r="UNI253" s="4"/>
      <c r="UNJ253" s="9"/>
      <c r="UNK253" s="4"/>
      <c r="UNL253" s="9"/>
      <c r="UNM253" s="4"/>
      <c r="UNN253" s="9"/>
      <c r="UNO253" s="4"/>
      <c r="UNP253" s="9"/>
      <c r="UNQ253" s="4"/>
      <c r="UNR253" s="9"/>
      <c r="UNS253" s="4"/>
      <c r="UNT253" s="9"/>
      <c r="UNU253" s="4"/>
      <c r="UNV253" s="9"/>
      <c r="UNW253" s="4"/>
      <c r="UNX253" s="9"/>
      <c r="UNY253" s="4"/>
      <c r="UNZ253" s="9"/>
      <c r="UOA253" s="4"/>
      <c r="UOB253" s="9"/>
      <c r="UOC253" s="4"/>
      <c r="UOD253" s="9"/>
      <c r="UOE253" s="4"/>
      <c r="UOF253" s="9"/>
      <c r="UOG253" s="4"/>
      <c r="UOH253" s="9"/>
      <c r="UOI253" s="4"/>
      <c r="UOJ253" s="9"/>
      <c r="UOK253" s="4"/>
      <c r="UOL253" s="9"/>
      <c r="UOM253" s="4"/>
      <c r="UON253" s="9"/>
      <c r="UOO253" s="4"/>
      <c r="UOP253" s="9"/>
      <c r="UOQ253" s="4"/>
      <c r="UOR253" s="9"/>
      <c r="UOS253" s="4"/>
      <c r="UOT253" s="9"/>
      <c r="UOU253" s="4"/>
      <c r="UOV253" s="9"/>
      <c r="UOW253" s="4"/>
      <c r="UOX253" s="9"/>
      <c r="UOY253" s="4"/>
      <c r="UOZ253" s="9"/>
      <c r="UPA253" s="4"/>
      <c r="UPB253" s="9"/>
      <c r="UPC253" s="4"/>
      <c r="UPD253" s="9"/>
      <c r="UPE253" s="4"/>
      <c r="UPF253" s="9"/>
      <c r="UPG253" s="4"/>
      <c r="UPH253" s="9"/>
      <c r="UPI253" s="4"/>
      <c r="UPJ253" s="9"/>
      <c r="UPK253" s="4"/>
      <c r="UPL253" s="9"/>
      <c r="UPM253" s="4"/>
      <c r="UPN253" s="9"/>
      <c r="UPO253" s="4"/>
      <c r="UPP253" s="9"/>
      <c r="UPQ253" s="4"/>
      <c r="UPR253" s="9"/>
      <c r="UPS253" s="4"/>
      <c r="UPT253" s="9"/>
      <c r="UPU253" s="4"/>
      <c r="UPV253" s="9"/>
      <c r="UPW253" s="4"/>
      <c r="UPX253" s="9"/>
      <c r="UPY253" s="4"/>
      <c r="UPZ253" s="9"/>
      <c r="UQA253" s="4"/>
      <c r="UQB253" s="9"/>
      <c r="UQC253" s="4"/>
      <c r="UQD253" s="9"/>
      <c r="UQE253" s="4"/>
      <c r="UQF253" s="9"/>
      <c r="UQG253" s="4"/>
      <c r="UQH253" s="9"/>
      <c r="UQI253" s="4"/>
      <c r="UQJ253" s="9"/>
      <c r="UQK253" s="4"/>
      <c r="UQL253" s="9"/>
      <c r="UQM253" s="4"/>
      <c r="UQN253" s="9"/>
      <c r="UQO253" s="4"/>
      <c r="UQP253" s="9"/>
      <c r="UQQ253" s="4"/>
      <c r="UQR253" s="9"/>
      <c r="UQS253" s="4"/>
      <c r="UQT253" s="9"/>
      <c r="UQU253" s="4"/>
      <c r="UQV253" s="9"/>
      <c r="UQW253" s="4"/>
      <c r="UQX253" s="9"/>
      <c r="UQY253" s="4"/>
      <c r="UQZ253" s="9"/>
      <c r="URA253" s="4"/>
      <c r="URB253" s="9"/>
      <c r="URC253" s="4"/>
      <c r="URD253" s="9"/>
      <c r="URE253" s="4"/>
      <c r="URF253" s="9"/>
      <c r="URG253" s="4"/>
      <c r="URH253" s="9"/>
      <c r="URI253" s="4"/>
      <c r="URJ253" s="9"/>
      <c r="URK253" s="4"/>
      <c r="URL253" s="9"/>
      <c r="URM253" s="4"/>
      <c r="URN253" s="9"/>
      <c r="URO253" s="4"/>
      <c r="URP253" s="9"/>
      <c r="URQ253" s="4"/>
      <c r="URR253" s="9"/>
      <c r="URS253" s="4"/>
      <c r="URT253" s="9"/>
      <c r="URU253" s="4"/>
      <c r="URV253" s="9"/>
      <c r="URW253" s="4"/>
      <c r="URX253" s="9"/>
      <c r="URY253" s="4"/>
      <c r="URZ253" s="9"/>
      <c r="USA253" s="4"/>
      <c r="USB253" s="9"/>
      <c r="USC253" s="4"/>
      <c r="USD253" s="9"/>
      <c r="USE253" s="4"/>
      <c r="USF253" s="9"/>
      <c r="USG253" s="4"/>
      <c r="USH253" s="9"/>
      <c r="USI253" s="4"/>
      <c r="USJ253" s="9"/>
      <c r="USK253" s="4"/>
      <c r="USL253" s="9"/>
      <c r="USM253" s="4"/>
      <c r="USN253" s="9"/>
      <c r="USO253" s="4"/>
      <c r="USP253" s="9"/>
      <c r="USQ253" s="4"/>
      <c r="USR253" s="9"/>
      <c r="USS253" s="4"/>
      <c r="UST253" s="9"/>
      <c r="USU253" s="4"/>
      <c r="USV253" s="9"/>
      <c r="USW253" s="4"/>
      <c r="USX253" s="9"/>
      <c r="USY253" s="4"/>
      <c r="USZ253" s="9"/>
      <c r="UTA253" s="4"/>
      <c r="UTB253" s="9"/>
      <c r="UTC253" s="4"/>
      <c r="UTD253" s="9"/>
      <c r="UTE253" s="4"/>
      <c r="UTF253" s="9"/>
      <c r="UTG253" s="4"/>
      <c r="UTH253" s="9"/>
      <c r="UTI253" s="4"/>
      <c r="UTJ253" s="9"/>
      <c r="UTK253" s="4"/>
      <c r="UTL253" s="9"/>
      <c r="UTM253" s="4"/>
      <c r="UTN253" s="9"/>
      <c r="UTO253" s="4"/>
      <c r="UTP253" s="9"/>
      <c r="UTQ253" s="4"/>
      <c r="UTR253" s="9"/>
      <c r="UTS253" s="4"/>
      <c r="UTT253" s="9"/>
      <c r="UTU253" s="4"/>
      <c r="UTV253" s="9"/>
      <c r="UTW253" s="4"/>
      <c r="UTX253" s="9"/>
      <c r="UTY253" s="4"/>
      <c r="UTZ253" s="9"/>
      <c r="UUA253" s="4"/>
      <c r="UUB253" s="9"/>
      <c r="UUC253" s="4"/>
      <c r="UUD253" s="9"/>
      <c r="UUE253" s="4"/>
      <c r="UUF253" s="9"/>
      <c r="UUG253" s="4"/>
      <c r="UUH253" s="9"/>
      <c r="UUI253" s="4"/>
      <c r="UUJ253" s="9"/>
      <c r="UUK253" s="4"/>
      <c r="UUL253" s="9"/>
      <c r="UUM253" s="4"/>
      <c r="UUN253" s="9"/>
      <c r="UUO253" s="4"/>
      <c r="UUP253" s="9"/>
      <c r="UUQ253" s="4"/>
      <c r="UUR253" s="9"/>
      <c r="UUS253" s="4"/>
      <c r="UUT253" s="9"/>
      <c r="UUU253" s="4"/>
      <c r="UUV253" s="9"/>
      <c r="UUW253" s="4"/>
      <c r="UUX253" s="9"/>
      <c r="UUY253" s="4"/>
      <c r="UUZ253" s="9"/>
      <c r="UVA253" s="4"/>
      <c r="UVB253" s="9"/>
      <c r="UVC253" s="4"/>
      <c r="UVD253" s="9"/>
      <c r="UVE253" s="4"/>
      <c r="UVF253" s="9"/>
      <c r="UVG253" s="4"/>
      <c r="UVH253" s="9"/>
      <c r="UVI253" s="4"/>
      <c r="UVJ253" s="9"/>
      <c r="UVK253" s="4"/>
      <c r="UVL253" s="9"/>
      <c r="UVM253" s="4"/>
      <c r="UVN253" s="9"/>
      <c r="UVO253" s="4"/>
      <c r="UVP253" s="9"/>
      <c r="UVQ253" s="4"/>
      <c r="UVR253" s="9"/>
      <c r="UVS253" s="4"/>
      <c r="UVT253" s="9"/>
      <c r="UVU253" s="4"/>
      <c r="UVV253" s="9"/>
      <c r="UVW253" s="4"/>
      <c r="UVX253" s="9"/>
      <c r="UVY253" s="4"/>
      <c r="UVZ253" s="9"/>
      <c r="UWA253" s="4"/>
      <c r="UWB253" s="9"/>
      <c r="UWC253" s="4"/>
      <c r="UWD253" s="9"/>
      <c r="UWE253" s="4"/>
      <c r="UWF253" s="9"/>
      <c r="UWG253" s="4"/>
      <c r="UWH253" s="9"/>
      <c r="UWI253" s="4"/>
      <c r="UWJ253" s="9"/>
      <c r="UWK253" s="4"/>
      <c r="UWL253" s="9"/>
      <c r="UWM253" s="4"/>
      <c r="UWN253" s="9"/>
      <c r="UWO253" s="4"/>
      <c r="UWP253" s="9"/>
      <c r="UWQ253" s="4"/>
      <c r="UWR253" s="9"/>
      <c r="UWS253" s="4"/>
      <c r="UWT253" s="9"/>
      <c r="UWU253" s="4"/>
      <c r="UWV253" s="9"/>
      <c r="UWW253" s="4"/>
      <c r="UWX253" s="9"/>
      <c r="UWY253" s="4"/>
      <c r="UWZ253" s="9"/>
      <c r="UXA253" s="4"/>
      <c r="UXB253" s="9"/>
      <c r="UXC253" s="4"/>
      <c r="UXD253" s="9"/>
      <c r="UXE253" s="4"/>
      <c r="UXF253" s="9"/>
      <c r="UXG253" s="4"/>
      <c r="UXH253" s="9"/>
      <c r="UXI253" s="4"/>
      <c r="UXJ253" s="9"/>
      <c r="UXK253" s="4"/>
      <c r="UXL253" s="9"/>
      <c r="UXM253" s="4"/>
      <c r="UXN253" s="9"/>
      <c r="UXO253" s="4"/>
      <c r="UXP253" s="9"/>
      <c r="UXQ253" s="4"/>
      <c r="UXR253" s="9"/>
      <c r="UXS253" s="4"/>
      <c r="UXT253" s="9"/>
      <c r="UXU253" s="4"/>
      <c r="UXV253" s="9"/>
      <c r="UXW253" s="4"/>
      <c r="UXX253" s="9"/>
      <c r="UXY253" s="4"/>
      <c r="UXZ253" s="9"/>
      <c r="UYA253" s="4"/>
      <c r="UYB253" s="9"/>
      <c r="UYC253" s="4"/>
      <c r="UYD253" s="9"/>
      <c r="UYE253" s="4"/>
      <c r="UYF253" s="9"/>
      <c r="UYG253" s="4"/>
      <c r="UYH253" s="9"/>
      <c r="UYI253" s="4"/>
      <c r="UYJ253" s="9"/>
      <c r="UYK253" s="4"/>
      <c r="UYL253" s="9"/>
      <c r="UYM253" s="4"/>
      <c r="UYN253" s="9"/>
      <c r="UYO253" s="4"/>
      <c r="UYP253" s="9"/>
      <c r="UYQ253" s="4"/>
      <c r="UYR253" s="9"/>
      <c r="UYS253" s="4"/>
      <c r="UYT253" s="9"/>
      <c r="UYU253" s="4"/>
      <c r="UYV253" s="9"/>
      <c r="UYW253" s="4"/>
      <c r="UYX253" s="9"/>
      <c r="UYY253" s="4"/>
      <c r="UYZ253" s="9"/>
      <c r="UZA253" s="4"/>
      <c r="UZB253" s="9"/>
      <c r="UZC253" s="4"/>
      <c r="UZD253" s="9"/>
      <c r="UZE253" s="4"/>
      <c r="UZF253" s="9"/>
      <c r="UZG253" s="4"/>
      <c r="UZH253" s="9"/>
      <c r="UZI253" s="4"/>
      <c r="UZJ253" s="9"/>
      <c r="UZK253" s="4"/>
      <c r="UZL253" s="9"/>
      <c r="UZM253" s="4"/>
      <c r="UZN253" s="9"/>
      <c r="UZO253" s="4"/>
      <c r="UZP253" s="9"/>
      <c r="UZQ253" s="4"/>
      <c r="UZR253" s="9"/>
      <c r="UZS253" s="4"/>
      <c r="UZT253" s="9"/>
      <c r="UZU253" s="4"/>
      <c r="UZV253" s="9"/>
      <c r="UZW253" s="4"/>
      <c r="UZX253" s="9"/>
      <c r="UZY253" s="4"/>
      <c r="UZZ253" s="9"/>
      <c r="VAA253" s="4"/>
      <c r="VAB253" s="9"/>
      <c r="VAC253" s="4"/>
      <c r="VAD253" s="9"/>
      <c r="VAE253" s="4"/>
      <c r="VAF253" s="9"/>
      <c r="VAG253" s="4"/>
      <c r="VAH253" s="9"/>
      <c r="VAI253" s="4"/>
      <c r="VAJ253" s="9"/>
      <c r="VAK253" s="4"/>
      <c r="VAL253" s="9"/>
      <c r="VAM253" s="4"/>
      <c r="VAN253" s="9"/>
      <c r="VAO253" s="4"/>
      <c r="VAP253" s="9"/>
      <c r="VAQ253" s="4"/>
      <c r="VAR253" s="9"/>
      <c r="VAS253" s="4"/>
      <c r="VAT253" s="9"/>
      <c r="VAU253" s="4"/>
      <c r="VAV253" s="9"/>
      <c r="VAW253" s="4"/>
      <c r="VAX253" s="9"/>
      <c r="VAY253" s="4"/>
      <c r="VAZ253" s="9"/>
      <c r="VBA253" s="4"/>
      <c r="VBB253" s="9"/>
      <c r="VBC253" s="4"/>
      <c r="VBD253" s="9"/>
      <c r="VBE253" s="4"/>
      <c r="VBF253" s="9"/>
      <c r="VBG253" s="4"/>
      <c r="VBH253" s="9"/>
      <c r="VBI253" s="4"/>
      <c r="VBJ253" s="9"/>
      <c r="VBK253" s="4"/>
      <c r="VBL253" s="9"/>
      <c r="VBM253" s="4"/>
      <c r="VBN253" s="9"/>
      <c r="VBO253" s="4"/>
      <c r="VBP253" s="9"/>
      <c r="VBQ253" s="4"/>
      <c r="VBR253" s="9"/>
      <c r="VBS253" s="4"/>
      <c r="VBT253" s="9"/>
      <c r="VBU253" s="4"/>
      <c r="VBV253" s="9"/>
      <c r="VBW253" s="4"/>
      <c r="VBX253" s="9"/>
      <c r="VBY253" s="4"/>
      <c r="VBZ253" s="9"/>
      <c r="VCA253" s="4"/>
      <c r="VCB253" s="9"/>
      <c r="VCC253" s="4"/>
      <c r="VCD253" s="9"/>
      <c r="VCE253" s="4"/>
      <c r="VCF253" s="9"/>
      <c r="VCG253" s="4"/>
      <c r="VCH253" s="9"/>
      <c r="VCI253" s="4"/>
      <c r="VCJ253" s="9"/>
      <c r="VCK253" s="4"/>
      <c r="VCL253" s="9"/>
      <c r="VCM253" s="4"/>
      <c r="VCN253" s="9"/>
      <c r="VCO253" s="4"/>
      <c r="VCP253" s="9"/>
      <c r="VCQ253" s="4"/>
      <c r="VCR253" s="9"/>
      <c r="VCS253" s="4"/>
      <c r="VCT253" s="9"/>
      <c r="VCU253" s="4"/>
      <c r="VCV253" s="9"/>
      <c r="VCW253" s="4"/>
      <c r="VCX253" s="9"/>
      <c r="VCY253" s="4"/>
      <c r="VCZ253" s="9"/>
      <c r="VDA253" s="4"/>
      <c r="VDB253" s="9"/>
      <c r="VDC253" s="4"/>
      <c r="VDD253" s="9"/>
      <c r="VDE253" s="4"/>
      <c r="VDF253" s="9"/>
      <c r="VDG253" s="4"/>
      <c r="VDH253" s="9"/>
      <c r="VDI253" s="4"/>
      <c r="VDJ253" s="9"/>
      <c r="VDK253" s="4"/>
      <c r="VDL253" s="9"/>
      <c r="VDM253" s="4"/>
      <c r="VDN253" s="9"/>
      <c r="VDO253" s="4"/>
      <c r="VDP253" s="9"/>
      <c r="VDQ253" s="4"/>
      <c r="VDR253" s="9"/>
      <c r="VDS253" s="4"/>
      <c r="VDT253" s="9"/>
      <c r="VDU253" s="4"/>
      <c r="VDV253" s="9"/>
      <c r="VDW253" s="4"/>
      <c r="VDX253" s="9"/>
      <c r="VDY253" s="4"/>
      <c r="VDZ253" s="9"/>
      <c r="VEA253" s="4"/>
      <c r="VEB253" s="9"/>
      <c r="VEC253" s="4"/>
      <c r="VED253" s="9"/>
      <c r="VEE253" s="4"/>
      <c r="VEF253" s="9"/>
      <c r="VEG253" s="4"/>
      <c r="VEH253" s="9"/>
      <c r="VEI253" s="4"/>
      <c r="VEJ253" s="9"/>
      <c r="VEK253" s="4"/>
      <c r="VEL253" s="9"/>
      <c r="VEM253" s="4"/>
      <c r="VEN253" s="9"/>
      <c r="VEO253" s="4"/>
      <c r="VEP253" s="9"/>
      <c r="VEQ253" s="4"/>
      <c r="VER253" s="9"/>
      <c r="VES253" s="4"/>
      <c r="VET253" s="9"/>
      <c r="VEU253" s="4"/>
      <c r="VEV253" s="9"/>
      <c r="VEW253" s="4"/>
      <c r="VEX253" s="9"/>
      <c r="VEY253" s="4"/>
      <c r="VEZ253" s="9"/>
      <c r="VFA253" s="4"/>
      <c r="VFB253" s="9"/>
      <c r="VFC253" s="4"/>
      <c r="VFD253" s="9"/>
      <c r="VFE253" s="4"/>
      <c r="VFF253" s="9"/>
      <c r="VFG253" s="4"/>
      <c r="VFH253" s="9"/>
      <c r="VFI253" s="4"/>
      <c r="VFJ253" s="9"/>
      <c r="VFK253" s="4"/>
      <c r="VFL253" s="9"/>
      <c r="VFM253" s="4"/>
      <c r="VFN253" s="9"/>
      <c r="VFO253" s="4"/>
      <c r="VFP253" s="9"/>
      <c r="VFQ253" s="4"/>
      <c r="VFR253" s="9"/>
      <c r="VFS253" s="4"/>
      <c r="VFT253" s="9"/>
      <c r="VFU253" s="4"/>
      <c r="VFV253" s="9"/>
      <c r="VFW253" s="4"/>
      <c r="VFX253" s="9"/>
      <c r="VFY253" s="4"/>
      <c r="VFZ253" s="9"/>
      <c r="VGA253" s="4"/>
      <c r="VGB253" s="9"/>
      <c r="VGC253" s="4"/>
      <c r="VGD253" s="9"/>
      <c r="VGE253" s="4"/>
      <c r="VGF253" s="9"/>
      <c r="VGG253" s="4"/>
      <c r="VGH253" s="9"/>
      <c r="VGI253" s="4"/>
      <c r="VGJ253" s="9"/>
      <c r="VGK253" s="4"/>
      <c r="VGL253" s="9"/>
      <c r="VGM253" s="4"/>
      <c r="VGN253" s="9"/>
      <c r="VGO253" s="4"/>
      <c r="VGP253" s="9"/>
      <c r="VGQ253" s="4"/>
      <c r="VGR253" s="9"/>
      <c r="VGS253" s="4"/>
      <c r="VGT253" s="9"/>
      <c r="VGU253" s="4"/>
      <c r="VGV253" s="9"/>
      <c r="VGW253" s="4"/>
      <c r="VGX253" s="9"/>
      <c r="VGY253" s="4"/>
      <c r="VGZ253" s="9"/>
      <c r="VHA253" s="4"/>
      <c r="VHB253" s="9"/>
      <c r="VHC253" s="4"/>
      <c r="VHD253" s="9"/>
      <c r="VHE253" s="4"/>
      <c r="VHF253" s="9"/>
      <c r="VHG253" s="4"/>
      <c r="VHH253" s="9"/>
      <c r="VHI253" s="4"/>
      <c r="VHJ253" s="9"/>
      <c r="VHK253" s="4"/>
      <c r="VHL253" s="9"/>
      <c r="VHM253" s="4"/>
      <c r="VHN253" s="9"/>
      <c r="VHO253" s="4"/>
      <c r="VHP253" s="9"/>
      <c r="VHQ253" s="4"/>
      <c r="VHR253" s="9"/>
      <c r="VHS253" s="4"/>
      <c r="VHT253" s="9"/>
      <c r="VHU253" s="4"/>
      <c r="VHV253" s="9"/>
      <c r="VHW253" s="4"/>
      <c r="VHX253" s="9"/>
      <c r="VHY253" s="4"/>
      <c r="VHZ253" s="9"/>
      <c r="VIA253" s="4"/>
      <c r="VIB253" s="9"/>
      <c r="VIC253" s="4"/>
      <c r="VID253" s="9"/>
      <c r="VIE253" s="4"/>
      <c r="VIF253" s="9"/>
      <c r="VIG253" s="4"/>
      <c r="VIH253" s="9"/>
      <c r="VII253" s="4"/>
      <c r="VIJ253" s="9"/>
      <c r="VIK253" s="4"/>
      <c r="VIL253" s="9"/>
      <c r="VIM253" s="4"/>
      <c r="VIN253" s="9"/>
      <c r="VIO253" s="4"/>
      <c r="VIP253" s="9"/>
      <c r="VIQ253" s="4"/>
      <c r="VIR253" s="9"/>
      <c r="VIS253" s="4"/>
      <c r="VIT253" s="9"/>
      <c r="VIU253" s="4"/>
      <c r="VIV253" s="9"/>
      <c r="VIW253" s="4"/>
      <c r="VIX253" s="9"/>
      <c r="VIY253" s="4"/>
      <c r="VIZ253" s="9"/>
      <c r="VJA253" s="4"/>
      <c r="VJB253" s="9"/>
      <c r="VJC253" s="4"/>
      <c r="VJD253" s="9"/>
      <c r="VJE253" s="4"/>
      <c r="VJF253" s="9"/>
      <c r="VJG253" s="4"/>
      <c r="VJH253" s="9"/>
      <c r="VJI253" s="4"/>
      <c r="VJJ253" s="9"/>
      <c r="VJK253" s="4"/>
      <c r="VJL253" s="9"/>
      <c r="VJM253" s="4"/>
      <c r="VJN253" s="9"/>
      <c r="VJO253" s="4"/>
      <c r="VJP253" s="9"/>
      <c r="VJQ253" s="4"/>
      <c r="VJR253" s="9"/>
      <c r="VJS253" s="4"/>
      <c r="VJT253" s="9"/>
      <c r="VJU253" s="4"/>
      <c r="VJV253" s="9"/>
      <c r="VJW253" s="4"/>
      <c r="VJX253" s="9"/>
      <c r="VJY253" s="4"/>
      <c r="VJZ253" s="9"/>
      <c r="VKA253" s="4"/>
      <c r="VKB253" s="9"/>
      <c r="VKC253" s="4"/>
      <c r="VKD253" s="9"/>
      <c r="VKE253" s="4"/>
      <c r="VKF253" s="9"/>
      <c r="VKG253" s="4"/>
      <c r="VKH253" s="9"/>
      <c r="VKI253" s="4"/>
      <c r="VKJ253" s="9"/>
      <c r="VKK253" s="4"/>
      <c r="VKL253" s="9"/>
      <c r="VKM253" s="4"/>
      <c r="VKN253" s="9"/>
      <c r="VKO253" s="4"/>
      <c r="VKP253" s="9"/>
      <c r="VKQ253" s="4"/>
      <c r="VKR253" s="9"/>
      <c r="VKS253" s="4"/>
      <c r="VKT253" s="9"/>
      <c r="VKU253" s="4"/>
      <c r="VKV253" s="9"/>
      <c r="VKW253" s="4"/>
      <c r="VKX253" s="9"/>
      <c r="VKY253" s="4"/>
      <c r="VKZ253" s="9"/>
      <c r="VLA253" s="4"/>
      <c r="VLB253" s="9"/>
      <c r="VLC253" s="4"/>
      <c r="VLD253" s="9"/>
      <c r="VLE253" s="4"/>
      <c r="VLF253" s="9"/>
      <c r="VLG253" s="4"/>
      <c r="VLH253" s="9"/>
      <c r="VLI253" s="4"/>
      <c r="VLJ253" s="9"/>
      <c r="VLK253" s="4"/>
      <c r="VLL253" s="9"/>
      <c r="VLM253" s="4"/>
      <c r="VLN253" s="9"/>
      <c r="VLO253" s="4"/>
      <c r="VLP253" s="9"/>
      <c r="VLQ253" s="4"/>
      <c r="VLR253" s="9"/>
      <c r="VLS253" s="4"/>
      <c r="VLT253" s="9"/>
      <c r="VLU253" s="4"/>
      <c r="VLV253" s="9"/>
      <c r="VLW253" s="4"/>
      <c r="VLX253" s="9"/>
      <c r="VLY253" s="4"/>
      <c r="VLZ253" s="9"/>
      <c r="VMA253" s="4"/>
      <c r="VMB253" s="9"/>
      <c r="VMC253" s="4"/>
      <c r="VMD253" s="9"/>
      <c r="VME253" s="4"/>
      <c r="VMF253" s="9"/>
      <c r="VMG253" s="4"/>
      <c r="VMH253" s="9"/>
      <c r="VMI253" s="4"/>
      <c r="VMJ253" s="9"/>
      <c r="VMK253" s="4"/>
      <c r="VML253" s="9"/>
      <c r="VMM253" s="4"/>
      <c r="VMN253" s="9"/>
      <c r="VMO253" s="4"/>
      <c r="VMP253" s="9"/>
      <c r="VMQ253" s="4"/>
      <c r="VMR253" s="9"/>
      <c r="VMS253" s="4"/>
      <c r="VMT253" s="9"/>
      <c r="VMU253" s="4"/>
      <c r="VMV253" s="9"/>
      <c r="VMW253" s="4"/>
      <c r="VMX253" s="9"/>
      <c r="VMY253" s="4"/>
      <c r="VMZ253" s="9"/>
      <c r="VNA253" s="4"/>
      <c r="VNB253" s="9"/>
      <c r="VNC253" s="4"/>
      <c r="VND253" s="9"/>
      <c r="VNE253" s="4"/>
      <c r="VNF253" s="9"/>
      <c r="VNG253" s="4"/>
      <c r="VNH253" s="9"/>
      <c r="VNI253" s="4"/>
      <c r="VNJ253" s="9"/>
      <c r="VNK253" s="4"/>
      <c r="VNL253" s="9"/>
      <c r="VNM253" s="4"/>
      <c r="VNN253" s="9"/>
      <c r="VNO253" s="4"/>
      <c r="VNP253" s="9"/>
      <c r="VNQ253" s="4"/>
      <c r="VNR253" s="9"/>
      <c r="VNS253" s="4"/>
      <c r="VNT253" s="9"/>
      <c r="VNU253" s="4"/>
      <c r="VNV253" s="9"/>
      <c r="VNW253" s="4"/>
      <c r="VNX253" s="9"/>
      <c r="VNY253" s="4"/>
      <c r="VNZ253" s="9"/>
      <c r="VOA253" s="4"/>
      <c r="VOB253" s="9"/>
      <c r="VOC253" s="4"/>
      <c r="VOD253" s="9"/>
      <c r="VOE253" s="4"/>
      <c r="VOF253" s="9"/>
      <c r="VOG253" s="4"/>
      <c r="VOH253" s="9"/>
      <c r="VOI253" s="4"/>
      <c r="VOJ253" s="9"/>
      <c r="VOK253" s="4"/>
      <c r="VOL253" s="9"/>
      <c r="VOM253" s="4"/>
      <c r="VON253" s="9"/>
      <c r="VOO253" s="4"/>
      <c r="VOP253" s="9"/>
      <c r="VOQ253" s="4"/>
      <c r="VOR253" s="9"/>
      <c r="VOS253" s="4"/>
      <c r="VOT253" s="9"/>
      <c r="VOU253" s="4"/>
      <c r="VOV253" s="9"/>
      <c r="VOW253" s="4"/>
      <c r="VOX253" s="9"/>
      <c r="VOY253" s="4"/>
      <c r="VOZ253" s="9"/>
      <c r="VPA253" s="4"/>
      <c r="VPB253" s="9"/>
      <c r="VPC253" s="4"/>
      <c r="VPD253" s="9"/>
      <c r="VPE253" s="4"/>
      <c r="VPF253" s="9"/>
      <c r="VPG253" s="4"/>
      <c r="VPH253" s="9"/>
      <c r="VPI253" s="4"/>
      <c r="VPJ253" s="9"/>
      <c r="VPK253" s="4"/>
      <c r="VPL253" s="9"/>
      <c r="VPM253" s="4"/>
      <c r="VPN253" s="9"/>
      <c r="VPO253" s="4"/>
      <c r="VPP253" s="9"/>
      <c r="VPQ253" s="4"/>
      <c r="VPR253" s="9"/>
      <c r="VPS253" s="4"/>
      <c r="VPT253" s="9"/>
      <c r="VPU253" s="4"/>
      <c r="VPV253" s="9"/>
      <c r="VPW253" s="4"/>
      <c r="VPX253" s="9"/>
      <c r="VPY253" s="4"/>
      <c r="VPZ253" s="9"/>
      <c r="VQA253" s="4"/>
      <c r="VQB253" s="9"/>
      <c r="VQC253" s="4"/>
      <c r="VQD253" s="9"/>
      <c r="VQE253" s="4"/>
      <c r="VQF253" s="9"/>
      <c r="VQG253" s="4"/>
      <c r="VQH253" s="9"/>
      <c r="VQI253" s="4"/>
      <c r="VQJ253" s="9"/>
      <c r="VQK253" s="4"/>
      <c r="VQL253" s="9"/>
      <c r="VQM253" s="4"/>
      <c r="VQN253" s="9"/>
      <c r="VQO253" s="4"/>
      <c r="VQP253" s="9"/>
      <c r="VQQ253" s="4"/>
      <c r="VQR253" s="9"/>
      <c r="VQS253" s="4"/>
      <c r="VQT253" s="9"/>
      <c r="VQU253" s="4"/>
      <c r="VQV253" s="9"/>
      <c r="VQW253" s="4"/>
      <c r="VQX253" s="9"/>
      <c r="VQY253" s="4"/>
      <c r="VQZ253" s="9"/>
      <c r="VRA253" s="4"/>
      <c r="VRB253" s="9"/>
      <c r="VRC253" s="4"/>
      <c r="VRD253" s="9"/>
      <c r="VRE253" s="4"/>
      <c r="VRF253" s="9"/>
      <c r="VRG253" s="4"/>
      <c r="VRH253" s="9"/>
      <c r="VRI253" s="4"/>
      <c r="VRJ253" s="9"/>
      <c r="VRK253" s="4"/>
      <c r="VRL253" s="9"/>
      <c r="VRM253" s="4"/>
      <c r="VRN253" s="9"/>
      <c r="VRO253" s="4"/>
      <c r="VRP253" s="9"/>
      <c r="VRQ253" s="4"/>
      <c r="VRR253" s="9"/>
      <c r="VRS253" s="4"/>
      <c r="VRT253" s="9"/>
      <c r="VRU253" s="4"/>
      <c r="VRV253" s="9"/>
      <c r="VRW253" s="4"/>
      <c r="VRX253" s="9"/>
      <c r="VRY253" s="4"/>
      <c r="VRZ253" s="9"/>
      <c r="VSA253" s="4"/>
      <c r="VSB253" s="9"/>
      <c r="VSC253" s="4"/>
      <c r="VSD253" s="9"/>
      <c r="VSE253" s="4"/>
      <c r="VSF253" s="9"/>
      <c r="VSG253" s="4"/>
      <c r="VSH253" s="9"/>
      <c r="VSI253" s="4"/>
      <c r="VSJ253" s="9"/>
      <c r="VSK253" s="4"/>
      <c r="VSL253" s="9"/>
      <c r="VSM253" s="4"/>
      <c r="VSN253" s="9"/>
      <c r="VSO253" s="4"/>
      <c r="VSP253" s="9"/>
      <c r="VSQ253" s="4"/>
      <c r="VSR253" s="9"/>
      <c r="VSS253" s="4"/>
      <c r="VST253" s="9"/>
      <c r="VSU253" s="4"/>
      <c r="VSV253" s="9"/>
      <c r="VSW253" s="4"/>
      <c r="VSX253" s="9"/>
      <c r="VSY253" s="4"/>
      <c r="VSZ253" s="9"/>
      <c r="VTA253" s="4"/>
      <c r="VTB253" s="9"/>
      <c r="VTC253" s="4"/>
      <c r="VTD253" s="9"/>
      <c r="VTE253" s="4"/>
      <c r="VTF253" s="9"/>
      <c r="VTG253" s="4"/>
      <c r="VTH253" s="9"/>
      <c r="VTI253" s="4"/>
      <c r="VTJ253" s="9"/>
      <c r="VTK253" s="4"/>
      <c r="VTL253" s="9"/>
      <c r="VTM253" s="4"/>
      <c r="VTN253" s="9"/>
      <c r="VTO253" s="4"/>
      <c r="VTP253" s="9"/>
      <c r="VTQ253" s="4"/>
      <c r="VTR253" s="9"/>
      <c r="VTS253" s="4"/>
      <c r="VTT253" s="9"/>
      <c r="VTU253" s="4"/>
      <c r="VTV253" s="9"/>
      <c r="VTW253" s="4"/>
      <c r="VTX253" s="9"/>
      <c r="VTY253" s="4"/>
      <c r="VTZ253" s="9"/>
      <c r="VUA253" s="4"/>
      <c r="VUB253" s="9"/>
      <c r="VUC253" s="4"/>
      <c r="VUD253" s="9"/>
      <c r="VUE253" s="4"/>
      <c r="VUF253" s="9"/>
      <c r="VUG253" s="4"/>
      <c r="VUH253" s="9"/>
      <c r="VUI253" s="4"/>
      <c r="VUJ253" s="9"/>
      <c r="VUK253" s="4"/>
      <c r="VUL253" s="9"/>
      <c r="VUM253" s="4"/>
      <c r="VUN253" s="9"/>
      <c r="VUO253" s="4"/>
      <c r="VUP253" s="9"/>
      <c r="VUQ253" s="4"/>
      <c r="VUR253" s="9"/>
      <c r="VUS253" s="4"/>
      <c r="VUT253" s="9"/>
      <c r="VUU253" s="4"/>
      <c r="VUV253" s="9"/>
      <c r="VUW253" s="4"/>
      <c r="VUX253" s="9"/>
      <c r="VUY253" s="4"/>
      <c r="VUZ253" s="9"/>
      <c r="VVA253" s="4"/>
      <c r="VVB253" s="9"/>
      <c r="VVC253" s="4"/>
      <c r="VVD253" s="9"/>
      <c r="VVE253" s="4"/>
      <c r="VVF253" s="9"/>
      <c r="VVG253" s="4"/>
      <c r="VVH253" s="9"/>
      <c r="VVI253" s="4"/>
      <c r="VVJ253" s="9"/>
      <c r="VVK253" s="4"/>
      <c r="VVL253" s="9"/>
      <c r="VVM253" s="4"/>
      <c r="VVN253" s="9"/>
      <c r="VVO253" s="4"/>
      <c r="VVP253" s="9"/>
      <c r="VVQ253" s="4"/>
      <c r="VVR253" s="9"/>
      <c r="VVS253" s="4"/>
      <c r="VVT253" s="9"/>
      <c r="VVU253" s="4"/>
      <c r="VVV253" s="9"/>
      <c r="VVW253" s="4"/>
      <c r="VVX253" s="9"/>
      <c r="VVY253" s="4"/>
      <c r="VVZ253" s="9"/>
      <c r="VWA253" s="4"/>
      <c r="VWB253" s="9"/>
      <c r="VWC253" s="4"/>
      <c r="VWD253" s="9"/>
      <c r="VWE253" s="4"/>
      <c r="VWF253" s="9"/>
      <c r="VWG253" s="4"/>
      <c r="VWH253" s="9"/>
      <c r="VWI253" s="4"/>
      <c r="VWJ253" s="9"/>
      <c r="VWK253" s="4"/>
      <c r="VWL253" s="9"/>
      <c r="VWM253" s="4"/>
      <c r="VWN253" s="9"/>
      <c r="VWO253" s="4"/>
      <c r="VWP253" s="9"/>
      <c r="VWQ253" s="4"/>
      <c r="VWR253" s="9"/>
      <c r="VWS253" s="4"/>
      <c r="VWT253" s="9"/>
      <c r="VWU253" s="4"/>
      <c r="VWV253" s="9"/>
      <c r="VWW253" s="4"/>
      <c r="VWX253" s="9"/>
      <c r="VWY253" s="4"/>
      <c r="VWZ253" s="9"/>
      <c r="VXA253" s="4"/>
      <c r="VXB253" s="9"/>
      <c r="VXC253" s="4"/>
      <c r="VXD253" s="9"/>
      <c r="VXE253" s="4"/>
      <c r="VXF253" s="9"/>
      <c r="VXG253" s="4"/>
      <c r="VXH253" s="9"/>
      <c r="VXI253" s="4"/>
      <c r="VXJ253" s="9"/>
      <c r="VXK253" s="4"/>
      <c r="VXL253" s="9"/>
      <c r="VXM253" s="4"/>
      <c r="VXN253" s="9"/>
      <c r="VXO253" s="4"/>
      <c r="VXP253" s="9"/>
      <c r="VXQ253" s="4"/>
      <c r="VXR253" s="9"/>
      <c r="VXS253" s="4"/>
      <c r="VXT253" s="9"/>
      <c r="VXU253" s="4"/>
      <c r="VXV253" s="9"/>
      <c r="VXW253" s="4"/>
      <c r="VXX253" s="9"/>
      <c r="VXY253" s="4"/>
      <c r="VXZ253" s="9"/>
      <c r="VYA253" s="4"/>
      <c r="VYB253" s="9"/>
      <c r="VYC253" s="4"/>
      <c r="VYD253" s="9"/>
      <c r="VYE253" s="4"/>
      <c r="VYF253" s="9"/>
      <c r="VYG253" s="4"/>
      <c r="VYH253" s="9"/>
      <c r="VYI253" s="4"/>
      <c r="VYJ253" s="9"/>
      <c r="VYK253" s="4"/>
      <c r="VYL253" s="9"/>
      <c r="VYM253" s="4"/>
      <c r="VYN253" s="9"/>
      <c r="VYO253" s="4"/>
      <c r="VYP253" s="9"/>
      <c r="VYQ253" s="4"/>
      <c r="VYR253" s="9"/>
      <c r="VYS253" s="4"/>
      <c r="VYT253" s="9"/>
      <c r="VYU253" s="4"/>
      <c r="VYV253" s="9"/>
      <c r="VYW253" s="4"/>
      <c r="VYX253" s="9"/>
      <c r="VYY253" s="4"/>
      <c r="VYZ253" s="9"/>
      <c r="VZA253" s="4"/>
      <c r="VZB253" s="9"/>
      <c r="VZC253" s="4"/>
      <c r="VZD253" s="9"/>
      <c r="VZE253" s="4"/>
      <c r="VZF253" s="9"/>
      <c r="VZG253" s="4"/>
      <c r="VZH253" s="9"/>
      <c r="VZI253" s="4"/>
      <c r="VZJ253" s="9"/>
      <c r="VZK253" s="4"/>
      <c r="VZL253" s="9"/>
      <c r="VZM253" s="4"/>
      <c r="VZN253" s="9"/>
      <c r="VZO253" s="4"/>
      <c r="VZP253" s="9"/>
      <c r="VZQ253" s="4"/>
      <c r="VZR253" s="9"/>
      <c r="VZS253" s="4"/>
      <c r="VZT253" s="9"/>
      <c r="VZU253" s="4"/>
      <c r="VZV253" s="9"/>
      <c r="VZW253" s="4"/>
      <c r="VZX253" s="9"/>
      <c r="VZY253" s="4"/>
      <c r="VZZ253" s="9"/>
      <c r="WAA253" s="4"/>
      <c r="WAB253" s="9"/>
      <c r="WAC253" s="4"/>
      <c r="WAD253" s="9"/>
      <c r="WAE253" s="4"/>
      <c r="WAF253" s="9"/>
      <c r="WAG253" s="4"/>
      <c r="WAH253" s="9"/>
      <c r="WAI253" s="4"/>
      <c r="WAJ253" s="9"/>
      <c r="WAK253" s="4"/>
      <c r="WAL253" s="9"/>
      <c r="WAM253" s="4"/>
      <c r="WAN253" s="9"/>
      <c r="WAO253" s="4"/>
      <c r="WAP253" s="9"/>
      <c r="WAQ253" s="4"/>
      <c r="WAR253" s="9"/>
      <c r="WAS253" s="4"/>
      <c r="WAT253" s="9"/>
      <c r="WAU253" s="4"/>
      <c r="WAV253" s="9"/>
      <c r="WAW253" s="4"/>
      <c r="WAX253" s="9"/>
      <c r="WAY253" s="4"/>
      <c r="WAZ253" s="9"/>
      <c r="WBA253" s="4"/>
      <c r="WBB253" s="9"/>
      <c r="WBC253" s="4"/>
      <c r="WBD253" s="9"/>
      <c r="WBE253" s="4"/>
      <c r="WBF253" s="9"/>
      <c r="WBG253" s="4"/>
      <c r="WBH253" s="9"/>
      <c r="WBI253" s="4"/>
      <c r="WBJ253" s="9"/>
      <c r="WBK253" s="4"/>
      <c r="WBL253" s="9"/>
      <c r="WBM253" s="4"/>
      <c r="WBN253" s="9"/>
      <c r="WBO253" s="4"/>
      <c r="WBP253" s="9"/>
      <c r="WBQ253" s="4"/>
      <c r="WBR253" s="9"/>
      <c r="WBS253" s="4"/>
      <c r="WBT253" s="9"/>
      <c r="WBU253" s="4"/>
      <c r="WBV253" s="9"/>
      <c r="WBW253" s="4"/>
      <c r="WBX253" s="9"/>
      <c r="WBY253" s="4"/>
      <c r="WBZ253" s="9"/>
      <c r="WCA253" s="4"/>
      <c r="WCB253" s="9"/>
      <c r="WCC253" s="4"/>
      <c r="WCD253" s="9"/>
      <c r="WCE253" s="4"/>
      <c r="WCF253" s="9"/>
      <c r="WCG253" s="4"/>
      <c r="WCH253" s="9"/>
      <c r="WCI253" s="4"/>
      <c r="WCJ253" s="9"/>
      <c r="WCK253" s="4"/>
      <c r="WCL253" s="9"/>
      <c r="WCM253" s="4"/>
      <c r="WCN253" s="9"/>
      <c r="WCO253" s="4"/>
      <c r="WCP253" s="9"/>
      <c r="WCQ253" s="4"/>
      <c r="WCR253" s="9"/>
      <c r="WCS253" s="4"/>
      <c r="WCT253" s="9"/>
      <c r="WCU253" s="4"/>
      <c r="WCV253" s="9"/>
      <c r="WCW253" s="4"/>
      <c r="WCX253" s="9"/>
      <c r="WCY253" s="4"/>
      <c r="WCZ253" s="9"/>
      <c r="WDA253" s="4"/>
      <c r="WDB253" s="9"/>
      <c r="WDC253" s="4"/>
      <c r="WDD253" s="9"/>
      <c r="WDE253" s="4"/>
      <c r="WDF253" s="9"/>
      <c r="WDG253" s="4"/>
      <c r="WDH253" s="9"/>
      <c r="WDI253" s="4"/>
      <c r="WDJ253" s="9"/>
      <c r="WDK253" s="4"/>
      <c r="WDL253" s="9"/>
      <c r="WDM253" s="4"/>
      <c r="WDN253" s="9"/>
      <c r="WDO253" s="4"/>
      <c r="WDP253" s="9"/>
      <c r="WDQ253" s="4"/>
      <c r="WDR253" s="9"/>
      <c r="WDS253" s="4"/>
      <c r="WDT253" s="9"/>
      <c r="WDU253" s="4"/>
      <c r="WDV253" s="9"/>
      <c r="WDW253" s="4"/>
      <c r="WDX253" s="9"/>
      <c r="WDY253" s="4"/>
      <c r="WDZ253" s="9"/>
      <c r="WEA253" s="4"/>
      <c r="WEB253" s="9"/>
      <c r="WEC253" s="4"/>
      <c r="WED253" s="9"/>
      <c r="WEE253" s="4"/>
      <c r="WEF253" s="9"/>
      <c r="WEG253" s="4"/>
      <c r="WEH253" s="9"/>
      <c r="WEI253" s="4"/>
      <c r="WEJ253" s="9"/>
      <c r="WEK253" s="4"/>
      <c r="WEL253" s="9"/>
      <c r="WEM253" s="4"/>
      <c r="WEN253" s="9"/>
      <c r="WEO253" s="4"/>
      <c r="WEP253" s="9"/>
      <c r="WEQ253" s="4"/>
      <c r="WER253" s="9"/>
      <c r="WES253" s="4"/>
      <c r="WET253" s="9"/>
      <c r="WEU253" s="4"/>
      <c r="WEV253" s="9"/>
      <c r="WEW253" s="4"/>
      <c r="WEX253" s="9"/>
      <c r="WEY253" s="4"/>
      <c r="WEZ253" s="9"/>
      <c r="WFA253" s="4"/>
      <c r="WFB253" s="9"/>
      <c r="WFC253" s="4"/>
      <c r="WFD253" s="9"/>
      <c r="WFE253" s="4"/>
      <c r="WFF253" s="9"/>
      <c r="WFG253" s="4"/>
      <c r="WFH253" s="9"/>
      <c r="WFI253" s="4"/>
      <c r="WFJ253" s="9"/>
      <c r="WFK253" s="4"/>
      <c r="WFL253" s="9"/>
      <c r="WFM253" s="4"/>
      <c r="WFN253" s="9"/>
      <c r="WFO253" s="4"/>
      <c r="WFP253" s="9"/>
      <c r="WFQ253" s="4"/>
      <c r="WFR253" s="9"/>
      <c r="WFS253" s="4"/>
      <c r="WFT253" s="9"/>
      <c r="WFU253" s="4"/>
      <c r="WFV253" s="9"/>
      <c r="WFW253" s="4"/>
      <c r="WFX253" s="9"/>
      <c r="WFY253" s="4"/>
      <c r="WFZ253" s="9"/>
      <c r="WGA253" s="4"/>
      <c r="WGB253" s="9"/>
      <c r="WGC253" s="4"/>
      <c r="WGD253" s="9"/>
      <c r="WGE253" s="4"/>
      <c r="WGF253" s="9"/>
      <c r="WGG253" s="4"/>
      <c r="WGH253" s="9"/>
      <c r="WGI253" s="4"/>
      <c r="WGJ253" s="9"/>
      <c r="WGK253" s="4"/>
      <c r="WGL253" s="9"/>
      <c r="WGM253" s="4"/>
      <c r="WGN253" s="9"/>
      <c r="WGO253" s="4"/>
      <c r="WGP253" s="9"/>
      <c r="WGQ253" s="4"/>
      <c r="WGR253" s="9"/>
      <c r="WGS253" s="4"/>
      <c r="WGT253" s="9"/>
      <c r="WGU253" s="4"/>
      <c r="WGV253" s="9"/>
      <c r="WGW253" s="4"/>
      <c r="WGX253" s="9"/>
      <c r="WGY253" s="4"/>
      <c r="WGZ253" s="9"/>
      <c r="WHA253" s="4"/>
      <c r="WHB253" s="9"/>
      <c r="WHC253" s="4"/>
      <c r="WHD253" s="9"/>
      <c r="WHE253" s="4"/>
      <c r="WHF253" s="9"/>
      <c r="WHG253" s="4"/>
      <c r="WHH253" s="9"/>
      <c r="WHI253" s="4"/>
      <c r="WHJ253" s="9"/>
      <c r="WHK253" s="4"/>
      <c r="WHL253" s="9"/>
      <c r="WHM253" s="4"/>
      <c r="WHN253" s="9"/>
      <c r="WHO253" s="4"/>
      <c r="WHP253" s="9"/>
      <c r="WHQ253" s="4"/>
      <c r="WHR253" s="9"/>
      <c r="WHS253" s="4"/>
      <c r="WHT253" s="9"/>
      <c r="WHU253" s="4"/>
      <c r="WHV253" s="9"/>
      <c r="WHW253" s="4"/>
      <c r="WHX253" s="9"/>
      <c r="WHY253" s="4"/>
      <c r="WHZ253" s="9"/>
      <c r="WIA253" s="4"/>
      <c r="WIB253" s="9"/>
      <c r="WIC253" s="4"/>
      <c r="WID253" s="9"/>
      <c r="WIE253" s="4"/>
      <c r="WIF253" s="9"/>
      <c r="WIG253" s="4"/>
      <c r="WIH253" s="9"/>
      <c r="WII253" s="4"/>
      <c r="WIJ253" s="9"/>
      <c r="WIK253" s="4"/>
      <c r="WIL253" s="9"/>
      <c r="WIM253" s="4"/>
      <c r="WIN253" s="9"/>
      <c r="WIO253" s="4"/>
      <c r="WIP253" s="9"/>
      <c r="WIQ253" s="4"/>
      <c r="WIR253" s="9"/>
      <c r="WIS253" s="4"/>
      <c r="WIT253" s="9"/>
      <c r="WIU253" s="4"/>
      <c r="WIV253" s="9"/>
      <c r="WIW253" s="4"/>
      <c r="WIX253" s="9"/>
      <c r="WIY253" s="4"/>
      <c r="WIZ253" s="9"/>
      <c r="WJA253" s="4"/>
      <c r="WJB253" s="9"/>
      <c r="WJC253" s="4"/>
      <c r="WJD253" s="9"/>
      <c r="WJE253" s="4"/>
      <c r="WJF253" s="9"/>
      <c r="WJG253" s="4"/>
      <c r="WJH253" s="9"/>
      <c r="WJI253" s="4"/>
      <c r="WJJ253" s="9"/>
      <c r="WJK253" s="4"/>
      <c r="WJL253" s="9"/>
      <c r="WJM253" s="4"/>
      <c r="WJN253" s="9"/>
      <c r="WJO253" s="4"/>
      <c r="WJP253" s="9"/>
      <c r="WJQ253" s="4"/>
      <c r="WJR253" s="9"/>
      <c r="WJS253" s="4"/>
      <c r="WJT253" s="9"/>
      <c r="WJU253" s="4"/>
      <c r="WJV253" s="9"/>
      <c r="WJW253" s="4"/>
      <c r="WJX253" s="9"/>
      <c r="WJY253" s="4"/>
      <c r="WJZ253" s="9"/>
      <c r="WKA253" s="4"/>
      <c r="WKB253" s="9"/>
      <c r="WKC253" s="4"/>
      <c r="WKD253" s="9"/>
      <c r="WKE253" s="4"/>
      <c r="WKF253" s="9"/>
      <c r="WKG253" s="4"/>
      <c r="WKH253" s="9"/>
      <c r="WKI253" s="4"/>
      <c r="WKJ253" s="9"/>
      <c r="WKK253" s="4"/>
      <c r="WKL253" s="9"/>
      <c r="WKM253" s="4"/>
      <c r="WKN253" s="9"/>
      <c r="WKO253" s="4"/>
      <c r="WKP253" s="9"/>
      <c r="WKQ253" s="4"/>
      <c r="WKR253" s="9"/>
      <c r="WKS253" s="4"/>
      <c r="WKT253" s="9"/>
      <c r="WKU253" s="4"/>
      <c r="WKV253" s="9"/>
      <c r="WKW253" s="4"/>
      <c r="WKX253" s="9"/>
      <c r="WKY253" s="4"/>
      <c r="WKZ253" s="9"/>
      <c r="WLA253" s="4"/>
      <c r="WLB253" s="9"/>
      <c r="WLC253" s="4"/>
      <c r="WLD253" s="9"/>
      <c r="WLE253" s="4"/>
      <c r="WLF253" s="9"/>
      <c r="WLG253" s="4"/>
      <c r="WLH253" s="9"/>
      <c r="WLI253" s="4"/>
      <c r="WLJ253" s="9"/>
      <c r="WLK253" s="4"/>
      <c r="WLL253" s="9"/>
      <c r="WLM253" s="4"/>
      <c r="WLN253" s="9"/>
      <c r="WLO253" s="4"/>
      <c r="WLP253" s="9"/>
      <c r="WLQ253" s="4"/>
      <c r="WLR253" s="9"/>
      <c r="WLS253" s="4"/>
      <c r="WLT253" s="9"/>
      <c r="WLU253" s="4"/>
      <c r="WLV253" s="9"/>
      <c r="WLW253" s="4"/>
      <c r="WLX253" s="9"/>
      <c r="WLY253" s="4"/>
      <c r="WLZ253" s="9"/>
      <c r="WMA253" s="4"/>
      <c r="WMB253" s="9"/>
      <c r="WMC253" s="4"/>
      <c r="WMD253" s="9"/>
      <c r="WME253" s="4"/>
      <c r="WMF253" s="9"/>
      <c r="WMG253" s="4"/>
      <c r="WMH253" s="9"/>
      <c r="WMI253" s="4"/>
      <c r="WMJ253" s="9"/>
      <c r="WMK253" s="4"/>
      <c r="WML253" s="9"/>
      <c r="WMM253" s="4"/>
      <c r="WMN253" s="9"/>
      <c r="WMO253" s="4"/>
      <c r="WMP253" s="9"/>
      <c r="WMQ253" s="4"/>
      <c r="WMR253" s="9"/>
      <c r="WMS253" s="4"/>
      <c r="WMT253" s="9"/>
      <c r="WMU253" s="4"/>
      <c r="WMV253" s="9"/>
      <c r="WMW253" s="4"/>
      <c r="WMX253" s="9"/>
      <c r="WMY253" s="4"/>
      <c r="WMZ253" s="9"/>
      <c r="WNA253" s="4"/>
      <c r="WNB253" s="9"/>
      <c r="WNC253" s="4"/>
      <c r="WND253" s="9"/>
      <c r="WNE253" s="4"/>
      <c r="WNF253" s="9"/>
      <c r="WNG253" s="4"/>
      <c r="WNH253" s="9"/>
      <c r="WNI253" s="4"/>
      <c r="WNJ253" s="9"/>
      <c r="WNK253" s="4"/>
      <c r="WNL253" s="9"/>
      <c r="WNM253" s="4"/>
      <c r="WNN253" s="9"/>
      <c r="WNO253" s="4"/>
      <c r="WNP253" s="9"/>
      <c r="WNQ253" s="4"/>
      <c r="WNR253" s="9"/>
      <c r="WNS253" s="4"/>
      <c r="WNT253" s="9"/>
      <c r="WNU253" s="4"/>
      <c r="WNV253" s="9"/>
      <c r="WNW253" s="4"/>
      <c r="WNX253" s="9"/>
      <c r="WNY253" s="4"/>
      <c r="WNZ253" s="9"/>
      <c r="WOA253" s="4"/>
      <c r="WOB253" s="9"/>
      <c r="WOC253" s="4"/>
      <c r="WOD253" s="9"/>
      <c r="WOE253" s="4"/>
      <c r="WOF253" s="9"/>
      <c r="WOG253" s="4"/>
      <c r="WOH253" s="9"/>
      <c r="WOI253" s="4"/>
      <c r="WOJ253" s="9"/>
      <c r="WOK253" s="4"/>
      <c r="WOL253" s="9"/>
      <c r="WOM253" s="4"/>
      <c r="WON253" s="9"/>
      <c r="WOO253" s="4"/>
      <c r="WOP253" s="9"/>
      <c r="WOQ253" s="4"/>
      <c r="WOR253" s="9"/>
      <c r="WOS253" s="4"/>
      <c r="WOT253" s="9"/>
      <c r="WOU253" s="4"/>
      <c r="WOV253" s="9"/>
      <c r="WOW253" s="4"/>
      <c r="WOX253" s="9"/>
      <c r="WOY253" s="4"/>
      <c r="WOZ253" s="9"/>
      <c r="WPA253" s="4"/>
      <c r="WPB253" s="9"/>
      <c r="WPC253" s="4"/>
      <c r="WPD253" s="9"/>
      <c r="WPE253" s="4"/>
      <c r="WPF253" s="9"/>
      <c r="WPG253" s="4"/>
      <c r="WPH253" s="9"/>
      <c r="WPI253" s="4"/>
      <c r="WPJ253" s="9"/>
      <c r="WPK253" s="4"/>
      <c r="WPL253" s="9"/>
      <c r="WPM253" s="4"/>
      <c r="WPN253" s="9"/>
      <c r="WPO253" s="4"/>
      <c r="WPP253" s="9"/>
      <c r="WPQ253" s="4"/>
      <c r="WPR253" s="9"/>
      <c r="WPS253" s="4"/>
      <c r="WPT253" s="9"/>
      <c r="WPU253" s="4"/>
      <c r="WPV253" s="9"/>
      <c r="WPW253" s="4"/>
      <c r="WPX253" s="9"/>
      <c r="WPY253" s="4"/>
      <c r="WPZ253" s="9"/>
      <c r="WQA253" s="4"/>
      <c r="WQB253" s="9"/>
      <c r="WQC253" s="4"/>
      <c r="WQD253" s="9"/>
      <c r="WQE253" s="4"/>
      <c r="WQF253" s="9"/>
      <c r="WQG253" s="4"/>
      <c r="WQH253" s="9"/>
      <c r="WQI253" s="4"/>
      <c r="WQJ253" s="9"/>
      <c r="WQK253" s="4"/>
      <c r="WQL253" s="9"/>
      <c r="WQM253" s="4"/>
      <c r="WQN253" s="9"/>
      <c r="WQO253" s="4"/>
      <c r="WQP253" s="9"/>
      <c r="WQQ253" s="4"/>
      <c r="WQR253" s="9"/>
      <c r="WQS253" s="4"/>
      <c r="WQT253" s="9"/>
      <c r="WQU253" s="4"/>
      <c r="WQV253" s="9"/>
      <c r="WQW253" s="4"/>
      <c r="WQX253" s="9"/>
      <c r="WQY253" s="4"/>
      <c r="WQZ253" s="9"/>
      <c r="WRA253" s="4"/>
      <c r="WRB253" s="9"/>
      <c r="WRC253" s="4"/>
      <c r="WRD253" s="9"/>
      <c r="WRE253" s="4"/>
      <c r="WRF253" s="9"/>
      <c r="WRG253" s="4"/>
      <c r="WRH253" s="9"/>
      <c r="WRI253" s="4"/>
      <c r="WRJ253" s="9"/>
      <c r="WRK253" s="4"/>
      <c r="WRL253" s="9"/>
      <c r="WRM253" s="4"/>
      <c r="WRN253" s="9"/>
      <c r="WRO253" s="4"/>
      <c r="WRP253" s="9"/>
      <c r="WRQ253" s="4"/>
      <c r="WRR253" s="9"/>
      <c r="WRS253" s="4"/>
      <c r="WRT253" s="9"/>
      <c r="WRU253" s="4"/>
      <c r="WRV253" s="9"/>
      <c r="WRW253" s="4"/>
      <c r="WRX253" s="9"/>
      <c r="WRY253" s="4"/>
      <c r="WRZ253" s="9"/>
      <c r="WSA253" s="4"/>
      <c r="WSB253" s="9"/>
      <c r="WSC253" s="4"/>
      <c r="WSD253" s="9"/>
      <c r="WSE253" s="4"/>
      <c r="WSF253" s="9"/>
      <c r="WSG253" s="4"/>
      <c r="WSH253" s="9"/>
      <c r="WSI253" s="4"/>
      <c r="WSJ253" s="9"/>
      <c r="WSK253" s="4"/>
      <c r="WSL253" s="9"/>
      <c r="WSM253" s="4"/>
      <c r="WSN253" s="9"/>
      <c r="WSO253" s="4"/>
      <c r="WSP253" s="9"/>
      <c r="WSQ253" s="4"/>
      <c r="WSR253" s="9"/>
      <c r="WSS253" s="4"/>
      <c r="WST253" s="9"/>
      <c r="WSU253" s="4"/>
      <c r="WSV253" s="9"/>
      <c r="WSW253" s="4"/>
      <c r="WSX253" s="9"/>
      <c r="WSY253" s="4"/>
      <c r="WSZ253" s="9"/>
      <c r="WTA253" s="4"/>
      <c r="WTB253" s="9"/>
      <c r="WTC253" s="4"/>
      <c r="WTD253" s="9"/>
      <c r="WTE253" s="4"/>
      <c r="WTF253" s="9"/>
      <c r="WTG253" s="4"/>
      <c r="WTH253" s="9"/>
      <c r="WTI253" s="4"/>
      <c r="WTJ253" s="9"/>
      <c r="WTK253" s="4"/>
      <c r="WTL253" s="9"/>
      <c r="WTM253" s="4"/>
      <c r="WTN253" s="9"/>
      <c r="WTO253" s="4"/>
      <c r="WTP253" s="9"/>
      <c r="WTQ253" s="4"/>
      <c r="WTR253" s="9"/>
      <c r="WTS253" s="4"/>
      <c r="WTT253" s="9"/>
      <c r="WTU253" s="4"/>
      <c r="WTV253" s="9"/>
      <c r="WTW253" s="4"/>
      <c r="WTX253" s="9"/>
      <c r="WTY253" s="4"/>
      <c r="WTZ253" s="9"/>
      <c r="WUA253" s="4"/>
      <c r="WUB253" s="9"/>
      <c r="WUC253" s="4"/>
      <c r="WUD253" s="9"/>
      <c r="WUE253" s="4"/>
      <c r="WUF253" s="9"/>
      <c r="WUG253" s="4"/>
      <c r="WUH253" s="9"/>
      <c r="WUI253" s="4"/>
      <c r="WUJ253" s="9"/>
      <c r="WUK253" s="4"/>
      <c r="WUL253" s="9"/>
      <c r="WUM253" s="4"/>
      <c r="WUN253" s="9"/>
      <c r="WUO253" s="4"/>
      <c r="WUP253" s="9"/>
      <c r="WUQ253" s="4"/>
      <c r="WUR253" s="9"/>
      <c r="WUS253" s="4"/>
      <c r="WUT253" s="9"/>
      <c r="WUU253" s="4"/>
      <c r="WUV253" s="9"/>
      <c r="WUW253" s="4"/>
      <c r="WUX253" s="9"/>
      <c r="WUY253" s="4"/>
      <c r="WUZ253" s="9"/>
      <c r="WVA253" s="4"/>
      <c r="WVB253" s="9"/>
      <c r="WVC253" s="4"/>
      <c r="WVD253" s="9"/>
      <c r="WVE253" s="4"/>
      <c r="WVF253" s="9"/>
      <c r="WVG253" s="4"/>
      <c r="WVH253" s="9"/>
      <c r="WVI253" s="4"/>
      <c r="WVJ253" s="9"/>
      <c r="WVK253" s="4"/>
      <c r="WVL253" s="9"/>
      <c r="WVM253" s="4"/>
      <c r="WVN253" s="9"/>
      <c r="WVO253" s="4"/>
      <c r="WVP253" s="9"/>
      <c r="WVQ253" s="4"/>
      <c r="WVR253" s="9"/>
      <c r="WVS253" s="4"/>
      <c r="WVT253" s="9"/>
      <c r="WVU253" s="4"/>
      <c r="WVV253" s="9"/>
      <c r="WVW253" s="4"/>
      <c r="WVX253" s="9"/>
      <c r="WVY253" s="4"/>
      <c r="WVZ253" s="9"/>
      <c r="WWA253" s="4"/>
      <c r="WWB253" s="9"/>
      <c r="WWC253" s="4"/>
      <c r="WWD253" s="9"/>
      <c r="WWE253" s="4"/>
      <c r="WWF253" s="9"/>
      <c r="WWG253" s="4"/>
      <c r="WWH253" s="9"/>
      <c r="WWI253" s="4"/>
      <c r="WWJ253" s="9"/>
      <c r="WWK253" s="4"/>
      <c r="WWL253" s="9"/>
      <c r="WWM253" s="4"/>
      <c r="WWN253" s="9"/>
      <c r="WWO253" s="4"/>
      <c r="WWP253" s="9"/>
      <c r="WWQ253" s="4"/>
      <c r="WWR253" s="9"/>
      <c r="WWS253" s="4"/>
      <c r="WWT253" s="9"/>
      <c r="WWU253" s="4"/>
      <c r="WWV253" s="9"/>
      <c r="WWW253" s="4"/>
      <c r="WWX253" s="9"/>
      <c r="WWY253" s="4"/>
      <c r="WWZ253" s="9"/>
      <c r="WXA253" s="4"/>
      <c r="WXB253" s="9"/>
      <c r="WXC253" s="4"/>
      <c r="WXD253" s="9"/>
      <c r="WXE253" s="4"/>
      <c r="WXF253" s="9"/>
      <c r="WXG253" s="4"/>
      <c r="WXH253" s="9"/>
      <c r="WXI253" s="4"/>
      <c r="WXJ253" s="9"/>
      <c r="WXK253" s="4"/>
      <c r="WXL253" s="9"/>
      <c r="WXM253" s="4"/>
      <c r="WXN253" s="9"/>
      <c r="WXO253" s="4"/>
      <c r="WXP253" s="9"/>
      <c r="WXQ253" s="4"/>
      <c r="WXR253" s="9"/>
      <c r="WXS253" s="4"/>
      <c r="WXT253" s="9"/>
      <c r="WXU253" s="4"/>
      <c r="WXV253" s="9"/>
      <c r="WXW253" s="4"/>
      <c r="WXX253" s="9"/>
      <c r="WXY253" s="4"/>
      <c r="WXZ253" s="9"/>
      <c r="WYA253" s="4"/>
      <c r="WYB253" s="9"/>
      <c r="WYC253" s="4"/>
      <c r="WYD253" s="9"/>
      <c r="WYE253" s="4"/>
      <c r="WYF253" s="9"/>
      <c r="WYG253" s="4"/>
      <c r="WYH253" s="9"/>
      <c r="WYI253" s="4"/>
      <c r="WYJ253" s="9"/>
      <c r="WYK253" s="4"/>
      <c r="WYL253" s="9"/>
      <c r="WYM253" s="4"/>
      <c r="WYN253" s="9"/>
      <c r="WYO253" s="4"/>
      <c r="WYP253" s="9"/>
      <c r="WYQ253" s="4"/>
      <c r="WYR253" s="9"/>
      <c r="WYS253" s="4"/>
      <c r="WYT253" s="9"/>
      <c r="WYU253" s="4"/>
      <c r="WYV253" s="9"/>
      <c r="WYW253" s="4"/>
      <c r="WYX253" s="9"/>
      <c r="WYY253" s="4"/>
      <c r="WYZ253" s="9"/>
      <c r="WZA253" s="4"/>
      <c r="WZB253" s="9"/>
      <c r="WZC253" s="4"/>
      <c r="WZD253" s="9"/>
      <c r="WZE253" s="4"/>
      <c r="WZF253" s="9"/>
      <c r="WZG253" s="4"/>
      <c r="WZH253" s="9"/>
      <c r="WZI253" s="4"/>
      <c r="WZJ253" s="9"/>
      <c r="WZK253" s="4"/>
      <c r="WZL253" s="9"/>
      <c r="WZM253" s="4"/>
      <c r="WZN253" s="9"/>
      <c r="WZO253" s="4"/>
      <c r="WZP253" s="9"/>
      <c r="WZQ253" s="4"/>
      <c r="WZR253" s="9"/>
      <c r="WZS253" s="4"/>
      <c r="WZT253" s="9"/>
      <c r="WZU253" s="4"/>
      <c r="WZV253" s="9"/>
      <c r="WZW253" s="4"/>
      <c r="WZX253" s="9"/>
      <c r="WZY253" s="4"/>
      <c r="WZZ253" s="9"/>
      <c r="XAA253" s="4"/>
      <c r="XAB253" s="9"/>
      <c r="XAC253" s="4"/>
      <c r="XAD253" s="9"/>
      <c r="XAE253" s="4"/>
      <c r="XAF253" s="9"/>
      <c r="XAG253" s="4"/>
      <c r="XAH253" s="9"/>
      <c r="XAI253" s="4"/>
      <c r="XAJ253" s="9"/>
      <c r="XAK253" s="4"/>
      <c r="XAL253" s="9"/>
      <c r="XAM253" s="4"/>
      <c r="XAN253" s="9"/>
      <c r="XAO253" s="4"/>
      <c r="XAP253" s="9"/>
      <c r="XAQ253" s="4"/>
      <c r="XAR253" s="9"/>
      <c r="XAS253" s="4"/>
      <c r="XAT253" s="9"/>
      <c r="XAU253" s="4"/>
      <c r="XAV253" s="9"/>
      <c r="XAW253" s="4"/>
      <c r="XAX253" s="9"/>
      <c r="XAY253" s="4"/>
      <c r="XAZ253" s="9"/>
      <c r="XBA253" s="4"/>
      <c r="XBB253" s="9"/>
      <c r="XBC253" s="4"/>
      <c r="XBD253" s="9"/>
      <c r="XBE253" s="4"/>
      <c r="XBF253" s="9"/>
      <c r="XBG253" s="4"/>
      <c r="XBH253" s="9"/>
      <c r="XBI253" s="4"/>
      <c r="XBJ253" s="9"/>
      <c r="XBK253" s="4"/>
      <c r="XBL253" s="9"/>
      <c r="XBM253" s="4"/>
      <c r="XBN253" s="9"/>
      <c r="XBO253" s="4"/>
      <c r="XBP253" s="9"/>
      <c r="XBQ253" s="4"/>
      <c r="XBR253" s="9"/>
      <c r="XBS253" s="4"/>
      <c r="XBT253" s="9"/>
      <c r="XBU253" s="4"/>
      <c r="XBV253" s="9"/>
      <c r="XBW253" s="4"/>
      <c r="XBX253" s="9"/>
      <c r="XBY253" s="4"/>
      <c r="XBZ253" s="9"/>
      <c r="XCA253" s="4"/>
      <c r="XCB253" s="9"/>
      <c r="XCC253" s="4"/>
      <c r="XCD253" s="9"/>
      <c r="XCE253" s="4"/>
      <c r="XCF253" s="9"/>
      <c r="XCG253" s="4"/>
      <c r="XCH253" s="9"/>
      <c r="XCI253" s="4"/>
      <c r="XCJ253" s="9"/>
      <c r="XCK253" s="4"/>
      <c r="XCL253" s="9"/>
      <c r="XCM253" s="4"/>
      <c r="XCN253" s="9"/>
      <c r="XCO253" s="4"/>
      <c r="XCP253" s="9"/>
      <c r="XCQ253" s="4"/>
      <c r="XCR253" s="9"/>
      <c r="XCS253" s="4"/>
      <c r="XCT253" s="9"/>
      <c r="XCU253" s="4"/>
      <c r="XCV253" s="9"/>
      <c r="XCW253" s="4"/>
      <c r="XCX253" s="9"/>
      <c r="XCY253" s="4"/>
      <c r="XCZ253" s="9"/>
      <c r="XDA253" s="4"/>
      <c r="XDB253" s="9"/>
      <c r="XDC253" s="4"/>
      <c r="XDD253" s="9"/>
      <c r="XDE253" s="4"/>
      <c r="XDF253" s="9"/>
      <c r="XDG253" s="4"/>
      <c r="XDH253" s="9"/>
      <c r="XDI253" s="4"/>
      <c r="XDJ253" s="9"/>
      <c r="XDK253" s="4"/>
      <c r="XDL253" s="9"/>
      <c r="XDM253" s="4"/>
      <c r="XDN253" s="9"/>
      <c r="XDO253" s="4"/>
      <c r="XDP253" s="9"/>
      <c r="XDQ253" s="4"/>
      <c r="XDR253" s="9"/>
      <c r="XDS253" s="4"/>
      <c r="XDT253" s="9"/>
      <c r="XDU253" s="4"/>
      <c r="XDV253" s="9"/>
      <c r="XDW253" s="4"/>
      <c r="XDX253" s="9"/>
      <c r="XDY253" s="4"/>
      <c r="XDZ253" s="9"/>
      <c r="XEA253" s="4"/>
      <c r="XEB253" s="9"/>
      <c r="XEC253" s="4"/>
      <c r="XED253" s="9"/>
      <c r="XEE253" s="4"/>
      <c r="XEF253" s="9"/>
      <c r="XEG253" s="4"/>
      <c r="XEH253" s="9"/>
      <c r="XEI253" s="4"/>
      <c r="XEJ253" s="9"/>
      <c r="XEK253" s="4"/>
      <c r="XEL253" s="9"/>
      <c r="XEM253" s="4"/>
      <c r="XEN253" s="9"/>
      <c r="XEO253" s="4"/>
      <c r="XEP253" s="9"/>
      <c r="XEQ253" s="4"/>
      <c r="XER253" s="9"/>
      <c r="XES253" s="4"/>
      <c r="XET253" s="9"/>
      <c r="XEU253" s="4"/>
      <c r="XEV253" s="9"/>
      <c r="XEW253" s="4"/>
      <c r="XEX253" s="9"/>
      <c r="XEY253" s="4"/>
      <c r="XEZ253" s="9"/>
      <c r="XFA253" s="4"/>
      <c r="XFB253" s="9"/>
      <c r="XFC253" s="4"/>
    </row>
    <row r="255" spans="2:16383">
      <c r="B255" s="75" t="str">
        <f>B33</f>
        <v>Preferred Equity</v>
      </c>
    </row>
    <row r="256" spans="2:16383">
      <c r="B256" s="9" t="s">
        <v>125</v>
      </c>
      <c r="G256" s="51">
        <f>F258</f>
        <v>0</v>
      </c>
      <c r="H256" s="51">
        <f t="shared" ref="H256:K256" si="139">G258</f>
        <v>0</v>
      </c>
      <c r="I256" s="51">
        <f t="shared" si="139"/>
        <v>0</v>
      </c>
      <c r="J256" s="51">
        <f t="shared" si="139"/>
        <v>0</v>
      </c>
      <c r="K256" s="51">
        <f t="shared" si="139"/>
        <v>0</v>
      </c>
    </row>
    <row r="257" spans="1:11">
      <c r="B257" s="9" t="s">
        <v>165</v>
      </c>
      <c r="G257" s="22" cm="1">
        <f t="array" ref="G257">IF(PIK=2,$L$32*G256,0)</f>
        <v>0</v>
      </c>
      <c r="H257" s="22" cm="1">
        <f t="array" ref="H257">IF(PIK=2,$L$32*H256,0)</f>
        <v>0</v>
      </c>
      <c r="I257" s="22" cm="1">
        <f t="array" ref="I257">IF(PIK=2,$L$32*I256,0)</f>
        <v>0</v>
      </c>
      <c r="J257" s="22" cm="1">
        <f t="array" ref="J257">IF(PIK=2,$L$32*J256,0)</f>
        <v>0</v>
      </c>
      <c r="K257" s="22" cm="1">
        <f t="array" ref="K257">IF(PIK=2,$L$32*K256,0)</f>
        <v>0</v>
      </c>
    </row>
    <row r="258" spans="1:11">
      <c r="B258" s="92" t="s">
        <v>128</v>
      </c>
      <c r="F258" s="85">
        <f>E33</f>
        <v>0</v>
      </c>
      <c r="G258" s="49">
        <f>G256+G257</f>
        <v>0</v>
      </c>
      <c r="H258" s="49">
        <f t="shared" ref="H258:K258" si="140">H256+H257</f>
        <v>0</v>
      </c>
      <c r="I258" s="49">
        <f t="shared" si="140"/>
        <v>0</v>
      </c>
      <c r="J258" s="49">
        <f t="shared" si="140"/>
        <v>0</v>
      </c>
      <c r="K258" s="49">
        <f t="shared" si="140"/>
        <v>0</v>
      </c>
    </row>
    <row r="259" spans="1:11">
      <c r="B259" s="9" t="s">
        <v>166</v>
      </c>
      <c r="G259" s="22" cm="1">
        <f t="array" ref="G259">IF(PIK=1,G258*$G$32,0)</f>
        <v>0</v>
      </c>
      <c r="H259" s="22" cm="1">
        <f t="array" ref="H259">IF(PIK=1,H258*$G$32,0)</f>
        <v>0</v>
      </c>
      <c r="I259" s="22" cm="1">
        <f t="array" ref="I259">IF(PIK=1,I258*$G$32,0)</f>
        <v>0</v>
      </c>
      <c r="J259" s="22" cm="1">
        <f t="array" ref="J259">IF(PIK=1,J258*$G$32,0)</f>
        <v>0</v>
      </c>
      <c r="K259" s="22" cm="1">
        <f t="array" ref="K259">IF(PIK=1,K258*$G$32,0)</f>
        <v>0</v>
      </c>
    </row>
    <row r="261" spans="1:11">
      <c r="B261" s="75" t="s">
        <v>167</v>
      </c>
    </row>
    <row r="262" spans="1:11">
      <c r="B262" s="9" t="s">
        <v>125</v>
      </c>
      <c r="G262" s="51">
        <f>F264</f>
        <v>69.238419999999991</v>
      </c>
      <c r="H262" s="51">
        <f>G264</f>
        <v>58.535349999999994</v>
      </c>
      <c r="I262" s="51">
        <f>H264</f>
        <v>47.832279999999997</v>
      </c>
      <c r="J262" s="51">
        <f>I264</f>
        <v>37.12921</v>
      </c>
      <c r="K262" s="51">
        <f>J264</f>
        <v>26.426140000000004</v>
      </c>
    </row>
    <row r="263" spans="1:11">
      <c r="B263" s="9" t="s">
        <v>58</v>
      </c>
      <c r="G263" s="22">
        <f>MIN($K$35,G262)</f>
        <v>10.703069999999999</v>
      </c>
      <c r="H263" s="22">
        <f>MIN($K$35,H262)</f>
        <v>10.703069999999999</v>
      </c>
      <c r="I263" s="22">
        <f>MIN($K$35,I262)</f>
        <v>10.703069999999999</v>
      </c>
      <c r="J263" s="22">
        <f>MIN($K$35,J262)</f>
        <v>10.703069999999999</v>
      </c>
      <c r="K263" s="22">
        <f>MIN($K$35,K262)</f>
        <v>10.703069999999999</v>
      </c>
    </row>
    <row r="264" spans="1:11">
      <c r="B264" s="92" t="s">
        <v>128</v>
      </c>
      <c r="F264" s="85">
        <f>I35</f>
        <v>69.238419999999991</v>
      </c>
      <c r="G264" s="49">
        <f>G262-G263</f>
        <v>58.535349999999994</v>
      </c>
      <c r="H264" s="49">
        <f t="shared" ref="H264" si="141">H262-H263</f>
        <v>47.832279999999997</v>
      </c>
      <c r="I264" s="49">
        <f>I262-I263</f>
        <v>37.12921</v>
      </c>
      <c r="J264" s="49">
        <f>J262-J263</f>
        <v>26.426140000000004</v>
      </c>
      <c r="K264" s="49">
        <f>K262-K263</f>
        <v>15.723070000000005</v>
      </c>
    </row>
    <row r="265" spans="1:11">
      <c r="B265" s="92"/>
    </row>
    <row r="266" spans="1:11">
      <c r="B266" s="93" t="s">
        <v>168</v>
      </c>
      <c r="C266" s="73"/>
      <c r="D266" s="73"/>
      <c r="E266" s="73"/>
      <c r="F266" s="126"/>
      <c r="G266" s="126"/>
      <c r="H266" s="126"/>
      <c r="I266" s="126"/>
      <c r="J266" s="126"/>
      <c r="K266" s="127"/>
    </row>
    <row r="267" spans="1:11">
      <c r="B267" s="94" t="s">
        <v>125</v>
      </c>
      <c r="C267" s="95"/>
      <c r="D267" s="95"/>
      <c r="E267" s="95"/>
      <c r="F267" s="95"/>
      <c r="G267" s="96">
        <f>G214+G221+G230+G239+G248</f>
        <v>2644.2</v>
      </c>
      <c r="H267" s="96">
        <f t="shared" ref="H267:K267" ca="1" si="142">H214+H221+H230+H239+H248</f>
        <v>2621.5231843071597</v>
      </c>
      <c r="I267" s="96">
        <f t="shared" ca="1" si="142"/>
        <v>2565.3904470992939</v>
      </c>
      <c r="J267" s="96">
        <f t="shared" ca="1" si="142"/>
        <v>2442.6045706572054</v>
      </c>
      <c r="K267" s="128">
        <f t="shared" ca="1" si="142"/>
        <v>2263.4963481741029</v>
      </c>
    </row>
    <row r="268" spans="1:11">
      <c r="B268" s="94" t="s">
        <v>169</v>
      </c>
      <c r="C268" s="95"/>
      <c r="D268" s="95"/>
      <c r="E268" s="95"/>
      <c r="F268" s="95"/>
      <c r="G268" s="96">
        <f ca="1">G215+G222+G223+G231+G232+G240+G241+G249</f>
        <v>22.676815692840393</v>
      </c>
      <c r="H268" s="96">
        <f t="shared" ref="H268:K268" ca="1" si="143">H215+H222+H223+H231+H232+H240+H241+H249</f>
        <v>56.132737207866427</v>
      </c>
      <c r="I268" s="96">
        <f t="shared" ca="1" si="143"/>
        <v>122.78587644236126</v>
      </c>
      <c r="J268" s="96">
        <f t="shared" ca="1" si="143"/>
        <v>179.1082225690343</v>
      </c>
      <c r="K268" s="128">
        <f t="shared" ca="1" si="143"/>
        <v>233.68320563327222</v>
      </c>
    </row>
    <row r="269" spans="1:11">
      <c r="B269" s="68" t="s">
        <v>128</v>
      </c>
      <c r="C269" s="74"/>
      <c r="D269" s="74"/>
      <c r="E269" s="74"/>
      <c r="F269" s="97">
        <f>F216+F224+F233+F242+F251</f>
        <v>2644.2</v>
      </c>
      <c r="G269" s="97">
        <f t="shared" ref="G269:K269" ca="1" si="144">G216+G224+G233+G242+G251</f>
        <v>2621.5231843071597</v>
      </c>
      <c r="H269" s="97">
        <f t="shared" ca="1" si="144"/>
        <v>2565.3904470992934</v>
      </c>
      <c r="I269" s="97">
        <f t="shared" ca="1" si="144"/>
        <v>2442.6045706569325</v>
      </c>
      <c r="J269" s="97">
        <f t="shared" ca="1" si="144"/>
        <v>2263.4963480881711</v>
      </c>
      <c r="K269" s="129">
        <f t="shared" ca="1" si="144"/>
        <v>2029.8131425408305</v>
      </c>
    </row>
    <row r="270" spans="1:11">
      <c r="B270" s="98" t="s">
        <v>159</v>
      </c>
      <c r="C270" s="98"/>
      <c r="D270" s="98"/>
      <c r="E270" s="98"/>
      <c r="F270" s="98"/>
      <c r="G270" s="182">
        <f ca="1">G267-G268-G269</f>
        <v>0</v>
      </c>
      <c r="H270" s="182">
        <f t="shared" ref="H270:K270" ca="1" si="145">H267-H268-H269</f>
        <v>0</v>
      </c>
      <c r="I270" s="182">
        <f t="shared" ca="1" si="145"/>
        <v>0</v>
      </c>
      <c r="J270" s="182">
        <f t="shared" ca="1" si="145"/>
        <v>0</v>
      </c>
      <c r="K270" s="182">
        <f t="shared" ca="1" si="145"/>
        <v>0</v>
      </c>
    </row>
    <row r="272" spans="1:11">
      <c r="A272" s="4" t="s">
        <v>1</v>
      </c>
      <c r="B272" s="109" t="s">
        <v>170</v>
      </c>
      <c r="C272" s="109"/>
      <c r="D272" s="111">
        <v>2008</v>
      </c>
      <c r="E272" s="111">
        <f>D272+1</f>
        <v>2009</v>
      </c>
      <c r="F272" s="111">
        <f t="shared" ref="F272:K272" si="146">E272+1</f>
        <v>2010</v>
      </c>
      <c r="G272" s="112">
        <f t="shared" si="146"/>
        <v>2011</v>
      </c>
      <c r="H272" s="112">
        <f t="shared" si="146"/>
        <v>2012</v>
      </c>
      <c r="I272" s="112">
        <f t="shared" si="146"/>
        <v>2013</v>
      </c>
      <c r="J272" s="112">
        <f t="shared" si="146"/>
        <v>2014</v>
      </c>
      <c r="K272" s="112">
        <f t="shared" si="146"/>
        <v>2015</v>
      </c>
    </row>
    <row r="273" spans="1:11">
      <c r="B273" t="s">
        <v>46</v>
      </c>
      <c r="F273" s="51">
        <f>F85</f>
        <v>1</v>
      </c>
      <c r="G273" s="50">
        <f ca="1">IF(CIRC="OFF",AVERAGE(G203,G205)*G274,0)</f>
        <v>0.63006396588486135</v>
      </c>
      <c r="H273" s="50">
        <f ca="1">IF(CIRC="OFF",AVERAGE(H203,H205)*H274,0)</f>
        <v>0.63006396588486213</v>
      </c>
      <c r="I273" s="50">
        <f ca="1">IF(CIRC="OFF",AVERAGE(I203,I205)*I274,0)</f>
        <v>0.63006396588536961</v>
      </c>
      <c r="J273" s="50">
        <f ca="1">IF(CIRC="OFF",AVERAGE(J203,J205)*J274,0)</f>
        <v>0.63006396604240378</v>
      </c>
      <c r="K273" s="50">
        <f ca="1">IF(CIRC="OFF",AVERAGE(K203,K205)*K274,0)</f>
        <v>0.63006399671562596</v>
      </c>
    </row>
    <row r="274" spans="1:11">
      <c r="B274" s="71" t="s">
        <v>171</v>
      </c>
      <c r="F274" s="19">
        <f>F273/F205</f>
        <v>5.3304904051172707E-3</v>
      </c>
      <c r="G274" s="130">
        <f>F274</f>
        <v>5.3304904051172707E-3</v>
      </c>
      <c r="H274" s="130">
        <f t="shared" ref="H274:K274" si="147">G274</f>
        <v>5.3304904051172707E-3</v>
      </c>
      <c r="I274" s="130">
        <f t="shared" si="147"/>
        <v>5.3304904051172707E-3</v>
      </c>
      <c r="J274" s="130">
        <f t="shared" si="147"/>
        <v>5.3304904051172707E-3</v>
      </c>
      <c r="K274" s="130">
        <f t="shared" si="147"/>
        <v>5.3304904051172707E-3</v>
      </c>
    </row>
    <row r="275" spans="1:11">
      <c r="B275" s="71"/>
      <c r="F275" s="19"/>
      <c r="G275" s="130"/>
      <c r="H275" s="130"/>
      <c r="I275" s="130"/>
      <c r="J275" s="130"/>
      <c r="K275" s="130"/>
    </row>
    <row r="276" spans="1:11">
      <c r="B276" t="s">
        <v>59</v>
      </c>
      <c r="G276" s="50">
        <f ca="1">IF(CIRC="OFF",G277*AVERAGE(G214,G216),0)</f>
        <v>0</v>
      </c>
      <c r="H276" s="50">
        <f ca="1">IF(CIRC="OFF",H277*AVERAGE(H214,H216),0)</f>
        <v>0</v>
      </c>
      <c r="I276" s="50">
        <f ca="1">IF(CIRC="OFF",I277*AVERAGE(I214,I216),0)</f>
        <v>0</v>
      </c>
      <c r="J276" s="50">
        <f ca="1">IF(CIRC="OFF",J277*AVERAGE(J214,J216),0)</f>
        <v>0</v>
      </c>
      <c r="K276" s="50">
        <f ca="1">IF(CIRC="OFF",K277*AVERAGE(K214,K216),0)</f>
        <v>0</v>
      </c>
    </row>
    <row r="277" spans="1:11">
      <c r="B277" s="71" t="s">
        <v>172</v>
      </c>
      <c r="F277" s="100"/>
      <c r="G277" s="100">
        <f>G28</f>
        <v>4.4999999999999998E-2</v>
      </c>
      <c r="H277" s="100">
        <f t="shared" ref="H277:K277" si="148">$G$29</f>
        <v>6.8199999999999997E-2</v>
      </c>
      <c r="I277" s="100">
        <f t="shared" si="148"/>
        <v>6.8199999999999997E-2</v>
      </c>
      <c r="J277" s="100">
        <f t="shared" si="148"/>
        <v>6.8199999999999997E-2</v>
      </c>
      <c r="K277" s="100">
        <f t="shared" si="148"/>
        <v>6.8199999999999997E-2</v>
      </c>
    </row>
    <row r="279" spans="1:11">
      <c r="B279" t="str">
        <f>B29</f>
        <v>Secured Term Loan - USD Tranche</v>
      </c>
      <c r="G279" s="50">
        <f ca="1">IF(CIRC="OFF",G280*AVERAGE(G221,G224),0)</f>
        <v>102.20872058487414</v>
      </c>
      <c r="H279" s="50">
        <f ca="1">IF(CIRC="OFF",H280*AVERAGE(H221,H224),0)</f>
        <v>99.521314830960037</v>
      </c>
      <c r="I279" s="50">
        <f ca="1">IF(CIRC="OFF",I280*AVERAGE(I221,I224),0)</f>
        <v>93.420190105489326</v>
      </c>
      <c r="J279" s="50">
        <f ca="1">IF(CIRC="OFF",J280*AVERAGE(J221,J224),0)</f>
        <v>83.125601329864949</v>
      </c>
      <c r="K279" s="50">
        <f ca="1">IF(CIRC="OFF",K280*AVERAGE(K221,K224),0)</f>
        <v>69.049413764675535</v>
      </c>
    </row>
    <row r="280" spans="1:11">
      <c r="B280" s="71" t="s">
        <v>172</v>
      </c>
      <c r="F280" s="100"/>
      <c r="G280" s="100">
        <f t="shared" ref="G280:K280" si="149">$G$29</f>
        <v>6.8199999999999997E-2</v>
      </c>
      <c r="H280" s="100">
        <f t="shared" si="149"/>
        <v>6.8199999999999997E-2</v>
      </c>
      <c r="I280" s="100">
        <f t="shared" si="149"/>
        <v>6.8199999999999997E-2</v>
      </c>
      <c r="J280" s="100">
        <f t="shared" si="149"/>
        <v>6.8199999999999997E-2</v>
      </c>
      <c r="K280" s="100">
        <f t="shared" si="149"/>
        <v>6.8199999999999997E-2</v>
      </c>
    </row>
    <row r="282" spans="1:11">
      <c r="B282" t="str">
        <f>B30</f>
        <v>Secured Term Loan - EUR Tranche</v>
      </c>
      <c r="G282" s="119">
        <f ca="1">IF(CIRC="OFF",G283*AVERAGE(G230,G233),0)</f>
        <v>23.761619999999997</v>
      </c>
      <c r="H282" s="119">
        <f ca="1">IF(CIRC="OFF",H283*AVERAGE(H230,H233),0)</f>
        <v>23.761619999999994</v>
      </c>
      <c r="I282" s="119">
        <f ca="1">IF(CIRC="OFF",I283*AVERAGE(I230,I233),0)</f>
        <v>23.761619999997894</v>
      </c>
      <c r="J282" s="119">
        <f ca="1">IF(CIRC="OFF",J283*AVERAGE(J230,J233),0)</f>
        <v>23.76161999932485</v>
      </c>
      <c r="K282" s="119">
        <f ca="1">IF(CIRC="OFF",K283*AVERAGE(K230,K233),0)</f>
        <v>23.761619863120711</v>
      </c>
    </row>
    <row r="283" spans="1:11">
      <c r="B283" s="71" t="s">
        <v>172</v>
      </c>
      <c r="F283" s="100"/>
      <c r="G283" s="100">
        <f t="shared" ref="G283:K283" si="150">$G$30</f>
        <v>7.1099999999999997E-2</v>
      </c>
      <c r="H283" s="100">
        <f t="shared" si="150"/>
        <v>7.1099999999999997E-2</v>
      </c>
      <c r="I283" s="100">
        <f t="shared" si="150"/>
        <v>7.1099999999999997E-2</v>
      </c>
      <c r="J283" s="100">
        <f t="shared" si="150"/>
        <v>7.1099999999999997E-2</v>
      </c>
      <c r="K283" s="100">
        <f t="shared" si="150"/>
        <v>7.1099999999999997E-2</v>
      </c>
    </row>
    <row r="285" spans="1:11">
      <c r="B285" t="str">
        <f>B31</f>
        <v>Senior Notes</v>
      </c>
      <c r="G285" s="119">
        <f ca="1">IF(CIRC="OFF",G286*AVERAGE(G239,G242),0)</f>
        <v>81.52000000000001</v>
      </c>
      <c r="H285" s="119">
        <f ca="1">IF(CIRC="OFF",H286*AVERAGE(H239,H242),0)</f>
        <v>81.52000000000001</v>
      </c>
      <c r="I285" s="119">
        <f ca="1">IF(CIRC="OFF",I286*AVERAGE(I239,I242),0)</f>
        <v>81.52000000000001</v>
      </c>
      <c r="J285" s="119">
        <f ca="1">IF(CIRC="OFF",J286*AVERAGE(J239,J242),0)</f>
        <v>81.52000000000001</v>
      </c>
      <c r="K285" s="119">
        <f ca="1">IF(CIRC="OFF",K286*AVERAGE(K239,K242),0)</f>
        <v>81.52000000000001</v>
      </c>
    </row>
    <row r="286" spans="1:11">
      <c r="B286" s="71" t="s">
        <v>172</v>
      </c>
      <c r="F286" s="100"/>
      <c r="G286" s="100">
        <f t="shared" ref="G286:K286" si="151">$G$31</f>
        <v>0.1019</v>
      </c>
      <c r="H286" s="100">
        <f t="shared" si="151"/>
        <v>0.1019</v>
      </c>
      <c r="I286" s="100">
        <f t="shared" si="151"/>
        <v>0.1019</v>
      </c>
      <c r="J286" s="100">
        <f t="shared" si="151"/>
        <v>0.1019</v>
      </c>
      <c r="K286" s="100">
        <f t="shared" si="151"/>
        <v>0.1019</v>
      </c>
    </row>
    <row r="288" spans="1:11">
      <c r="A288" s="4" t="s">
        <v>173</v>
      </c>
      <c r="B288" t="s">
        <v>64</v>
      </c>
      <c r="G288" s="119" cm="1">
        <f t="array" ref="G288">IF(PIK=1,IF(CIRC="OFF",G289*AVERAGE(G248,G251),0),0)</f>
        <v>0</v>
      </c>
      <c r="H288" s="119" cm="1">
        <f t="array" ref="H288">IF(PIK=1,IF(CIRC="OFF",H289*AVERAGE(H248,H251),0),0)</f>
        <v>0</v>
      </c>
      <c r="I288" s="119" cm="1">
        <f t="array" ref="I288">IF(PIK=1,IF(CIRC="OFF",I289*AVERAGE(I248,I251),0),0)</f>
        <v>0</v>
      </c>
      <c r="J288" s="119" cm="1">
        <f t="array" ref="J288">IF(PIK=1,IF(CIRC="OFF",J289*AVERAGE(J248,J251),0),0)</f>
        <v>0</v>
      </c>
      <c r="K288" s="119" cm="1">
        <f t="array" ref="K288">IF(PIK=1,IF(CIRC="OFF",K289*AVERAGE(K248,K251),0),0)</f>
        <v>0</v>
      </c>
    </row>
    <row r="289" spans="1:12">
      <c r="A289" s="4" t="s">
        <v>173</v>
      </c>
      <c r="B289" s="71" t="s">
        <v>174</v>
      </c>
      <c r="F289" s="100"/>
      <c r="G289" s="100">
        <f>$G$32</f>
        <v>0.1</v>
      </c>
      <c r="H289" s="100">
        <f>$G$32</f>
        <v>0.1</v>
      </c>
      <c r="I289" s="100">
        <f>$G$32</f>
        <v>0.1</v>
      </c>
      <c r="J289" s="100">
        <f>$G$32</f>
        <v>0.1</v>
      </c>
      <c r="K289" s="100">
        <f>$G$32</f>
        <v>0.1</v>
      </c>
    </row>
    <row r="290" spans="1:12">
      <c r="A290" s="4" t="s">
        <v>173</v>
      </c>
    </row>
    <row r="291" spans="1:12">
      <c r="A291" s="4" t="s">
        <v>173</v>
      </c>
      <c r="B291" t="s">
        <v>64</v>
      </c>
      <c r="G291" s="137">
        <f>G250</f>
        <v>0</v>
      </c>
      <c r="H291" s="137">
        <f t="shared" ref="H291:K291" si="152">H250</f>
        <v>0</v>
      </c>
      <c r="I291" s="137">
        <f t="shared" si="152"/>
        <v>0</v>
      </c>
      <c r="J291" s="137">
        <f t="shared" si="152"/>
        <v>0</v>
      </c>
      <c r="K291" s="137">
        <f t="shared" si="152"/>
        <v>0</v>
      </c>
    </row>
    <row r="292" spans="1:12">
      <c r="A292" s="4" t="s">
        <v>173</v>
      </c>
      <c r="B292" s="71" t="s">
        <v>175</v>
      </c>
      <c r="F292" s="100"/>
      <c r="G292" s="100">
        <f>$L$32</f>
        <v>0.05</v>
      </c>
      <c r="H292" s="100">
        <f>$L$32</f>
        <v>0.05</v>
      </c>
      <c r="I292" s="100">
        <f>$L$32</f>
        <v>0.05</v>
      </c>
      <c r="J292" s="100">
        <f>$L$32</f>
        <v>0.05</v>
      </c>
      <c r="K292" s="100">
        <f>$L$32</f>
        <v>0.05</v>
      </c>
    </row>
    <row r="293" spans="1:12">
      <c r="A293" s="4" t="s">
        <v>173</v>
      </c>
    </row>
    <row r="294" spans="1:12">
      <c r="A294" s="4" t="s">
        <v>173</v>
      </c>
      <c r="B294" s="162" t="s">
        <v>176</v>
      </c>
      <c r="C294" s="163"/>
      <c r="D294" s="163"/>
      <c r="E294" s="163"/>
      <c r="F294" s="163"/>
      <c r="G294" s="164">
        <f ca="1">G276+G279+G282+G285+G288+G291</f>
        <v>207.49034058487416</v>
      </c>
      <c r="H294" s="164">
        <f t="shared" ref="H294:K294" ca="1" si="153">H276+H279+H282+H285+H288+H291</f>
        <v>204.80293483096006</v>
      </c>
      <c r="I294" s="164">
        <f t="shared" ca="1" si="153"/>
        <v>198.70181010548723</v>
      </c>
      <c r="J294" s="164">
        <f t="shared" ca="1" si="153"/>
        <v>188.40722132918981</v>
      </c>
      <c r="K294" s="165">
        <f t="shared" ca="1" si="153"/>
        <v>174.33103362779627</v>
      </c>
    </row>
    <row r="295" spans="1:12">
      <c r="A295" s="4" t="s">
        <v>173</v>
      </c>
      <c r="B295" s="166" t="s">
        <v>177</v>
      </c>
      <c r="C295" s="167"/>
      <c r="D295" s="167"/>
      <c r="E295" s="167"/>
      <c r="F295" s="167"/>
      <c r="G295" s="168">
        <f ca="1">G294/AVERAGE(G269,G267)</f>
        <v>7.8807918047509293E-2</v>
      </c>
      <c r="H295" s="168">
        <f ca="1">H294/AVERAGE(H269,H267)</f>
        <v>7.8969093910062627E-2</v>
      </c>
      <c r="I295" s="168">
        <f ca="1">I294/AVERAGE(I269,I267)</f>
        <v>7.935383697506683E-2</v>
      </c>
      <c r="J295" s="168">
        <f ca="1">J294/AVERAGE(J269,J267)</f>
        <v>8.0069350225246874E-2</v>
      </c>
      <c r="K295" s="169">
        <f ca="1">K294/AVERAGE(K269,K267)</f>
        <v>8.1210559827945783E-2</v>
      </c>
      <c r="L295" s="11"/>
    </row>
    <row r="297" spans="1:12">
      <c r="A297" s="4" t="s">
        <v>1</v>
      </c>
      <c r="B297" s="110" t="s">
        <v>178</v>
      </c>
      <c r="C297" s="110"/>
      <c r="D297" s="110"/>
      <c r="E297" s="110"/>
      <c r="F297" s="110"/>
      <c r="G297" s="110"/>
      <c r="H297" s="110"/>
      <c r="I297" s="110"/>
      <c r="J297" s="110"/>
      <c r="K297" s="110"/>
    </row>
    <row r="298" spans="1:12" ht="5.0999999999999996" customHeight="1"/>
    <row r="299" spans="1:12">
      <c r="B299" t="s">
        <v>179</v>
      </c>
      <c r="K299" s="51">
        <f>K103</f>
        <v>685</v>
      </c>
    </row>
    <row r="300" spans="1:12">
      <c r="B300" s="3" t="s">
        <v>49</v>
      </c>
      <c r="C300" s="3"/>
      <c r="D300" s="3"/>
      <c r="E300" s="3"/>
      <c r="F300" s="3"/>
      <c r="G300" s="3"/>
      <c r="H300" s="3"/>
      <c r="I300" s="3"/>
      <c r="J300" s="3"/>
      <c r="K300" s="104">
        <f>E24</f>
        <v>8.7567148178137728</v>
      </c>
    </row>
    <row r="301" spans="1:12">
      <c r="B301" s="8" t="s">
        <v>47</v>
      </c>
      <c r="C301" s="8"/>
      <c r="D301" s="8"/>
      <c r="E301" s="8"/>
      <c r="F301" s="8"/>
      <c r="G301" s="8"/>
      <c r="H301" s="8"/>
      <c r="I301" s="8"/>
      <c r="J301" s="8"/>
      <c r="K301" s="90">
        <f>K299*K300</f>
        <v>5998.3496502024345</v>
      </c>
    </row>
    <row r="302" spans="1:12">
      <c r="B302" t="s">
        <v>180</v>
      </c>
      <c r="K302" s="22">
        <f ca="1">K269-K205</f>
        <v>1911.6131308251761</v>
      </c>
    </row>
    <row r="303" spans="1:12">
      <c r="B303" s="105" t="s">
        <v>181</v>
      </c>
      <c r="C303" s="106"/>
      <c r="D303" s="106"/>
      <c r="E303" s="106"/>
      <c r="F303" s="106"/>
      <c r="G303" s="106"/>
      <c r="H303" s="106"/>
      <c r="I303" s="106"/>
      <c r="J303" s="106"/>
      <c r="K303" s="107">
        <f ca="1">K301-K302</f>
        <v>4086.7365193772584</v>
      </c>
    </row>
    <row r="305" spans="1:11">
      <c r="B305" t="s">
        <v>182</v>
      </c>
      <c r="K305" s="51">
        <f>D48</f>
        <v>1560.0000000000005</v>
      </c>
    </row>
    <row r="307" spans="1:11">
      <c r="B307" s="64" t="s">
        <v>183</v>
      </c>
      <c r="C307" s="65"/>
      <c r="D307" s="65"/>
      <c r="E307" s="65"/>
      <c r="F307" s="65"/>
      <c r="G307" s="65"/>
      <c r="H307" s="65"/>
      <c r="I307" s="65"/>
      <c r="J307" s="65"/>
      <c r="K307" s="101">
        <f ca="1">K303/K305</f>
        <v>2.6197028970367033</v>
      </c>
    </row>
    <row r="308" spans="1:11">
      <c r="A308" s="4" t="s">
        <v>1</v>
      </c>
      <c r="B308" s="102" t="s">
        <v>184</v>
      </c>
      <c r="C308" s="69"/>
      <c r="D308" s="69"/>
      <c r="E308" s="69"/>
      <c r="F308" s="69"/>
      <c r="G308" s="69"/>
      <c r="H308" s="69"/>
      <c r="I308" s="69"/>
      <c r="J308" s="69"/>
      <c r="K308" s="103">
        <f ca="1">K307^(1/5)-1</f>
        <v>0.21241250773039089</v>
      </c>
    </row>
    <row r="310" spans="1:11">
      <c r="A310" s="4" t="s">
        <v>1</v>
      </c>
      <c r="B310" s="109" t="s">
        <v>185</v>
      </c>
      <c r="C310" s="109"/>
      <c r="D310" s="111"/>
      <c r="E310" s="111"/>
      <c r="F310" s="111"/>
      <c r="G310" s="178">
        <v>2010</v>
      </c>
      <c r="H310" s="113" t="s">
        <v>186</v>
      </c>
      <c r="I310" s="113" t="s">
        <v>187</v>
      </c>
      <c r="J310" s="113" t="s">
        <v>188</v>
      </c>
      <c r="K310" s="113" t="s">
        <v>189</v>
      </c>
    </row>
    <row r="311" spans="1:11">
      <c r="B311" t="s">
        <v>46</v>
      </c>
      <c r="G311" s="179">
        <f>F205</f>
        <v>187.6</v>
      </c>
      <c r="H311" s="22">
        <f>H327+H322-H315</f>
        <v>-4273.5999999999995</v>
      </c>
      <c r="I311" s="22">
        <f>I322+I327</f>
        <v>4204.2000000000007</v>
      </c>
      <c r="K311" s="22">
        <f>SUM(G311:J311)</f>
        <v>118.20000000000118</v>
      </c>
    </row>
    <row r="312" spans="1:11">
      <c r="B312" t="str">
        <f>B114</f>
        <v>Accounts Receivable</v>
      </c>
      <c r="G312" s="179">
        <f>F114</f>
        <v>142.9</v>
      </c>
      <c r="H312" s="22"/>
      <c r="I312" s="22"/>
      <c r="K312" s="22">
        <f t="shared" ref="K312:K330" si="154">SUM(G312:J312)</f>
        <v>142.9</v>
      </c>
    </row>
    <row r="313" spans="1:11">
      <c r="B313" t="str">
        <f>B117</f>
        <v>Prepaids and Other Current Assets</v>
      </c>
      <c r="G313" s="179">
        <f>F117</f>
        <v>103.5</v>
      </c>
      <c r="H313" s="22"/>
      <c r="I313" s="22"/>
      <c r="K313" s="22">
        <f t="shared" si="154"/>
        <v>103.5</v>
      </c>
    </row>
    <row r="314" spans="1:11">
      <c r="B314" t="str">
        <f>B144</f>
        <v>PP&amp;E</v>
      </c>
      <c r="G314" s="137">
        <f>F148</f>
        <v>1014.1</v>
      </c>
      <c r="H314" s="22"/>
      <c r="I314" s="22"/>
      <c r="K314" s="22">
        <f t="shared" si="154"/>
        <v>1014.1</v>
      </c>
    </row>
    <row r="315" spans="1:11">
      <c r="B315" t="str">
        <f>B150</f>
        <v>Intangible Assets</v>
      </c>
      <c r="G315" s="137">
        <f>F154</f>
        <v>1025.4000000000001</v>
      </c>
      <c r="H315" s="22">
        <f>I44+I46</f>
        <v>101.56459199999958</v>
      </c>
      <c r="I315" s="22"/>
      <c r="K315" s="22">
        <f t="shared" si="154"/>
        <v>1126.9645919999996</v>
      </c>
    </row>
    <row r="316" spans="1:11">
      <c r="B316" s="148" t="str">
        <f>B156</f>
        <v>Goodwill and Other Assets</v>
      </c>
      <c r="C316" s="148"/>
      <c r="D316" s="148"/>
      <c r="E316" s="148"/>
      <c r="F316" s="148"/>
      <c r="G316" s="149">
        <f>F156</f>
        <v>273.7</v>
      </c>
      <c r="H316" s="184"/>
      <c r="I316" s="184"/>
      <c r="J316" s="184">
        <f>J327</f>
        <v>2197.0354080000002</v>
      </c>
      <c r="K316" s="184">
        <f t="shared" si="154"/>
        <v>2470.735408</v>
      </c>
    </row>
    <row r="317" spans="1:11">
      <c r="B317" s="8" t="s">
        <v>190</v>
      </c>
      <c r="G317" s="49">
        <f>SUM(G311:G316)</f>
        <v>2747.2</v>
      </c>
      <c r="H317" s="49">
        <f>SUM(H311:H316)</f>
        <v>-4172.0354079999997</v>
      </c>
      <c r="I317" s="49">
        <f>SUM(I311:I316)</f>
        <v>4204.2000000000007</v>
      </c>
      <c r="J317" s="49">
        <f>SUM(J311:J316)</f>
        <v>2197.0354080000002</v>
      </c>
      <c r="K317" s="49">
        <f t="shared" si="154"/>
        <v>4976.4000000000015</v>
      </c>
    </row>
    <row r="318" spans="1:11">
      <c r="H318" s="22"/>
      <c r="I318" s="22"/>
      <c r="K318" s="22"/>
    </row>
    <row r="319" spans="1:11">
      <c r="B319" t="str">
        <f>B120</f>
        <v>Accounts Payable</v>
      </c>
      <c r="G319" s="179">
        <f>F120</f>
        <v>106.9</v>
      </c>
      <c r="H319" s="22"/>
      <c r="I319" s="22"/>
      <c r="K319" s="22">
        <f t="shared" si="154"/>
        <v>106.9</v>
      </c>
    </row>
    <row r="320" spans="1:11">
      <c r="B320" t="str">
        <f>B123</f>
        <v>Accrued Advertising</v>
      </c>
      <c r="G320" s="179">
        <f>F123</f>
        <v>71.900000000000006</v>
      </c>
      <c r="H320" s="22"/>
      <c r="I320" s="22"/>
      <c r="K320" s="22">
        <f t="shared" si="154"/>
        <v>71.900000000000006</v>
      </c>
    </row>
    <row r="321" spans="1:11">
      <c r="B321" t="str">
        <f>B126</f>
        <v>Other Accrued Liabilities</v>
      </c>
      <c r="G321" s="179">
        <f>F126</f>
        <v>200.9</v>
      </c>
      <c r="H321" s="22"/>
      <c r="I321" s="22"/>
      <c r="K321" s="22">
        <f t="shared" si="154"/>
        <v>200.9</v>
      </c>
    </row>
    <row r="322" spans="1:11">
      <c r="B322" t="s">
        <v>44</v>
      </c>
      <c r="G322" s="179">
        <f>E21</f>
        <v>755.4</v>
      </c>
      <c r="H322" s="22">
        <f>-G322</f>
        <v>-755.4</v>
      </c>
      <c r="I322" s="22">
        <f>SUM(D41:D45)</f>
        <v>2644.2</v>
      </c>
      <c r="K322" s="22">
        <f t="shared" si="154"/>
        <v>2644.2</v>
      </c>
    </row>
    <row r="323" spans="1:11">
      <c r="B323" s="148" t="str">
        <f>B158</f>
        <v>Other Liabilities</v>
      </c>
      <c r="C323" s="148"/>
      <c r="D323" s="148"/>
      <c r="E323" s="148"/>
      <c r="F323" s="148"/>
      <c r="G323" s="186">
        <f>F158+5.6</f>
        <v>483.70000000000005</v>
      </c>
      <c r="H323" s="184"/>
      <c r="I323" s="184"/>
      <c r="J323" s="148"/>
      <c r="K323" s="184">
        <f t="shared" si="154"/>
        <v>483.70000000000005</v>
      </c>
    </row>
    <row r="324" spans="1:11">
      <c r="B324" s="8" t="s">
        <v>191</v>
      </c>
      <c r="G324" s="49">
        <f>SUM(G319:G323)</f>
        <v>1618.8</v>
      </c>
      <c r="H324" s="49">
        <f>SUM(H319:H323)</f>
        <v>-755.4</v>
      </c>
      <c r="I324" s="49">
        <f>SUM(I319:I323)</f>
        <v>2644.2</v>
      </c>
      <c r="J324" s="49">
        <f>SUM(J319:J323)</f>
        <v>0</v>
      </c>
      <c r="K324" s="49">
        <f t="shared" si="154"/>
        <v>3507.6</v>
      </c>
    </row>
    <row r="325" spans="1:11">
      <c r="H325" s="22"/>
      <c r="I325" s="22"/>
      <c r="K325" s="22"/>
    </row>
    <row r="326" spans="1:11">
      <c r="B326" t="s">
        <v>192</v>
      </c>
      <c r="G326" s="155">
        <v>0</v>
      </c>
      <c r="H326" s="22"/>
      <c r="I326" s="51">
        <f>D46</f>
        <v>0</v>
      </c>
      <c r="K326" s="22">
        <f t="shared" si="154"/>
        <v>0</v>
      </c>
    </row>
    <row r="327" spans="1:11">
      <c r="B327" s="148" t="s">
        <v>193</v>
      </c>
      <c r="C327" s="148"/>
      <c r="D327" s="148"/>
      <c r="E327" s="148"/>
      <c r="F327" s="148"/>
      <c r="G327" s="183">
        <v>1128.4000000000001</v>
      </c>
      <c r="H327" s="184">
        <f>-(K16+I43)</f>
        <v>-3416.6354080000001</v>
      </c>
      <c r="I327" s="185">
        <f>D48</f>
        <v>1560.0000000000005</v>
      </c>
      <c r="J327" s="184">
        <f>K16-G327</f>
        <v>2197.0354080000002</v>
      </c>
      <c r="K327" s="184">
        <f t="shared" si="154"/>
        <v>1468.8000000000006</v>
      </c>
    </row>
    <row r="328" spans="1:11">
      <c r="B328" s="8" t="s">
        <v>194</v>
      </c>
      <c r="G328" s="180">
        <f>SUM(G326:G327)</f>
        <v>1128.4000000000001</v>
      </c>
      <c r="H328" s="49">
        <f>SUM(H326:H327)</f>
        <v>-3416.6354080000001</v>
      </c>
      <c r="I328" s="49">
        <f>SUM(I326:I327)</f>
        <v>1560.0000000000005</v>
      </c>
      <c r="J328" s="49">
        <f>SUM(J326:J327)</f>
        <v>2197.0354080000002</v>
      </c>
      <c r="K328" s="49">
        <f t="shared" si="154"/>
        <v>1468.8000000000006</v>
      </c>
    </row>
    <row r="329" spans="1:11">
      <c r="B329" s="8"/>
      <c r="G329" s="180"/>
      <c r="K329" s="22"/>
    </row>
    <row r="330" spans="1:11">
      <c r="A330" s="4" t="s">
        <v>1</v>
      </c>
      <c r="B330" s="157" t="s">
        <v>195</v>
      </c>
      <c r="G330" s="181">
        <f>G317-G324-G328</f>
        <v>0</v>
      </c>
      <c r="H330" s="181">
        <f>H317-H324-H328</f>
        <v>0</v>
      </c>
      <c r="I330" s="181">
        <f>I317-I324-I328</f>
        <v>0</v>
      </c>
      <c r="J330" s="181">
        <f>J317-J324-J328</f>
        <v>0</v>
      </c>
      <c r="K330" s="181">
        <f t="shared" si="154"/>
        <v>0</v>
      </c>
    </row>
    <row r="332" spans="1:11">
      <c r="A332" s="4" t="s">
        <v>1</v>
      </c>
      <c r="B332" s="109" t="s">
        <v>196</v>
      </c>
      <c r="C332" s="109"/>
      <c r="D332" s="111"/>
      <c r="E332" s="111"/>
      <c r="F332" s="111"/>
      <c r="G332" s="178"/>
      <c r="H332" s="113"/>
      <c r="I332" s="192"/>
      <c r="J332" s="192"/>
      <c r="K332" s="192"/>
    </row>
    <row r="333" spans="1:11" ht="7.5" customHeight="1">
      <c r="B333" s="7"/>
      <c r="C333" s="7"/>
      <c r="D333" s="197"/>
      <c r="E333" s="197"/>
      <c r="F333" s="197"/>
      <c r="G333" s="198"/>
      <c r="H333" s="192"/>
      <c r="I333" s="192"/>
      <c r="J333" s="192"/>
      <c r="K333" s="192"/>
    </row>
    <row r="334" spans="1:11">
      <c r="B334" s="199"/>
      <c r="C334" s="200"/>
      <c r="D334" s="230" t="s">
        <v>197</v>
      </c>
      <c r="E334" s="230"/>
      <c r="F334" s="230"/>
      <c r="G334" s="230"/>
      <c r="H334" s="231"/>
    </row>
    <row r="335" spans="1:11">
      <c r="B335" s="188"/>
      <c r="C335" s="187"/>
      <c r="D335" s="189">
        <f>E335+0.5</f>
        <v>7.8</v>
      </c>
      <c r="E335" s="189">
        <f>F335+0.5</f>
        <v>7.3</v>
      </c>
      <c r="F335" s="189">
        <v>6.8</v>
      </c>
      <c r="G335" s="189">
        <f>F335-0.5</f>
        <v>6.3</v>
      </c>
      <c r="H335" s="191">
        <f>G335-0.5</f>
        <v>5.8</v>
      </c>
    </row>
    <row r="336" spans="1:11">
      <c r="B336" s="228" t="s">
        <v>49</v>
      </c>
      <c r="C336" s="190">
        <f>C337-0.5</f>
        <v>7.7567148178137728</v>
      </c>
      <c r="D336" s="193">
        <v>0.16527522151687202</v>
      </c>
      <c r="E336" s="193">
        <v>0.16705343173196163</v>
      </c>
      <c r="F336" s="193">
        <v>0.1687882023862366</v>
      </c>
      <c r="G336" s="193">
        <v>0.17048083837117467</v>
      </c>
      <c r="H336" s="194">
        <v>0.17213258922697316</v>
      </c>
    </row>
    <row r="337" spans="2:8">
      <c r="B337" s="228"/>
      <c r="C337" s="190">
        <f>C338-0.5</f>
        <v>8.2567148178137728</v>
      </c>
      <c r="D337" s="193">
        <v>0.1881725533751315</v>
      </c>
      <c r="E337" s="193">
        <v>0.18981809799705163</v>
      </c>
      <c r="F337" s="193">
        <v>0.19142430421093226</v>
      </c>
      <c r="G337" s="193">
        <v>0.19299233924955805</v>
      </c>
      <c r="H337" s="194">
        <v>0.19452329356983178</v>
      </c>
    </row>
    <row r="338" spans="2:8">
      <c r="B338" s="228"/>
      <c r="C338" s="190">
        <v>8.7567148178137728</v>
      </c>
      <c r="D338" s="193">
        <v>0.2094298967609054</v>
      </c>
      <c r="E338" s="193">
        <v>0.21096312473411638</v>
      </c>
      <c r="F338" s="193">
        <v>0.21246038922470434</v>
      </c>
      <c r="G338" s="193">
        <v>0.21392272431729609</v>
      </c>
      <c r="H338" s="194">
        <v>0.21535109624198534</v>
      </c>
    </row>
    <row r="339" spans="2:8">
      <c r="B339" s="228"/>
      <c r="C339" s="190">
        <f>C338+0.5</f>
        <v>9.2567148178137728</v>
      </c>
      <c r="D339" s="193">
        <v>0.22928996312333272</v>
      </c>
      <c r="E339" s="193">
        <v>0.23072676904990108</v>
      </c>
      <c r="F339" s="193">
        <v>0.23213041936032419</v>
      </c>
      <c r="G339" s="193">
        <v>0.23350184174183708</v>
      </c>
      <c r="H339" s="194">
        <v>0.23484190305482056</v>
      </c>
    </row>
    <row r="340" spans="2:8">
      <c r="B340" s="229"/>
      <c r="C340" s="191">
        <f t="shared" ref="C340" si="155">C339+0.5</f>
        <v>9.7567148178137728</v>
      </c>
      <c r="D340" s="195">
        <v>0.24794382377567969</v>
      </c>
      <c r="E340" s="195">
        <v>0.24929685802819757</v>
      </c>
      <c r="F340" s="195">
        <v>0.25061911005339699</v>
      </c>
      <c r="G340" s="195">
        <v>0.25191142077392326</v>
      </c>
      <c r="H340" s="196">
        <v>0.25317457595410198</v>
      </c>
    </row>
    <row r="341" spans="2:8">
      <c r="C341" s="78"/>
    </row>
  </sheetData>
  <mergeCells count="2">
    <mergeCell ref="B336:B340"/>
    <mergeCell ref="D334:H334"/>
  </mergeCells>
  <dataValidations count="2">
    <dataValidation type="list" allowBlank="1" showInputMessage="1" showErrorMessage="1" sqref="E7:E8" xr:uid="{BF6D0DF7-45D7-4AFF-82E0-1ACA40FB3304}">
      <formula1>"1,2"</formula1>
    </dataValidation>
    <dataValidation type="list" allowBlank="1" showInputMessage="1" showErrorMessage="1" sqref="E6" xr:uid="{4596B6AB-C7EF-4569-A2D0-913ED2181485}">
      <formula1>"ON,OFF"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99C4-2963-471F-8B2F-78DBF47239C8}">
  <dimension ref="A1:L42"/>
  <sheetViews>
    <sheetView showGridLines="0" workbookViewId="0">
      <selection activeCell="L9" sqref="L9"/>
    </sheetView>
  </sheetViews>
  <sheetFormatPr defaultRowHeight="15"/>
  <cols>
    <col min="1" max="1" width="4.28515625" customWidth="1"/>
    <col min="10" max="10" width="9.7109375" bestFit="1" customWidth="1"/>
  </cols>
  <sheetData>
    <row r="1" spans="1:12">
      <c r="A1" s="4"/>
    </row>
    <row r="2" spans="1:12" s="148" customFormat="1" ht="21">
      <c r="A2" s="1"/>
      <c r="B2" s="201" t="s">
        <v>198</v>
      </c>
      <c r="C2" s="3"/>
      <c r="D2" s="3"/>
      <c r="E2" s="3"/>
      <c r="F2" s="3"/>
      <c r="G2" s="3"/>
      <c r="H2" s="3"/>
      <c r="I2" s="3"/>
      <c r="J2" s="3"/>
    </row>
    <row r="4" spans="1:12">
      <c r="B4" t="s">
        <v>199</v>
      </c>
      <c r="D4" s="224">
        <v>0.1</v>
      </c>
    </row>
    <row r="5" spans="1:12">
      <c r="B5" t="s">
        <v>200</v>
      </c>
      <c r="D5" s="224">
        <v>2.5000000000000001E-2</v>
      </c>
    </row>
    <row r="6" spans="1:12">
      <c r="F6">
        <v>1</v>
      </c>
      <c r="G6">
        <v>2</v>
      </c>
      <c r="H6">
        <v>3</v>
      </c>
      <c r="I6">
        <v>4</v>
      </c>
      <c r="J6">
        <v>5</v>
      </c>
      <c r="L6" t="s">
        <v>201</v>
      </c>
    </row>
    <row r="7" spans="1:12">
      <c r="A7" s="4"/>
      <c r="B7" s="110" t="s">
        <v>202</v>
      </c>
      <c r="C7" s="110"/>
      <c r="D7" s="110"/>
      <c r="E7" s="110" t="s">
        <v>203</v>
      </c>
      <c r="F7" s="110" t="s">
        <v>204</v>
      </c>
      <c r="G7" s="110" t="s">
        <v>205</v>
      </c>
      <c r="H7" s="110" t="s">
        <v>206</v>
      </c>
      <c r="I7" s="110" t="s">
        <v>207</v>
      </c>
      <c r="J7" s="110" t="s">
        <v>208</v>
      </c>
    </row>
    <row r="8" spans="1:12">
      <c r="B8" t="s">
        <v>86</v>
      </c>
      <c r="E8" s="212">
        <f>'LBO - YM Final'!F63</f>
        <v>2502.1999999999998</v>
      </c>
      <c r="F8" s="212">
        <f>'LBO - YM Final'!G63</f>
        <v>2574</v>
      </c>
      <c r="G8" s="212">
        <f>'LBO - YM Final'!H63</f>
        <v>2102</v>
      </c>
      <c r="H8" s="212">
        <f>'LBO - YM Final'!I63</f>
        <v>1884</v>
      </c>
      <c r="I8" s="212">
        <f>'LBO - YM Final'!J63</f>
        <v>1910</v>
      </c>
      <c r="J8" s="212">
        <f>'LBO - YM Final'!K63</f>
        <v>2024</v>
      </c>
    </row>
    <row r="9" spans="1:12">
      <c r="B9" s="71" t="s">
        <v>87</v>
      </c>
      <c r="F9" s="214">
        <f>F8/E8-1</f>
        <v>2.8694748621213462E-2</v>
      </c>
      <c r="G9" s="214">
        <f t="shared" ref="G9:J9" si="0">G8/F8-1</f>
        <v>-0.18337218337218342</v>
      </c>
      <c r="H9" s="214">
        <f t="shared" si="0"/>
        <v>-0.10371075166508092</v>
      </c>
      <c r="I9" s="214">
        <f t="shared" si="0"/>
        <v>1.3800424628450214E-2</v>
      </c>
      <c r="J9" s="214">
        <f t="shared" si="0"/>
        <v>5.9685863874345602E-2</v>
      </c>
    </row>
    <row r="10" spans="1:12">
      <c r="B10" s="7"/>
    </row>
    <row r="11" spans="1:12">
      <c r="B11" t="s">
        <v>92</v>
      </c>
      <c r="E11" s="212">
        <f>'LBO - YM Final'!F75</f>
        <v>332.89999999999964</v>
      </c>
      <c r="F11" s="212">
        <f>'LBO - YM Final'!G75</f>
        <v>351</v>
      </c>
      <c r="G11" s="212">
        <f>'LBO - YM Final'!H75</f>
        <v>426</v>
      </c>
      <c r="H11" s="212">
        <f>'LBO - YM Final'!I75</f>
        <v>465</v>
      </c>
      <c r="I11" s="212">
        <f>'LBO - YM Final'!J75</f>
        <v>528</v>
      </c>
      <c r="J11" s="212">
        <f>'LBO - YM Final'!K75</f>
        <v>589</v>
      </c>
    </row>
    <row r="12" spans="1:12">
      <c r="B12" s="71" t="s">
        <v>89</v>
      </c>
      <c r="F12" s="214">
        <f>E11/F8</f>
        <v>0.1293317793317792</v>
      </c>
      <c r="G12" s="214">
        <f t="shared" ref="G12:J12" si="1">F11/G8</f>
        <v>0.16698382492863939</v>
      </c>
      <c r="H12" s="214">
        <f t="shared" si="1"/>
        <v>0.22611464968152867</v>
      </c>
      <c r="I12" s="214">
        <f t="shared" si="1"/>
        <v>0.24345549738219896</v>
      </c>
      <c r="J12" s="214">
        <f t="shared" si="1"/>
        <v>0.2608695652173913</v>
      </c>
    </row>
    <row r="13" spans="1:12">
      <c r="B13" s="71"/>
    </row>
    <row r="14" spans="1:12">
      <c r="B14" t="s">
        <v>98</v>
      </c>
      <c r="E14" s="119">
        <f>E11*E15</f>
        <v>114.16725290186426</v>
      </c>
      <c r="F14" s="119">
        <f t="shared" ref="F14:J14" si="2">F11*F15</f>
        <v>118.61960429124181</v>
      </c>
      <c r="G14" s="119">
        <f t="shared" si="2"/>
        <v>141.83567358424222</v>
      </c>
      <c r="H14" s="119">
        <f t="shared" si="2"/>
        <v>152.4956296166024</v>
      </c>
      <c r="I14" s="119">
        <f t="shared" si="2"/>
        <v>170.51632782272273</v>
      </c>
      <c r="J14" s="119">
        <f t="shared" si="2"/>
        <v>187.27113084769638</v>
      </c>
    </row>
    <row r="15" spans="1:12">
      <c r="B15" s="71" t="s">
        <v>209</v>
      </c>
      <c r="E15" s="215">
        <f>'LBO - YM Final'!F91</f>
        <v>0.34294759057333851</v>
      </c>
      <c r="F15" s="215">
        <f>'LBO - YM Final'!G91</f>
        <v>0.33794759057333851</v>
      </c>
      <c r="G15" s="215">
        <f>'LBO - YM Final'!H91</f>
        <v>0.3329475905733385</v>
      </c>
      <c r="H15" s="215">
        <f>'LBO - YM Final'!I91</f>
        <v>0.3279475905733385</v>
      </c>
      <c r="I15" s="215">
        <f>'LBO - YM Final'!J91</f>
        <v>0.32294759057333849</v>
      </c>
      <c r="J15" s="215">
        <f>'LBO - YM Final'!K91</f>
        <v>0.31794759057333849</v>
      </c>
    </row>
    <row r="17" spans="2:10">
      <c r="B17" s="105" t="s">
        <v>210</v>
      </c>
      <c r="C17" s="106"/>
      <c r="D17" s="106"/>
      <c r="E17" s="106"/>
      <c r="F17" s="202">
        <f>F11-F14</f>
        <v>232.38039570875819</v>
      </c>
      <c r="G17" s="202">
        <f t="shared" ref="G17:J17" si="3">G11-G14</f>
        <v>284.16432641575778</v>
      </c>
      <c r="H17" s="202">
        <f t="shared" si="3"/>
        <v>312.5043703833976</v>
      </c>
      <c r="I17" s="202">
        <f t="shared" si="3"/>
        <v>357.4836721772773</v>
      </c>
      <c r="J17" s="203">
        <f t="shared" si="3"/>
        <v>401.72886915230362</v>
      </c>
    </row>
    <row r="19" spans="2:10">
      <c r="B19" t="s">
        <v>102</v>
      </c>
      <c r="F19" s="212">
        <f>'LBO - YM Final'!G166</f>
        <v>113</v>
      </c>
      <c r="G19" s="212">
        <f>'LBO - YM Final'!H166</f>
        <v>92</v>
      </c>
      <c r="H19" s="212">
        <f>'LBO - YM Final'!I166</f>
        <v>98</v>
      </c>
      <c r="I19" s="212">
        <f>'LBO - YM Final'!J166</f>
        <v>92</v>
      </c>
      <c r="J19" s="212">
        <f>'LBO - YM Final'!K166</f>
        <v>96</v>
      </c>
    </row>
    <row r="20" spans="2:10">
      <c r="B20" t="s">
        <v>89</v>
      </c>
      <c r="F20" s="214">
        <f>F19/F8</f>
        <v>4.3900543900543904E-2</v>
      </c>
      <c r="G20" s="214">
        <f t="shared" ref="G20:J20" si="4">G19/G8</f>
        <v>4.3767840152235969E-2</v>
      </c>
      <c r="H20" s="214">
        <f t="shared" si="4"/>
        <v>5.2016985138004249E-2</v>
      </c>
      <c r="I20" s="214">
        <f t="shared" si="4"/>
        <v>4.8167539267015703E-2</v>
      </c>
      <c r="J20" s="214">
        <f t="shared" si="4"/>
        <v>4.7430830039525688E-2</v>
      </c>
    </row>
    <row r="22" spans="2:10">
      <c r="B22" t="s">
        <v>121</v>
      </c>
      <c r="F22" s="216">
        <f>'LBO - YM Final'!G137</f>
        <v>182.80533167533957</v>
      </c>
      <c r="G22" s="216">
        <f>'LBO - YM Final'!H137</f>
        <v>149.2839188739564</v>
      </c>
      <c r="H22" s="216">
        <f>'LBO - YM Final'!I137</f>
        <v>133.80157143602943</v>
      </c>
      <c r="I22" s="216">
        <f>'LBO - YM Final'!J137</f>
        <v>135.64808993780053</v>
      </c>
      <c r="J22" s="216">
        <f>'LBO - YM Final'!K137</f>
        <v>143.74436336864309</v>
      </c>
    </row>
    <row r="23" spans="2:10">
      <c r="B23" s="135" t="s">
        <v>89</v>
      </c>
      <c r="F23" s="214">
        <f>F22/F8</f>
        <v>7.1019942375811801E-2</v>
      </c>
      <c r="G23" s="214">
        <f t="shared" ref="G23:J23" si="5">G22/G8</f>
        <v>7.1019942375811801E-2</v>
      </c>
      <c r="H23" s="214">
        <f t="shared" si="5"/>
        <v>7.1019942375811801E-2</v>
      </c>
      <c r="I23" s="214">
        <f t="shared" si="5"/>
        <v>7.1019942375811801E-2</v>
      </c>
      <c r="J23" s="214">
        <f t="shared" si="5"/>
        <v>7.1019942375811801E-2</v>
      </c>
    </row>
    <row r="25" spans="2:10">
      <c r="B25" t="s">
        <v>211</v>
      </c>
      <c r="F25" s="212">
        <f>'LBO - YM Final'!G132</f>
        <v>-6.0540962096893338</v>
      </c>
      <c r="G25" s="212">
        <f>'LBO - YM Final'!H132</f>
        <v>25.55366488382802</v>
      </c>
      <c r="H25" s="212">
        <f>'LBO - YM Final'!I132</f>
        <v>11.80232827261554</v>
      </c>
      <c r="I25" s="212">
        <f>'LBO - YM Final'!J132</f>
        <v>-1.4076171334312448</v>
      </c>
      <c r="J25" s="212">
        <f>'LBO - YM Final'!K132</f>
        <v>-6.1718597388906744</v>
      </c>
    </row>
    <row r="26" spans="2:10">
      <c r="B26" s="135" t="s">
        <v>89</v>
      </c>
      <c r="F26" s="213">
        <f>F25/F8</f>
        <v>-2.3520187294830356E-3</v>
      </c>
      <c r="G26" s="213">
        <f t="shared" ref="G26:J26" si="6">G25/G8</f>
        <v>1.2156833912382502E-2</v>
      </c>
      <c r="H26" s="213">
        <f t="shared" si="6"/>
        <v>6.2645054525560188E-3</v>
      </c>
      <c r="I26" s="213">
        <f t="shared" si="6"/>
        <v>-7.3697232116819102E-4</v>
      </c>
      <c r="J26" s="213">
        <f t="shared" si="6"/>
        <v>-3.0493378156574479E-3</v>
      </c>
    </row>
    <row r="28" spans="2:10">
      <c r="B28" s="204" t="s">
        <v>212</v>
      </c>
      <c r="C28" s="206"/>
      <c r="D28" s="206"/>
      <c r="E28" s="206"/>
      <c r="F28" s="207">
        <f t="shared" ref="F28:J28" si="7">F17+F19-F22-F25</f>
        <v>168.62916024310798</v>
      </c>
      <c r="G28" s="207">
        <f t="shared" si="7"/>
        <v>201.32674265797337</v>
      </c>
      <c r="H28" s="207">
        <f t="shared" si="7"/>
        <v>264.90047067475257</v>
      </c>
      <c r="I28" s="207">
        <f t="shared" si="7"/>
        <v>315.24319937290801</v>
      </c>
      <c r="J28" s="208">
        <f t="shared" si="7"/>
        <v>360.15636552255125</v>
      </c>
    </row>
    <row r="29" spans="2:10">
      <c r="B29" s="205" t="s">
        <v>213</v>
      </c>
      <c r="C29" s="209"/>
      <c r="D29" s="209"/>
      <c r="E29" s="209"/>
      <c r="F29" s="210">
        <f>F28/(1+$D$4)^F6</f>
        <v>153.29923658464361</v>
      </c>
      <c r="G29" s="210">
        <f t="shared" ref="G29:J29" si="8">G28/(1+$D$4)^G6</f>
        <v>166.38573773386227</v>
      </c>
      <c r="H29" s="210">
        <f t="shared" si="8"/>
        <v>199.0236443837359</v>
      </c>
      <c r="I29" s="210">
        <f t="shared" si="8"/>
        <v>215.31534688402974</v>
      </c>
      <c r="J29" s="211">
        <f t="shared" si="8"/>
        <v>223.62876698843914</v>
      </c>
    </row>
    <row r="31" spans="2:10">
      <c r="B31" t="s">
        <v>214</v>
      </c>
      <c r="J31" s="141">
        <f>(J28*(1+D5))/(D4-D5)</f>
        <v>4922.1369954748661</v>
      </c>
    </row>
    <row r="32" spans="2:10">
      <c r="B32" t="s">
        <v>215</v>
      </c>
      <c r="J32" s="141">
        <f>J31/(1+D4)^J6</f>
        <v>3056.2598155086675</v>
      </c>
    </row>
    <row r="34" spans="2:10">
      <c r="B34" t="s">
        <v>47</v>
      </c>
      <c r="J34" s="217">
        <f>SUM(F29:J29,J32)</f>
        <v>4013.9125480833782</v>
      </c>
    </row>
    <row r="35" spans="2:10">
      <c r="B35" t="s">
        <v>46</v>
      </c>
      <c r="J35" s="212">
        <f>'LBO - YM Final'!E22</f>
        <v>187.6</v>
      </c>
    </row>
    <row r="36" spans="2:10">
      <c r="B36" t="s">
        <v>44</v>
      </c>
      <c r="J36" s="212">
        <f>'LBO - YM Final'!E21</f>
        <v>755.4</v>
      </c>
    </row>
    <row r="37" spans="2:10">
      <c r="B37" t="s">
        <v>216</v>
      </c>
      <c r="J37" s="217">
        <f>J34+J35-J36</f>
        <v>3446.1125480833784</v>
      </c>
    </row>
    <row r="39" spans="2:10">
      <c r="B39" t="s">
        <v>217</v>
      </c>
      <c r="J39" s="212">
        <f>'LBO - YM Final'!K17</f>
        <v>138.55980866666667</v>
      </c>
    </row>
    <row r="40" spans="2:10">
      <c r="B40" t="s">
        <v>218</v>
      </c>
      <c r="J40" s="225">
        <f>'DCF - YM'!J37/'DCF - YM'!J39</f>
        <v>24.87093899193879</v>
      </c>
    </row>
    <row r="41" spans="2:10">
      <c r="B41" t="s">
        <v>219</v>
      </c>
      <c r="J41" s="226">
        <f>'LBO - YM Final'!K13</f>
        <v>24</v>
      </c>
    </row>
    <row r="42" spans="2:10">
      <c r="B42" t="s">
        <v>220</v>
      </c>
      <c r="J42" s="213">
        <f>J41/J40-1</f>
        <v>-3.5018339766788809E-2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33AF-F7C9-4AD9-9F1B-F650E0466338}">
  <dimension ref="A2:I22"/>
  <sheetViews>
    <sheetView showGridLines="0" workbookViewId="0">
      <selection activeCell="F8" sqref="F8"/>
    </sheetView>
  </sheetViews>
  <sheetFormatPr defaultRowHeight="15"/>
  <cols>
    <col min="1" max="1" width="4" customWidth="1"/>
  </cols>
  <sheetData>
    <row r="2" spans="1:9" ht="21">
      <c r="A2" s="3"/>
      <c r="B2" s="2" t="s">
        <v>199</v>
      </c>
      <c r="C2" s="3"/>
      <c r="D2" s="3"/>
      <c r="E2" s="3"/>
      <c r="F2" s="3"/>
      <c r="G2" s="3"/>
      <c r="H2" s="3"/>
      <c r="I2" s="3"/>
    </row>
    <row r="4" spans="1:9">
      <c r="B4" t="s">
        <v>221</v>
      </c>
    </row>
    <row r="5" spans="1:9">
      <c r="B5" t="s">
        <v>222</v>
      </c>
    </row>
    <row r="7" spans="1:9">
      <c r="A7" t="s">
        <v>1</v>
      </c>
      <c r="B7" s="110" t="s">
        <v>199</v>
      </c>
      <c r="C7" s="110"/>
      <c r="D7" s="110"/>
      <c r="E7" s="110"/>
      <c r="F7" s="110"/>
    </row>
    <row r="8" spans="1:9">
      <c r="B8" t="s">
        <v>223</v>
      </c>
      <c r="F8" s="217">
        <f>'LBO - YM Final'!E15*'LBO - YM Final'!K17</f>
        <v>2613.2379914533335</v>
      </c>
    </row>
    <row r="9" spans="1:9">
      <c r="B9" t="s">
        <v>224</v>
      </c>
      <c r="F9" s="218"/>
    </row>
    <row r="10" spans="1:9">
      <c r="B10" t="s">
        <v>225</v>
      </c>
      <c r="F10" s="219"/>
    </row>
    <row r="11" spans="1:9">
      <c r="B11" t="s">
        <v>226</v>
      </c>
      <c r="F11" s="220">
        <v>2.7199999999999998E-2</v>
      </c>
      <c r="G11" t="s">
        <v>227</v>
      </c>
    </row>
    <row r="12" spans="1:9">
      <c r="B12" t="s">
        <v>228</v>
      </c>
      <c r="F12" s="221"/>
      <c r="G12" t="s">
        <v>229</v>
      </c>
    </row>
    <row r="13" spans="1:9">
      <c r="B13" t="s">
        <v>230</v>
      </c>
      <c r="F13" s="220"/>
      <c r="H13" s="222"/>
    </row>
    <row r="15" spans="1:9">
      <c r="B15" t="s">
        <v>44</v>
      </c>
      <c r="F15" s="223"/>
    </row>
    <row r="16" spans="1:9">
      <c r="B16" t="s">
        <v>231</v>
      </c>
      <c r="F16" s="218"/>
    </row>
    <row r="17" spans="1:6">
      <c r="B17" t="s">
        <v>232</v>
      </c>
      <c r="F17" s="220"/>
    </row>
    <row r="18" spans="1:6">
      <c r="B18" t="s">
        <v>84</v>
      </c>
      <c r="F18" s="220"/>
    </row>
    <row r="20" spans="1:6">
      <c r="B20" t="s">
        <v>66</v>
      </c>
      <c r="F20" s="217"/>
    </row>
    <row r="22" spans="1:6">
      <c r="A22" t="s">
        <v>1</v>
      </c>
      <c r="B22" t="s">
        <v>199</v>
      </c>
      <c r="F22" s="2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5DCC-BE42-4850-A2D3-07EAFBD6D1B4}">
  <dimension ref="A2:G32"/>
  <sheetViews>
    <sheetView showGridLines="0" zoomScaleNormal="100" workbookViewId="0">
      <selection activeCell="I17" sqref="I17"/>
    </sheetView>
  </sheetViews>
  <sheetFormatPr defaultColWidth="8.85546875" defaultRowHeight="15"/>
  <cols>
    <col min="1" max="1" width="3.7109375" style="4" customWidth="1"/>
    <col min="2" max="2" width="36.42578125" bestFit="1" customWidth="1"/>
    <col min="3" max="5" width="15.85546875" customWidth="1"/>
  </cols>
  <sheetData>
    <row r="2" spans="1:5" s="3" customFormat="1" ht="21">
      <c r="A2" s="1"/>
      <c r="B2" s="2" t="s">
        <v>233</v>
      </c>
    </row>
    <row r="3" spans="1:5">
      <c r="B3" s="9"/>
    </row>
    <row r="4" spans="1:5">
      <c r="A4" s="4" t="s">
        <v>1</v>
      </c>
      <c r="B4" s="23" t="s">
        <v>234</v>
      </c>
      <c r="C4" s="24"/>
      <c r="D4" s="24"/>
      <c r="E4" s="24"/>
    </row>
    <row r="5" spans="1:5" ht="5.0999999999999996" customHeight="1">
      <c r="B5" s="25"/>
      <c r="C5" s="26"/>
      <c r="D5" s="26"/>
      <c r="E5" s="26"/>
    </row>
    <row r="6" spans="1:5">
      <c r="B6" s="27" t="s">
        <v>235</v>
      </c>
      <c r="E6" s="44">
        <f>'LBO - YM Final'!K13</f>
        <v>24</v>
      </c>
    </row>
    <row r="7" spans="1:5">
      <c r="B7" s="28" t="s">
        <v>236</v>
      </c>
      <c r="E7" s="14">
        <v>136.55564200000001</v>
      </c>
    </row>
    <row r="8" spans="1:5">
      <c r="B8" s="27" t="s">
        <v>237</v>
      </c>
      <c r="E8" s="29">
        <f>E32</f>
        <v>7.4211999999999998</v>
      </c>
    </row>
    <row r="9" spans="1:5">
      <c r="B9" s="27" t="s">
        <v>238</v>
      </c>
      <c r="E9" s="30">
        <f>SUMPRODUCT(D21:D31,E21:E31)</f>
        <v>129.351516</v>
      </c>
    </row>
    <row r="10" spans="1:5">
      <c r="B10" s="27" t="s">
        <v>239</v>
      </c>
      <c r="E10" s="30">
        <f>E9/E6</f>
        <v>5.3896465000000005</v>
      </c>
    </row>
    <row r="11" spans="1:5">
      <c r="B11" s="27" t="s">
        <v>240</v>
      </c>
      <c r="E11" s="30">
        <f>E8-E10</f>
        <v>2.0315534999999993</v>
      </c>
    </row>
    <row r="12" spans="1:5">
      <c r="B12" s="27" t="s">
        <v>241</v>
      </c>
      <c r="E12" s="14">
        <v>1.7296</v>
      </c>
    </row>
    <row r="13" spans="1:5">
      <c r="B13" s="27"/>
      <c r="E13" s="31"/>
    </row>
    <row r="14" spans="1:5">
      <c r="B14" s="27" t="s">
        <v>242</v>
      </c>
      <c r="E14" s="14">
        <f>48.1/E6</f>
        <v>2.0041666666666669</v>
      </c>
    </row>
    <row r="15" spans="1:5">
      <c r="B15" s="9"/>
      <c r="E15" s="31"/>
    </row>
    <row r="16" spans="1:5">
      <c r="B16" s="32" t="s">
        <v>243</v>
      </c>
      <c r="D16" s="33"/>
      <c r="E16" s="34">
        <f>E7+E14</f>
        <v>138.55980866666667</v>
      </c>
    </row>
    <row r="17" spans="1:7">
      <c r="B17" s="32"/>
      <c r="D17" s="33"/>
      <c r="E17" s="30"/>
    </row>
    <row r="18" spans="1:7">
      <c r="A18" s="4" t="s">
        <v>1</v>
      </c>
      <c r="B18" s="23" t="s">
        <v>244</v>
      </c>
      <c r="C18" s="24"/>
      <c r="D18" s="24"/>
      <c r="E18" s="24"/>
    </row>
    <row r="19" spans="1:7" ht="5.0999999999999996" customHeight="1">
      <c r="B19" s="25"/>
      <c r="C19" s="26"/>
      <c r="D19" s="26"/>
      <c r="E19" s="26"/>
    </row>
    <row r="20" spans="1:7">
      <c r="C20" s="16" t="s">
        <v>245</v>
      </c>
      <c r="D20" s="16" t="s">
        <v>246</v>
      </c>
      <c r="E20" s="16" t="s">
        <v>247</v>
      </c>
    </row>
    <row r="21" spans="1:7">
      <c r="B21" s="35">
        <v>1</v>
      </c>
      <c r="C21" s="14">
        <v>7.4211999999999998</v>
      </c>
      <c r="D21" s="12">
        <v>17.43</v>
      </c>
      <c r="E21" s="36">
        <f>IF(D21&lt;$E$6,C21)</f>
        <v>7.4211999999999998</v>
      </c>
      <c r="G21" s="45"/>
    </row>
    <row r="22" spans="1:7">
      <c r="B22" s="35">
        <f t="shared" ref="B22" si="0">B21+1</f>
        <v>2</v>
      </c>
      <c r="C22" s="14"/>
      <c r="D22" s="14"/>
      <c r="E22" s="37">
        <f t="shared" ref="E22" si="1">IF(D22&lt;$E$6,C22)</f>
        <v>0</v>
      </c>
    </row>
    <row r="23" spans="1:7" ht="5.0999999999999996" customHeight="1">
      <c r="B23" s="38"/>
      <c r="C23" s="39"/>
      <c r="D23" s="39"/>
      <c r="E23" s="40"/>
    </row>
    <row r="24" spans="1:7" hidden="1">
      <c r="B24" s="35">
        <f>B22+1</f>
        <v>3</v>
      </c>
      <c r="C24" s="14"/>
      <c r="D24" s="14"/>
      <c r="E24" s="37">
        <f>IF(D24&lt;$E$6,C24)</f>
        <v>0</v>
      </c>
    </row>
    <row r="25" spans="1:7" hidden="1">
      <c r="B25" s="35">
        <f>B24+1</f>
        <v>4</v>
      </c>
      <c r="C25" s="14"/>
      <c r="D25" s="14"/>
      <c r="E25" s="37">
        <f>IF(D25&lt;$E$6,C25)</f>
        <v>0</v>
      </c>
    </row>
    <row r="26" spans="1:7" hidden="1">
      <c r="B26" s="35">
        <f>B25+1</f>
        <v>5</v>
      </c>
      <c r="C26" s="14"/>
      <c r="D26" s="14"/>
      <c r="E26" s="37">
        <f>IF(D26&lt;$E$6,C26)</f>
        <v>0</v>
      </c>
    </row>
    <row r="27" spans="1:7" hidden="1">
      <c r="B27" s="35">
        <f>B26+1</f>
        <v>6</v>
      </c>
      <c r="C27" s="14"/>
      <c r="D27" s="14"/>
      <c r="E27" s="37">
        <f>IF(D27&lt;$E$6,C27)</f>
        <v>0</v>
      </c>
    </row>
    <row r="28" spans="1:7" hidden="1">
      <c r="B28" s="35">
        <f>B27+1</f>
        <v>7</v>
      </c>
      <c r="C28" s="14"/>
      <c r="D28" s="14"/>
      <c r="E28" s="37">
        <f>IF(D28&lt;$E$6,C28)</f>
        <v>0</v>
      </c>
    </row>
    <row r="29" spans="1:7" hidden="1">
      <c r="B29" s="35">
        <f>B28+1</f>
        <v>8</v>
      </c>
      <c r="C29" s="14"/>
      <c r="D29" s="14"/>
      <c r="E29" s="37">
        <f>IF(D29&lt;$E$6,C29)</f>
        <v>0</v>
      </c>
    </row>
    <row r="30" spans="1:7" hidden="1">
      <c r="B30" s="35">
        <f>B29+1</f>
        <v>9</v>
      </c>
      <c r="C30" s="14"/>
      <c r="D30" s="14"/>
      <c r="E30" s="37">
        <f>IF(D30&lt;$E$6,C30)</f>
        <v>0</v>
      </c>
    </row>
    <row r="31" spans="1:7" hidden="1">
      <c r="B31" s="35">
        <f>B30+1</f>
        <v>10</v>
      </c>
      <c r="C31" s="14"/>
      <c r="D31" s="14"/>
      <c r="E31" s="37">
        <f>IF(D31&lt;$E$6,C31)</f>
        <v>0</v>
      </c>
    </row>
    <row r="32" spans="1:7">
      <c r="A32" s="4" t="s">
        <v>1</v>
      </c>
      <c r="B32" s="41" t="s">
        <v>66</v>
      </c>
      <c r="C32" s="42"/>
      <c r="D32" s="42"/>
      <c r="E32" s="43">
        <f>SUM(E21:E31)</f>
        <v>7.4211999999999998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Chon</dc:creator>
  <cp:keywords/>
  <dc:description/>
  <cp:lastModifiedBy>Yana Michel</cp:lastModifiedBy>
  <cp:revision/>
  <dcterms:created xsi:type="dcterms:W3CDTF">2024-07-17T20:30:35Z</dcterms:created>
  <dcterms:modified xsi:type="dcterms:W3CDTF">2025-12-30T01:10:09Z</dcterms:modified>
  <cp:category/>
  <cp:contentStatus/>
</cp:coreProperties>
</file>